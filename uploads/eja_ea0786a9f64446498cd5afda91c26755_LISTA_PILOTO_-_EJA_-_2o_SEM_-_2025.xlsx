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duc-2025\DADOS\SECRETARIA\2025\LISTA PILOTO\"/>
    </mc:Choice>
  </mc:AlternateContent>
  <bookViews>
    <workbookView xWindow="0" yWindow="0" windowWidth="15360" windowHeight="7320" tabRatio="830" activeTab="12"/>
  </bookViews>
  <sheets>
    <sheet name="LISTA CORRIDA" sheetId="32" r:id="rId1"/>
    <sheet name="Total de Alunos" sheetId="31" r:id="rId2"/>
    <sheet name="1ª" sheetId="1" r:id="rId3"/>
    <sheet name="2ª" sheetId="14" r:id="rId4"/>
    <sheet name="3ª" sheetId="2" r:id="rId5"/>
    <sheet name="4ª" sheetId="3" r:id="rId6"/>
    <sheet name="5ª" sheetId="4" r:id="rId7"/>
    <sheet name="6ª" sheetId="5" r:id="rId8"/>
    <sheet name="7ª" sheetId="6" r:id="rId9"/>
    <sheet name="8ª" sheetId="7" r:id="rId10"/>
    <sheet name="1ª EM" sheetId="8" r:id="rId11"/>
    <sheet name="2ª EM" sheetId="9" r:id="rId12"/>
    <sheet name="3ª EM" sheetId="23" r:id="rId13"/>
    <sheet name="menores concluintes 8ª" sheetId="29" r:id="rId14"/>
    <sheet name="RETIDOS FREQUENCIA" sheetId="28" r:id="rId15"/>
    <sheet name="fomandos 1ºsem2024" sheetId="30" r:id="rId16"/>
    <sheet name="NCOM - MC's" sheetId="19" state="hidden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2" hidden="1">'1ª'!$A$6:$K$6</definedName>
    <definedName name="_xlnm._FilterDatabase" localSheetId="10" hidden="1">'1ª EM'!$A$6:$K$6</definedName>
    <definedName name="_xlnm._FilterDatabase" localSheetId="3" hidden="1">'2ª'!$A$6:$K$6</definedName>
    <definedName name="_xlnm._FilterDatabase" localSheetId="11" hidden="1">'2ª EM'!$A$6:$K$6</definedName>
    <definedName name="_xlnm._FilterDatabase" localSheetId="4" hidden="1">'3ª'!$A$6:$K$6</definedName>
    <definedName name="_xlnm._FilterDatabase" localSheetId="12" hidden="1">'3ª EM'!$A$6:$J$6</definedName>
    <definedName name="_xlnm._FilterDatabase" localSheetId="5" hidden="1">'4ª'!$A$6:$J$36</definedName>
    <definedName name="_xlnm._FilterDatabase" localSheetId="6" hidden="1">'5ª'!$B$6:$J$6</definedName>
    <definedName name="_xlnm._FilterDatabase" localSheetId="7" hidden="1">'6ª'!$A$6:$K$6</definedName>
    <definedName name="_xlnm._FilterDatabase" localSheetId="8" hidden="1">'7ª'!$A$6:$K$6</definedName>
    <definedName name="_xlnm._FilterDatabase" localSheetId="9" hidden="1">'8ª'!$A$6:$J$6</definedName>
    <definedName name="_xlnm._FilterDatabase" localSheetId="15" hidden="1">'fomandos 1ºsem2024'!$A$6:$U$6</definedName>
    <definedName name="_xlnm._FilterDatabase" localSheetId="0" hidden="1">'LISTA CORRIDA'!$A$1:$O$606</definedName>
    <definedName name="_xlnm.Print_Area" localSheetId="2">'1ª'!$A$1:$J$16</definedName>
    <definedName name="_xlnm.Print_Area" localSheetId="10">'1ª EM'!$A$1:$J$35</definedName>
    <definedName name="_xlnm.Print_Area" localSheetId="3">'2ª'!$A$1:$J$32</definedName>
    <definedName name="_xlnm.Print_Area" localSheetId="11">'2ª EM'!$A$1:$J$35</definedName>
    <definedName name="_xlnm.Print_Area" localSheetId="4">'3ª'!$A$1:$J$36</definedName>
    <definedName name="_xlnm.Print_Area" localSheetId="12">'3ª EM'!$A$1:$J$42</definedName>
    <definedName name="_xlnm.Print_Area" localSheetId="5">'4ª'!$A$1:$J$36</definedName>
    <definedName name="_xlnm.Print_Area" localSheetId="6">'5ª'!$A$1:$J$35</definedName>
    <definedName name="_xlnm.Print_Area" localSheetId="7">'6ª'!$A$1:$J$35</definedName>
    <definedName name="_xlnm.Print_Area" localSheetId="8">'7ª'!$A$1:$J$34</definedName>
    <definedName name="_xlnm.Print_Area" localSheetId="9">'8ª'!$A$1:$J$30</definedName>
    <definedName name="_xlnm.Print_Area" localSheetId="15">'fomandos 1ºsem2024'!$A$1:$J$36</definedName>
    <definedName name="_xlnm.Print_Area" localSheetId="0">'LISTA CORRIDA'!$A$1:$AD$606</definedName>
    <definedName name="_xlnm.Print_Area" localSheetId="16">'NCOM - MC''s'!$A$1:$I$22</definedName>
    <definedName name="_xlnm.Print_Area" localSheetId="1">'Total de Alunos'!$A$1:$P$26</definedName>
    <definedName name="Fim" localSheetId="15">#REF!</definedName>
    <definedName name="Fim" localSheetId="0">#REF!</definedName>
    <definedName name="Fim" localSheetId="13">#REF!</definedName>
    <definedName name="Fim" localSheetId="16">#REF!</definedName>
    <definedName name="Fim" localSheetId="14">#REF!</definedName>
    <definedName name="Fim" localSheetId="1">#REF!</definedName>
    <definedName name="Fim">#REF!</definedName>
  </definedNames>
  <calcPr calcId="162913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9" l="1"/>
  <c r="J10" i="9" s="1"/>
  <c r="K11" i="9"/>
  <c r="J11" i="9" s="1"/>
  <c r="K12" i="9"/>
  <c r="J12" i="9" s="1"/>
  <c r="K13" i="9"/>
  <c r="J13" i="9" s="1"/>
  <c r="K14" i="9"/>
  <c r="J14" i="9" s="1"/>
  <c r="K15" i="9"/>
  <c r="K16" i="9"/>
  <c r="K17" i="9"/>
  <c r="K18" i="9"/>
  <c r="K19" i="9"/>
  <c r="K20" i="9"/>
  <c r="K21" i="9"/>
  <c r="K22" i="9"/>
  <c r="K23" i="9"/>
  <c r="K24" i="9"/>
  <c r="K25" i="9"/>
  <c r="K26" i="9"/>
  <c r="K9" i="9"/>
  <c r="J9" i="9" s="1"/>
  <c r="K8" i="7"/>
  <c r="K9" i="7"/>
  <c r="K10" i="7"/>
  <c r="J10" i="7" s="1"/>
  <c r="K11" i="7"/>
  <c r="J11" i="7" s="1"/>
  <c r="K12" i="7"/>
  <c r="J12" i="7" s="1"/>
  <c r="K13" i="7"/>
  <c r="J13" i="7" s="1"/>
  <c r="K14" i="7"/>
  <c r="J14" i="7" s="1"/>
  <c r="K15" i="7"/>
  <c r="J15" i="7" s="1"/>
  <c r="K16" i="7"/>
  <c r="J16" i="7" s="1"/>
  <c r="K17" i="7"/>
  <c r="J17" i="7" s="1"/>
  <c r="K18" i="7"/>
  <c r="J18" i="7" s="1"/>
  <c r="K19" i="7"/>
  <c r="J19" i="7" s="1"/>
  <c r="K20" i="7"/>
  <c r="J20" i="7" s="1"/>
  <c r="K21" i="7"/>
  <c r="J21" i="7" s="1"/>
  <c r="K22" i="7"/>
  <c r="J22" i="7" s="1"/>
  <c r="K23" i="7"/>
  <c r="J23" i="7" s="1"/>
  <c r="K24" i="7"/>
  <c r="J24" i="7" s="1"/>
  <c r="K25" i="7"/>
  <c r="J25" i="7" s="1"/>
  <c r="K26" i="7"/>
  <c r="J26" i="7" s="1"/>
  <c r="K27" i="7"/>
  <c r="J27" i="7" s="1"/>
  <c r="K28" i="7"/>
  <c r="J28" i="7" s="1"/>
  <c r="K29" i="7"/>
  <c r="J29" i="7" s="1"/>
  <c r="K30" i="7"/>
  <c r="J30" i="7" s="1"/>
  <c r="K31" i="7"/>
  <c r="K32" i="7"/>
  <c r="K33" i="7"/>
  <c r="K34" i="7"/>
  <c r="K35" i="7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J8" i="7"/>
  <c r="J9" i="7"/>
  <c r="K8" i="6"/>
  <c r="J8" i="6" s="1"/>
  <c r="K9" i="6"/>
  <c r="J9" i="6" s="1"/>
  <c r="K10" i="6"/>
  <c r="J10" i="6" s="1"/>
  <c r="K11" i="6"/>
  <c r="K12" i="6"/>
  <c r="J12" i="6" s="1"/>
  <c r="K13" i="6"/>
  <c r="J13" i="6" s="1"/>
  <c r="K14" i="6"/>
  <c r="J14" i="6" s="1"/>
  <c r="K15" i="6"/>
  <c r="J15" i="6" s="1"/>
  <c r="K16" i="6"/>
  <c r="J16" i="6" s="1"/>
  <c r="K17" i="6"/>
  <c r="J17" i="6" s="1"/>
  <c r="K18" i="6"/>
  <c r="J18" i="6" s="1"/>
  <c r="K19" i="6"/>
  <c r="J19" i="6" s="1"/>
  <c r="K20" i="6"/>
  <c r="J20" i="6" s="1"/>
  <c r="K21" i="6"/>
  <c r="J21" i="6" s="1"/>
  <c r="K22" i="6"/>
  <c r="J22" i="6" s="1"/>
  <c r="K23" i="6"/>
  <c r="J23" i="6" s="1"/>
  <c r="K24" i="6"/>
  <c r="J24" i="6" s="1"/>
  <c r="K25" i="6"/>
  <c r="J25" i="6" s="1"/>
  <c r="K26" i="6"/>
  <c r="J26" i="6" s="1"/>
  <c r="K27" i="6"/>
  <c r="J27" i="6" s="1"/>
  <c r="K28" i="6"/>
  <c r="J28" i="6" s="1"/>
  <c r="K29" i="6"/>
  <c r="J29" i="6" s="1"/>
  <c r="K30" i="6"/>
  <c r="J30" i="6" s="1"/>
  <c r="K31" i="6"/>
  <c r="J31" i="6" s="1"/>
  <c r="K32" i="6"/>
  <c r="J32" i="6" s="1"/>
  <c r="K33" i="6"/>
  <c r="J33" i="6" s="1"/>
  <c r="K34" i="6"/>
  <c r="J34" i="6" s="1"/>
  <c r="K8" i="5"/>
  <c r="J8" i="5" s="1"/>
  <c r="K9" i="5"/>
  <c r="J9" i="5" s="1"/>
  <c r="K10" i="5"/>
  <c r="J10" i="5" s="1"/>
  <c r="K11" i="5"/>
  <c r="J11" i="5" s="1"/>
  <c r="K12" i="5"/>
  <c r="J12" i="5" s="1"/>
  <c r="K13" i="5"/>
  <c r="J13" i="5" s="1"/>
  <c r="K14" i="5"/>
  <c r="J14" i="5" s="1"/>
  <c r="K15" i="5"/>
  <c r="J15" i="5" s="1"/>
  <c r="K16" i="5"/>
  <c r="J16" i="5" s="1"/>
  <c r="K17" i="5"/>
  <c r="J17" i="5" s="1"/>
  <c r="K18" i="5"/>
  <c r="J18" i="5" s="1"/>
  <c r="K19" i="5"/>
  <c r="J19" i="5" s="1"/>
  <c r="K20" i="5"/>
  <c r="J20" i="5" s="1"/>
  <c r="K21" i="5"/>
  <c r="J21" i="5" s="1"/>
  <c r="K22" i="5"/>
  <c r="J22" i="5" s="1"/>
  <c r="K23" i="5"/>
  <c r="J23" i="5" s="1"/>
  <c r="K24" i="5"/>
  <c r="J24" i="5" s="1"/>
  <c r="K25" i="5"/>
  <c r="J25" i="5" s="1"/>
  <c r="K26" i="5"/>
  <c r="J26" i="5" s="1"/>
  <c r="K27" i="5"/>
  <c r="J27" i="5" s="1"/>
  <c r="K28" i="5"/>
  <c r="J28" i="5" s="1"/>
  <c r="K29" i="5"/>
  <c r="J29" i="5" s="1"/>
  <c r="K30" i="5"/>
  <c r="J30" i="5" s="1"/>
  <c r="K31" i="5"/>
  <c r="J31" i="5" s="1"/>
  <c r="K32" i="5"/>
  <c r="J32" i="5" s="1"/>
  <c r="K33" i="5"/>
  <c r="J33" i="5" s="1"/>
  <c r="K34" i="5"/>
  <c r="J34" i="5" s="1"/>
  <c r="K35" i="5"/>
  <c r="J35" i="5" s="1"/>
  <c r="K8" i="4"/>
  <c r="J8" i="4" s="1"/>
  <c r="K9" i="4"/>
  <c r="J9" i="4" s="1"/>
  <c r="K10" i="4"/>
  <c r="J10" i="4" s="1"/>
  <c r="K11" i="4"/>
  <c r="J11" i="4" s="1"/>
  <c r="K12" i="4"/>
  <c r="J12" i="4" s="1"/>
  <c r="K13" i="4"/>
  <c r="J13" i="4" s="1"/>
  <c r="K14" i="4"/>
  <c r="J14" i="4" s="1"/>
  <c r="K15" i="4"/>
  <c r="J15" i="4" s="1"/>
  <c r="K16" i="4"/>
  <c r="J16" i="4" s="1"/>
  <c r="K17" i="4"/>
  <c r="J17" i="4" s="1"/>
  <c r="K18" i="4"/>
  <c r="J18" i="4" s="1"/>
  <c r="K19" i="4"/>
  <c r="J19" i="4" s="1"/>
  <c r="K20" i="4"/>
  <c r="J20" i="4" s="1"/>
  <c r="K21" i="4"/>
  <c r="J21" i="4" s="1"/>
  <c r="K22" i="4"/>
  <c r="J22" i="4" s="1"/>
  <c r="K23" i="4"/>
  <c r="J23" i="4" s="1"/>
  <c r="K24" i="4"/>
  <c r="J24" i="4" s="1"/>
  <c r="K25" i="4"/>
  <c r="J25" i="4" s="1"/>
  <c r="K26" i="4"/>
  <c r="J26" i="4" s="1"/>
  <c r="K27" i="4"/>
  <c r="J27" i="4" s="1"/>
  <c r="K28" i="4"/>
  <c r="J28" i="4" s="1"/>
  <c r="K29" i="4"/>
  <c r="J29" i="4" s="1"/>
  <c r="K30" i="4"/>
  <c r="J30" i="4" s="1"/>
  <c r="K31" i="4"/>
  <c r="J31" i="4" s="1"/>
  <c r="K32" i="4"/>
  <c r="J32" i="4" s="1"/>
  <c r="K33" i="4"/>
  <c r="J33" i="4" s="1"/>
  <c r="K34" i="4"/>
  <c r="J34" i="4" s="1"/>
  <c r="K35" i="4"/>
  <c r="J35" i="4" s="1"/>
  <c r="K8" i="3"/>
  <c r="J8" i="3" s="1"/>
  <c r="K9" i="3"/>
  <c r="J9" i="3" s="1"/>
  <c r="K10" i="3"/>
  <c r="J10" i="3" s="1"/>
  <c r="K11" i="3"/>
  <c r="J11" i="3" s="1"/>
  <c r="K12" i="3"/>
  <c r="J12" i="3" s="1"/>
  <c r="K13" i="3"/>
  <c r="J13" i="3" s="1"/>
  <c r="K14" i="3"/>
  <c r="J14" i="3" s="1"/>
  <c r="K15" i="3"/>
  <c r="J15" i="3" s="1"/>
  <c r="K16" i="3"/>
  <c r="J16" i="3" s="1"/>
  <c r="K17" i="3"/>
  <c r="J17" i="3" s="1"/>
  <c r="K18" i="3"/>
  <c r="J18" i="3" s="1"/>
  <c r="K19" i="3"/>
  <c r="J19" i="3" s="1"/>
  <c r="K20" i="3"/>
  <c r="J20" i="3" s="1"/>
  <c r="K21" i="3"/>
  <c r="J21" i="3" s="1"/>
  <c r="K22" i="3"/>
  <c r="J22" i="3" s="1"/>
  <c r="K23" i="3"/>
  <c r="J23" i="3" s="1"/>
  <c r="K24" i="3"/>
  <c r="J24" i="3" s="1"/>
  <c r="K25" i="3"/>
  <c r="J25" i="3" s="1"/>
  <c r="K26" i="3"/>
  <c r="J26" i="3" s="1"/>
  <c r="K27" i="3"/>
  <c r="J27" i="3" s="1"/>
  <c r="K28" i="3"/>
  <c r="J28" i="3" s="1"/>
  <c r="K29" i="3"/>
  <c r="J29" i="3" s="1"/>
  <c r="K30" i="3"/>
  <c r="J30" i="3" s="1"/>
  <c r="K31" i="3"/>
  <c r="J31" i="3" s="1"/>
  <c r="K32" i="3"/>
  <c r="J32" i="3" s="1"/>
  <c r="K33" i="3"/>
  <c r="J33" i="3" s="1"/>
  <c r="K34" i="3"/>
  <c r="J34" i="3" s="1"/>
  <c r="K35" i="3"/>
  <c r="J35" i="3" s="1"/>
  <c r="K36" i="3"/>
  <c r="J36" i="3" s="1"/>
  <c r="K8" i="2"/>
  <c r="J8" i="2" s="1"/>
  <c r="K9" i="2"/>
  <c r="J9" i="2" s="1"/>
  <c r="K10" i="2"/>
  <c r="J10" i="2" s="1"/>
  <c r="K11" i="2"/>
  <c r="J11" i="2" s="1"/>
  <c r="K12" i="2"/>
  <c r="J12" i="2" s="1"/>
  <c r="K13" i="2"/>
  <c r="J13" i="2" s="1"/>
  <c r="K14" i="2"/>
  <c r="J14" i="2" s="1"/>
  <c r="K15" i="2"/>
  <c r="J15" i="2" s="1"/>
  <c r="K16" i="2"/>
  <c r="J16" i="2" s="1"/>
  <c r="K17" i="2"/>
  <c r="J17" i="2" s="1"/>
  <c r="K18" i="2"/>
  <c r="J18" i="2" s="1"/>
  <c r="K19" i="2"/>
  <c r="J19" i="2" s="1"/>
  <c r="K20" i="2"/>
  <c r="J20" i="2" s="1"/>
  <c r="K21" i="2"/>
  <c r="J21" i="2" s="1"/>
  <c r="K22" i="2"/>
  <c r="J22" i="2" s="1"/>
  <c r="K23" i="2"/>
  <c r="J23" i="2" s="1"/>
  <c r="K24" i="2"/>
  <c r="J24" i="2" s="1"/>
  <c r="K25" i="2"/>
  <c r="J25" i="2" s="1"/>
  <c r="K26" i="2"/>
  <c r="J26" i="2" s="1"/>
  <c r="K27" i="2"/>
  <c r="J27" i="2" s="1"/>
  <c r="K28" i="2"/>
  <c r="J28" i="2" s="1"/>
  <c r="K29" i="2"/>
  <c r="J29" i="2" s="1"/>
  <c r="K30" i="2"/>
  <c r="J30" i="2" s="1"/>
  <c r="K31" i="2"/>
  <c r="J31" i="2" s="1"/>
  <c r="K32" i="2"/>
  <c r="J32" i="2" s="1"/>
  <c r="K33" i="2"/>
  <c r="J33" i="2" s="1"/>
  <c r="K34" i="2"/>
  <c r="J34" i="2" s="1"/>
  <c r="K35" i="2"/>
  <c r="J35" i="2" s="1"/>
  <c r="K36" i="2"/>
  <c r="J36" i="2" s="1"/>
  <c r="K10" i="14"/>
  <c r="J10" i="14" s="1"/>
  <c r="K11" i="14"/>
  <c r="J11" i="14" s="1"/>
  <c r="K12" i="14"/>
  <c r="J12" i="14" s="1"/>
  <c r="K13" i="14"/>
  <c r="J13" i="14" s="1"/>
  <c r="K14" i="14"/>
  <c r="J14" i="14" s="1"/>
  <c r="K15" i="14"/>
  <c r="J15" i="14" s="1"/>
  <c r="K16" i="14"/>
  <c r="J16" i="14" s="1"/>
  <c r="K17" i="14"/>
  <c r="J17" i="14" s="1"/>
  <c r="K18" i="14"/>
  <c r="J18" i="14" s="1"/>
  <c r="K19" i="14"/>
  <c r="J19" i="14" s="1"/>
  <c r="K20" i="14"/>
  <c r="J20" i="14" s="1"/>
  <c r="K21" i="14"/>
  <c r="J21" i="14" s="1"/>
  <c r="K22" i="14"/>
  <c r="J22" i="14" s="1"/>
  <c r="K23" i="14"/>
  <c r="J23" i="14" s="1"/>
  <c r="K24" i="14"/>
  <c r="J24" i="14" s="1"/>
  <c r="K25" i="14"/>
  <c r="J25" i="14" s="1"/>
  <c r="K26" i="14"/>
  <c r="J26" i="14" s="1"/>
  <c r="K27" i="14"/>
  <c r="J27" i="14" s="1"/>
  <c r="K28" i="14"/>
  <c r="J28" i="14" s="1"/>
  <c r="K29" i="14"/>
  <c r="J29" i="14" s="1"/>
  <c r="K30" i="14"/>
  <c r="J30" i="14" s="1"/>
  <c r="K31" i="14"/>
  <c r="J31" i="14" s="1"/>
  <c r="K32" i="14"/>
  <c r="J32" i="14" s="1"/>
  <c r="K10" i="1"/>
  <c r="J10" i="1" s="1"/>
  <c r="K11" i="1"/>
  <c r="J11" i="1" s="1"/>
  <c r="K12" i="1"/>
  <c r="J12" i="1" s="1"/>
  <c r="K13" i="1"/>
  <c r="J13" i="1" s="1"/>
  <c r="K14" i="1"/>
  <c r="J14" i="1" s="1"/>
  <c r="K15" i="1"/>
  <c r="J15" i="1" s="1"/>
  <c r="K16" i="1"/>
  <c r="J16" i="1" s="1"/>
  <c r="K17" i="1"/>
  <c r="J17" i="1" s="1"/>
  <c r="K18" i="1"/>
  <c r="J18" i="1" s="1"/>
  <c r="K19" i="1"/>
  <c r="J19" i="1" s="1"/>
  <c r="K20" i="1"/>
  <c r="J20" i="1" s="1"/>
  <c r="K21" i="1"/>
  <c r="J21" i="1" s="1"/>
  <c r="K22" i="1"/>
  <c r="J22" i="1" s="1"/>
  <c r="K23" i="1"/>
  <c r="J23" i="1" s="1"/>
  <c r="K24" i="1"/>
  <c r="J24" i="1" s="1"/>
  <c r="K25" i="1"/>
  <c r="J25" i="1" s="1"/>
  <c r="K26" i="1"/>
  <c r="J26" i="1" s="1"/>
  <c r="K27" i="1"/>
  <c r="J27" i="1" s="1"/>
  <c r="K28" i="1"/>
  <c r="J28" i="1" s="1"/>
  <c r="K29" i="1"/>
  <c r="J29" i="1" s="1"/>
  <c r="K30" i="1"/>
  <c r="J30" i="1" s="1"/>
  <c r="K31" i="1"/>
  <c r="J31" i="1" s="1"/>
  <c r="K32" i="1"/>
  <c r="J32" i="1" s="1"/>
  <c r="K33" i="1"/>
  <c r="J33" i="1" s="1"/>
  <c r="K34" i="1"/>
  <c r="J34" i="1" s="1"/>
  <c r="K8" i="1"/>
  <c r="K9" i="1"/>
  <c r="K7" i="1"/>
  <c r="K8" i="9"/>
  <c r="J8" i="9" s="1"/>
  <c r="E26" i="7" l="1"/>
  <c r="K42" i="23" l="1"/>
  <c r="J42" i="23" s="1"/>
  <c r="E7" i="23" l="1"/>
  <c r="E8" i="23"/>
  <c r="E9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K41" i="23"/>
  <c r="J41" i="23" s="1"/>
  <c r="J33" i="8" l="1"/>
  <c r="K40" i="23" l="1"/>
  <c r="J40" i="23" s="1"/>
  <c r="K39" i="23" l="1"/>
  <c r="J39" i="23" s="1"/>
  <c r="K38" i="23" l="1"/>
  <c r="J38" i="23" s="1"/>
  <c r="K37" i="23" l="1"/>
  <c r="J37" i="23" s="1"/>
  <c r="K31" i="23" l="1"/>
  <c r="J31" i="23" s="1"/>
  <c r="K32" i="23"/>
  <c r="J32" i="23" s="1"/>
  <c r="K33" i="23"/>
  <c r="J33" i="23" s="1"/>
  <c r="K34" i="23"/>
  <c r="J34" i="23" s="1"/>
  <c r="K35" i="23"/>
  <c r="J35" i="23" s="1"/>
  <c r="K36" i="23"/>
  <c r="J36" i="23" s="1"/>
  <c r="E7" i="6" l="1"/>
  <c r="E8" i="6"/>
  <c r="E9" i="6"/>
  <c r="E10" i="6"/>
  <c r="E11" i="6"/>
  <c r="E12" i="6"/>
  <c r="E13" i="6"/>
  <c r="E14" i="6"/>
  <c r="E13" i="3" l="1"/>
  <c r="E15" i="5" l="1"/>
  <c r="AA552" i="32" l="1"/>
  <c r="C553" i="32"/>
  <c r="D553" i="32"/>
  <c r="E553" i="32"/>
  <c r="G553" i="32"/>
  <c r="H553" i="32"/>
  <c r="I553" i="32"/>
  <c r="K553" i="32"/>
  <c r="C554" i="32"/>
  <c r="D554" i="32"/>
  <c r="E554" i="32"/>
  <c r="G554" i="32"/>
  <c r="H554" i="32"/>
  <c r="I554" i="32"/>
  <c r="K554" i="32"/>
  <c r="C555" i="32"/>
  <c r="D555" i="32"/>
  <c r="E555" i="32"/>
  <c r="G555" i="32"/>
  <c r="H555" i="32"/>
  <c r="I555" i="32"/>
  <c r="K555" i="32"/>
  <c r="C556" i="32"/>
  <c r="D556" i="32"/>
  <c r="E556" i="32"/>
  <c r="G556" i="32"/>
  <c r="H556" i="32"/>
  <c r="I556" i="32"/>
  <c r="K556" i="32"/>
  <c r="C557" i="32"/>
  <c r="D557" i="32"/>
  <c r="E557" i="32"/>
  <c r="G557" i="32"/>
  <c r="H557" i="32"/>
  <c r="I557" i="32"/>
  <c r="K557" i="32"/>
  <c r="C558" i="32"/>
  <c r="D558" i="32"/>
  <c r="E558" i="32"/>
  <c r="G558" i="32"/>
  <c r="H558" i="32"/>
  <c r="I558" i="32"/>
  <c r="K558" i="32"/>
  <c r="C559" i="32"/>
  <c r="D559" i="32"/>
  <c r="E559" i="32"/>
  <c r="G559" i="32"/>
  <c r="H559" i="32"/>
  <c r="I559" i="32"/>
  <c r="K559" i="32"/>
  <c r="C560" i="32"/>
  <c r="D560" i="32"/>
  <c r="E560" i="32"/>
  <c r="G560" i="32"/>
  <c r="H560" i="32"/>
  <c r="I560" i="32"/>
  <c r="K560" i="32"/>
  <c r="L560" i="32"/>
  <c r="C561" i="32"/>
  <c r="D561" i="32"/>
  <c r="E561" i="32"/>
  <c r="G561" i="32"/>
  <c r="H561" i="32"/>
  <c r="I561" i="32"/>
  <c r="K561" i="32"/>
  <c r="C562" i="32"/>
  <c r="D562" i="32"/>
  <c r="E562" i="32"/>
  <c r="G562" i="32"/>
  <c r="H562" i="32"/>
  <c r="I562" i="32"/>
  <c r="K562" i="32"/>
  <c r="C563" i="32"/>
  <c r="D563" i="32"/>
  <c r="E563" i="32"/>
  <c r="G563" i="32"/>
  <c r="H563" i="32"/>
  <c r="I563" i="32"/>
  <c r="K563" i="32"/>
  <c r="C564" i="32"/>
  <c r="D564" i="32"/>
  <c r="E564" i="32"/>
  <c r="G564" i="32"/>
  <c r="H564" i="32"/>
  <c r="I564" i="32"/>
  <c r="K564" i="32"/>
  <c r="C565" i="32"/>
  <c r="D565" i="32"/>
  <c r="E565" i="32"/>
  <c r="G565" i="32"/>
  <c r="H565" i="32"/>
  <c r="I565" i="32"/>
  <c r="K565" i="32"/>
  <c r="C566" i="32"/>
  <c r="D566" i="32"/>
  <c r="E566" i="32"/>
  <c r="G566" i="32"/>
  <c r="H566" i="32"/>
  <c r="I566" i="32"/>
  <c r="K566" i="32"/>
  <c r="C567" i="32"/>
  <c r="D567" i="32"/>
  <c r="E567" i="32"/>
  <c r="G567" i="32"/>
  <c r="H567" i="32"/>
  <c r="I567" i="32"/>
  <c r="K567" i="32"/>
  <c r="C568" i="32"/>
  <c r="D568" i="32"/>
  <c r="E568" i="32"/>
  <c r="G568" i="32"/>
  <c r="H568" i="32"/>
  <c r="I568" i="32"/>
  <c r="K568" i="32"/>
  <c r="C569" i="32"/>
  <c r="D569" i="32"/>
  <c r="E569" i="32"/>
  <c r="G569" i="32"/>
  <c r="H569" i="32"/>
  <c r="I569" i="32"/>
  <c r="K569" i="32"/>
  <c r="C570" i="32"/>
  <c r="D570" i="32"/>
  <c r="E570" i="32"/>
  <c r="G570" i="32"/>
  <c r="H570" i="32"/>
  <c r="I570" i="32"/>
  <c r="K570" i="32"/>
  <c r="C571" i="32"/>
  <c r="D571" i="32"/>
  <c r="E571" i="32"/>
  <c r="G571" i="32"/>
  <c r="H571" i="32"/>
  <c r="I571" i="32"/>
  <c r="K571" i="32"/>
  <c r="C572" i="32"/>
  <c r="D572" i="32"/>
  <c r="E572" i="32"/>
  <c r="G572" i="32"/>
  <c r="H572" i="32"/>
  <c r="I572" i="32"/>
  <c r="K572" i="32"/>
  <c r="C573" i="32"/>
  <c r="D573" i="32"/>
  <c r="E573" i="32"/>
  <c r="G573" i="32"/>
  <c r="H573" i="32"/>
  <c r="I573" i="32"/>
  <c r="K573" i="32"/>
  <c r="C574" i="32"/>
  <c r="D574" i="32"/>
  <c r="E574" i="32"/>
  <c r="G574" i="32"/>
  <c r="H574" i="32"/>
  <c r="I574" i="32"/>
  <c r="K574" i="32"/>
  <c r="C575" i="32"/>
  <c r="D575" i="32"/>
  <c r="E575" i="32"/>
  <c r="G575" i="32"/>
  <c r="H575" i="32"/>
  <c r="I575" i="32"/>
  <c r="K575" i="32"/>
  <c r="C576" i="32"/>
  <c r="D576" i="32"/>
  <c r="E576" i="32"/>
  <c r="G576" i="32"/>
  <c r="H576" i="32"/>
  <c r="I576" i="32"/>
  <c r="K576" i="32"/>
  <c r="C577" i="32"/>
  <c r="D577" i="32"/>
  <c r="E577" i="32"/>
  <c r="G577" i="32"/>
  <c r="H577" i="32"/>
  <c r="I577" i="32"/>
  <c r="K577" i="32"/>
  <c r="C578" i="32"/>
  <c r="D578" i="32"/>
  <c r="E578" i="32"/>
  <c r="G578" i="32"/>
  <c r="H578" i="32"/>
  <c r="I578" i="32"/>
  <c r="K578" i="32"/>
  <c r="C579" i="32"/>
  <c r="D579" i="32"/>
  <c r="E579" i="32"/>
  <c r="F579" i="32"/>
  <c r="G579" i="32"/>
  <c r="H579" i="32"/>
  <c r="I579" i="32"/>
  <c r="K579" i="32"/>
  <c r="L579" i="32"/>
  <c r="N579" i="32"/>
  <c r="C580" i="32"/>
  <c r="D580" i="32"/>
  <c r="E580" i="32"/>
  <c r="F580" i="32"/>
  <c r="G580" i="32"/>
  <c r="H580" i="32"/>
  <c r="I580" i="32"/>
  <c r="K580" i="32"/>
  <c r="L580" i="32"/>
  <c r="N580" i="32"/>
  <c r="C581" i="32"/>
  <c r="D581" i="32"/>
  <c r="E581" i="32"/>
  <c r="F581" i="32"/>
  <c r="G581" i="32"/>
  <c r="H581" i="32"/>
  <c r="I581" i="32"/>
  <c r="K581" i="32"/>
  <c r="L581" i="32"/>
  <c r="N581" i="32"/>
  <c r="C582" i="32"/>
  <c r="D582" i="32"/>
  <c r="E582" i="32"/>
  <c r="F582" i="32"/>
  <c r="G582" i="32"/>
  <c r="H582" i="32"/>
  <c r="I582" i="32"/>
  <c r="K582" i="32"/>
  <c r="L582" i="32"/>
  <c r="N582" i="32"/>
  <c r="C583" i="32"/>
  <c r="D583" i="32"/>
  <c r="E583" i="32"/>
  <c r="F583" i="32"/>
  <c r="G583" i="32"/>
  <c r="H583" i="32"/>
  <c r="I583" i="32"/>
  <c r="K583" i="32"/>
  <c r="L583" i="32"/>
  <c r="N583" i="32"/>
  <c r="C584" i="32"/>
  <c r="D584" i="32"/>
  <c r="E584" i="32"/>
  <c r="F584" i="32"/>
  <c r="G584" i="32"/>
  <c r="H584" i="32"/>
  <c r="I584" i="32"/>
  <c r="K584" i="32"/>
  <c r="L584" i="32"/>
  <c r="N584" i="32"/>
  <c r="C585" i="32"/>
  <c r="D585" i="32"/>
  <c r="E585" i="32"/>
  <c r="F585" i="32"/>
  <c r="G585" i="32"/>
  <c r="H585" i="32"/>
  <c r="I585" i="32"/>
  <c r="K585" i="32"/>
  <c r="L585" i="32"/>
  <c r="N585" i="32"/>
  <c r="C586" i="32"/>
  <c r="D586" i="32"/>
  <c r="E586" i="32"/>
  <c r="F586" i="32"/>
  <c r="G586" i="32"/>
  <c r="H586" i="32"/>
  <c r="I586" i="32"/>
  <c r="K586" i="32"/>
  <c r="L586" i="32"/>
  <c r="N586" i="32"/>
  <c r="C587" i="32"/>
  <c r="D587" i="32"/>
  <c r="E587" i="32"/>
  <c r="F587" i="32"/>
  <c r="G587" i="32"/>
  <c r="H587" i="32"/>
  <c r="I587" i="32"/>
  <c r="K587" i="32"/>
  <c r="L587" i="32"/>
  <c r="N587" i="32"/>
  <c r="C588" i="32"/>
  <c r="D588" i="32"/>
  <c r="E588" i="32"/>
  <c r="F588" i="32"/>
  <c r="G588" i="32"/>
  <c r="H588" i="32"/>
  <c r="I588" i="32"/>
  <c r="K588" i="32"/>
  <c r="L588" i="32"/>
  <c r="N588" i="32"/>
  <c r="C589" i="32"/>
  <c r="D589" i="32"/>
  <c r="E589" i="32"/>
  <c r="F589" i="32"/>
  <c r="G589" i="32"/>
  <c r="H589" i="32"/>
  <c r="I589" i="32"/>
  <c r="K589" i="32"/>
  <c r="L589" i="32"/>
  <c r="N589" i="32"/>
  <c r="C590" i="32"/>
  <c r="D590" i="32"/>
  <c r="E590" i="32"/>
  <c r="F590" i="32"/>
  <c r="G590" i="32"/>
  <c r="H590" i="32"/>
  <c r="I590" i="32"/>
  <c r="K590" i="32"/>
  <c r="L590" i="32"/>
  <c r="N590" i="32"/>
  <c r="C591" i="32"/>
  <c r="D591" i="32"/>
  <c r="E591" i="32"/>
  <c r="F591" i="32"/>
  <c r="G591" i="32"/>
  <c r="H591" i="32"/>
  <c r="I591" i="32"/>
  <c r="K591" i="32"/>
  <c r="L591" i="32"/>
  <c r="N591" i="32"/>
  <c r="C592" i="32"/>
  <c r="D592" i="32"/>
  <c r="E592" i="32"/>
  <c r="F592" i="32"/>
  <c r="G592" i="32"/>
  <c r="H592" i="32"/>
  <c r="I592" i="32"/>
  <c r="K592" i="32"/>
  <c r="L592" i="32"/>
  <c r="N592" i="32"/>
  <c r="C593" i="32"/>
  <c r="D593" i="32"/>
  <c r="E593" i="32"/>
  <c r="F593" i="32"/>
  <c r="G593" i="32"/>
  <c r="H593" i="32"/>
  <c r="I593" i="32"/>
  <c r="K593" i="32"/>
  <c r="L593" i="32"/>
  <c r="N593" i="32"/>
  <c r="C594" i="32"/>
  <c r="D594" i="32"/>
  <c r="E594" i="32"/>
  <c r="F594" i="32"/>
  <c r="G594" i="32"/>
  <c r="H594" i="32"/>
  <c r="I594" i="32"/>
  <c r="K594" i="32"/>
  <c r="L594" i="32"/>
  <c r="N594" i="32"/>
  <c r="C595" i="32"/>
  <c r="D595" i="32"/>
  <c r="E595" i="32"/>
  <c r="F595" i="32"/>
  <c r="G595" i="32"/>
  <c r="H595" i="32"/>
  <c r="I595" i="32"/>
  <c r="K595" i="32"/>
  <c r="L595" i="32"/>
  <c r="N595" i="32"/>
  <c r="C596" i="32"/>
  <c r="D596" i="32"/>
  <c r="E596" i="32"/>
  <c r="F596" i="32"/>
  <c r="G596" i="32"/>
  <c r="H596" i="32"/>
  <c r="I596" i="32"/>
  <c r="K596" i="32"/>
  <c r="L596" i="32"/>
  <c r="N596" i="32"/>
  <c r="C597" i="32"/>
  <c r="D597" i="32"/>
  <c r="E597" i="32"/>
  <c r="F597" i="32"/>
  <c r="G597" i="32"/>
  <c r="H597" i="32"/>
  <c r="I597" i="32"/>
  <c r="K597" i="32"/>
  <c r="L597" i="32"/>
  <c r="N597" i="32"/>
  <c r="C598" i="32"/>
  <c r="D598" i="32"/>
  <c r="E598" i="32"/>
  <c r="F598" i="32"/>
  <c r="G598" i="32"/>
  <c r="H598" i="32"/>
  <c r="I598" i="32"/>
  <c r="K598" i="32"/>
  <c r="L598" i="32"/>
  <c r="N598" i="32"/>
  <c r="C599" i="32"/>
  <c r="D599" i="32"/>
  <c r="E599" i="32"/>
  <c r="F599" i="32"/>
  <c r="G599" i="32"/>
  <c r="H599" i="32"/>
  <c r="I599" i="32"/>
  <c r="K599" i="32"/>
  <c r="L599" i="32"/>
  <c r="N599" i="32"/>
  <c r="C600" i="32"/>
  <c r="D600" i="32"/>
  <c r="E600" i="32"/>
  <c r="F600" i="32"/>
  <c r="G600" i="32"/>
  <c r="H600" i="32"/>
  <c r="I600" i="32"/>
  <c r="K600" i="32"/>
  <c r="L600" i="32"/>
  <c r="N600" i="32"/>
  <c r="C601" i="32"/>
  <c r="D601" i="32"/>
  <c r="E601" i="32"/>
  <c r="F601" i="32"/>
  <c r="G601" i="32"/>
  <c r="H601" i="32"/>
  <c r="I601" i="32"/>
  <c r="K601" i="32"/>
  <c r="L601" i="32"/>
  <c r="N601" i="32"/>
  <c r="C602" i="32"/>
  <c r="D602" i="32"/>
  <c r="E602" i="32"/>
  <c r="F602" i="32"/>
  <c r="G602" i="32"/>
  <c r="H602" i="32"/>
  <c r="I602" i="32"/>
  <c r="K602" i="32"/>
  <c r="L602" i="32"/>
  <c r="N602" i="32"/>
  <c r="C603" i="32"/>
  <c r="D603" i="32"/>
  <c r="E603" i="32"/>
  <c r="F603" i="32"/>
  <c r="G603" i="32"/>
  <c r="H603" i="32"/>
  <c r="I603" i="32"/>
  <c r="K603" i="32"/>
  <c r="L603" i="32"/>
  <c r="N603" i="32"/>
  <c r="C604" i="32"/>
  <c r="D604" i="32"/>
  <c r="E604" i="32"/>
  <c r="F604" i="32"/>
  <c r="G604" i="32"/>
  <c r="H604" i="32"/>
  <c r="I604" i="32"/>
  <c r="K604" i="32"/>
  <c r="L604" i="32"/>
  <c r="N604" i="32"/>
  <c r="C605" i="32"/>
  <c r="D605" i="32"/>
  <c r="E605" i="32"/>
  <c r="F605" i="32"/>
  <c r="G605" i="32"/>
  <c r="H605" i="32"/>
  <c r="I605" i="32"/>
  <c r="K605" i="32"/>
  <c r="L605" i="32"/>
  <c r="N605" i="32"/>
  <c r="C606" i="32"/>
  <c r="D606" i="32"/>
  <c r="E606" i="32"/>
  <c r="F606" i="32"/>
  <c r="G606" i="32"/>
  <c r="H606" i="32"/>
  <c r="I606" i="32"/>
  <c r="K606" i="32"/>
  <c r="L606" i="32"/>
  <c r="N606" i="32"/>
  <c r="R553" i="32"/>
  <c r="S553" i="32"/>
  <c r="T553" i="32"/>
  <c r="U553" i="32"/>
  <c r="V553" i="32"/>
  <c r="W553" i="32"/>
  <c r="X553" i="32"/>
  <c r="Y553" i="32"/>
  <c r="Z553" i="32"/>
  <c r="AA553" i="32"/>
  <c r="R554" i="32"/>
  <c r="S554" i="32"/>
  <c r="T554" i="32"/>
  <c r="U554" i="32"/>
  <c r="V554" i="32"/>
  <c r="W554" i="32"/>
  <c r="X554" i="32"/>
  <c r="Y554" i="32"/>
  <c r="Z554" i="32"/>
  <c r="AA554" i="32"/>
  <c r="R555" i="32"/>
  <c r="S555" i="32"/>
  <c r="T555" i="32"/>
  <c r="U555" i="32"/>
  <c r="V555" i="32"/>
  <c r="W555" i="32"/>
  <c r="X555" i="32"/>
  <c r="Y555" i="32"/>
  <c r="Z555" i="32"/>
  <c r="AA555" i="32"/>
  <c r="R556" i="32"/>
  <c r="S556" i="32"/>
  <c r="T556" i="32"/>
  <c r="U556" i="32"/>
  <c r="V556" i="32"/>
  <c r="W556" i="32"/>
  <c r="X556" i="32"/>
  <c r="Y556" i="32"/>
  <c r="Z556" i="32"/>
  <c r="AA556" i="32"/>
  <c r="R557" i="32"/>
  <c r="S557" i="32"/>
  <c r="T557" i="32"/>
  <c r="U557" i="32"/>
  <c r="V557" i="32"/>
  <c r="W557" i="32"/>
  <c r="X557" i="32"/>
  <c r="Y557" i="32"/>
  <c r="Z557" i="32"/>
  <c r="AA557" i="32"/>
  <c r="R558" i="32"/>
  <c r="S558" i="32"/>
  <c r="T558" i="32"/>
  <c r="U558" i="32"/>
  <c r="V558" i="32"/>
  <c r="W558" i="32"/>
  <c r="X558" i="32"/>
  <c r="Y558" i="32"/>
  <c r="Z558" i="32"/>
  <c r="AA558" i="32"/>
  <c r="R559" i="32"/>
  <c r="S559" i="32"/>
  <c r="T559" i="32"/>
  <c r="U559" i="32"/>
  <c r="V559" i="32"/>
  <c r="W559" i="32"/>
  <c r="X559" i="32"/>
  <c r="Y559" i="32"/>
  <c r="Z559" i="32"/>
  <c r="AA559" i="32"/>
  <c r="R560" i="32"/>
  <c r="S560" i="32"/>
  <c r="T560" i="32"/>
  <c r="U560" i="32"/>
  <c r="V560" i="32"/>
  <c r="W560" i="32"/>
  <c r="X560" i="32"/>
  <c r="Y560" i="32"/>
  <c r="Z560" i="32"/>
  <c r="AA560" i="32"/>
  <c r="R561" i="32"/>
  <c r="S561" i="32"/>
  <c r="T561" i="32"/>
  <c r="U561" i="32"/>
  <c r="V561" i="32"/>
  <c r="W561" i="32"/>
  <c r="X561" i="32"/>
  <c r="Y561" i="32"/>
  <c r="Z561" i="32"/>
  <c r="AA561" i="32"/>
  <c r="R562" i="32"/>
  <c r="S562" i="32"/>
  <c r="T562" i="32"/>
  <c r="U562" i="32"/>
  <c r="V562" i="32"/>
  <c r="W562" i="32"/>
  <c r="X562" i="32"/>
  <c r="Y562" i="32"/>
  <c r="Z562" i="32"/>
  <c r="AA562" i="32"/>
  <c r="R563" i="32"/>
  <c r="S563" i="32"/>
  <c r="T563" i="32"/>
  <c r="U563" i="32"/>
  <c r="V563" i="32"/>
  <c r="W563" i="32"/>
  <c r="X563" i="32"/>
  <c r="Y563" i="32"/>
  <c r="Z563" i="32"/>
  <c r="AA563" i="32"/>
  <c r="R564" i="32"/>
  <c r="S564" i="32"/>
  <c r="T564" i="32"/>
  <c r="U564" i="32"/>
  <c r="V564" i="32"/>
  <c r="W564" i="32"/>
  <c r="X564" i="32"/>
  <c r="Y564" i="32"/>
  <c r="Z564" i="32"/>
  <c r="AA564" i="32"/>
  <c r="R565" i="32"/>
  <c r="S565" i="32"/>
  <c r="T565" i="32"/>
  <c r="U565" i="32"/>
  <c r="V565" i="32"/>
  <c r="W565" i="32"/>
  <c r="X565" i="32"/>
  <c r="Y565" i="32"/>
  <c r="Z565" i="32"/>
  <c r="AA565" i="32"/>
  <c r="R566" i="32"/>
  <c r="S566" i="32"/>
  <c r="T566" i="32"/>
  <c r="U566" i="32"/>
  <c r="V566" i="32"/>
  <c r="W566" i="32"/>
  <c r="X566" i="32"/>
  <c r="Y566" i="32"/>
  <c r="Z566" i="32"/>
  <c r="AA566" i="32"/>
  <c r="R567" i="32"/>
  <c r="S567" i="32"/>
  <c r="T567" i="32"/>
  <c r="U567" i="32"/>
  <c r="V567" i="32"/>
  <c r="W567" i="32"/>
  <c r="X567" i="32"/>
  <c r="Y567" i="32"/>
  <c r="Z567" i="32"/>
  <c r="AA567" i="32"/>
  <c r="R568" i="32"/>
  <c r="S568" i="32"/>
  <c r="T568" i="32"/>
  <c r="U568" i="32"/>
  <c r="V568" i="32"/>
  <c r="W568" i="32"/>
  <c r="X568" i="32"/>
  <c r="Y568" i="32"/>
  <c r="Z568" i="32"/>
  <c r="AA568" i="32"/>
  <c r="R569" i="32"/>
  <c r="S569" i="32"/>
  <c r="T569" i="32"/>
  <c r="U569" i="32"/>
  <c r="V569" i="32"/>
  <c r="W569" i="32"/>
  <c r="X569" i="32"/>
  <c r="Y569" i="32"/>
  <c r="Z569" i="32"/>
  <c r="AA569" i="32"/>
  <c r="R570" i="32"/>
  <c r="S570" i="32"/>
  <c r="T570" i="32"/>
  <c r="U570" i="32"/>
  <c r="V570" i="32"/>
  <c r="W570" i="32"/>
  <c r="X570" i="32"/>
  <c r="Y570" i="32"/>
  <c r="Z570" i="32"/>
  <c r="AA570" i="32"/>
  <c r="R571" i="32"/>
  <c r="S571" i="32"/>
  <c r="T571" i="32"/>
  <c r="U571" i="32"/>
  <c r="V571" i="32"/>
  <c r="W571" i="32"/>
  <c r="X571" i="32"/>
  <c r="Y571" i="32"/>
  <c r="Z571" i="32"/>
  <c r="AA571" i="32"/>
  <c r="R572" i="32"/>
  <c r="S572" i="32"/>
  <c r="T572" i="32"/>
  <c r="U572" i="32"/>
  <c r="V572" i="32"/>
  <c r="W572" i="32"/>
  <c r="X572" i="32"/>
  <c r="Y572" i="32"/>
  <c r="Z572" i="32"/>
  <c r="AA572" i="32"/>
  <c r="R573" i="32"/>
  <c r="S573" i="32"/>
  <c r="T573" i="32"/>
  <c r="U573" i="32"/>
  <c r="V573" i="32"/>
  <c r="W573" i="32"/>
  <c r="X573" i="32"/>
  <c r="Y573" i="32"/>
  <c r="Z573" i="32"/>
  <c r="AA573" i="32"/>
  <c r="R574" i="32"/>
  <c r="S574" i="32"/>
  <c r="T574" i="32"/>
  <c r="U574" i="32"/>
  <c r="V574" i="32"/>
  <c r="W574" i="32"/>
  <c r="X574" i="32"/>
  <c r="Y574" i="32"/>
  <c r="Z574" i="32"/>
  <c r="AA574" i="32"/>
  <c r="R575" i="32"/>
  <c r="S575" i="32"/>
  <c r="T575" i="32"/>
  <c r="U575" i="32"/>
  <c r="V575" i="32"/>
  <c r="W575" i="32"/>
  <c r="X575" i="32"/>
  <c r="Y575" i="32"/>
  <c r="Z575" i="32"/>
  <c r="AA575" i="32"/>
  <c r="R576" i="32"/>
  <c r="S576" i="32"/>
  <c r="T576" i="32"/>
  <c r="U576" i="32"/>
  <c r="V576" i="32"/>
  <c r="W576" i="32"/>
  <c r="X576" i="32"/>
  <c r="Y576" i="32"/>
  <c r="Z576" i="32"/>
  <c r="AA576" i="32"/>
  <c r="R577" i="32"/>
  <c r="S577" i="32"/>
  <c r="T577" i="32"/>
  <c r="U577" i="32"/>
  <c r="V577" i="32"/>
  <c r="W577" i="32"/>
  <c r="X577" i="32"/>
  <c r="Y577" i="32"/>
  <c r="Z577" i="32"/>
  <c r="AA577" i="32"/>
  <c r="R578" i="32"/>
  <c r="S578" i="32"/>
  <c r="T578" i="32"/>
  <c r="U578" i="32"/>
  <c r="V578" i="32"/>
  <c r="W578" i="32"/>
  <c r="X578" i="32"/>
  <c r="Y578" i="32"/>
  <c r="Z578" i="32"/>
  <c r="AA578" i="32"/>
  <c r="R579" i="32"/>
  <c r="S579" i="32"/>
  <c r="T579" i="32"/>
  <c r="U579" i="32"/>
  <c r="V579" i="32"/>
  <c r="W579" i="32"/>
  <c r="X579" i="32"/>
  <c r="Y579" i="32"/>
  <c r="Z579" i="32"/>
  <c r="AA579" i="32"/>
  <c r="R580" i="32"/>
  <c r="S580" i="32"/>
  <c r="T580" i="32"/>
  <c r="U580" i="32"/>
  <c r="V580" i="32"/>
  <c r="W580" i="32"/>
  <c r="X580" i="32"/>
  <c r="Y580" i="32"/>
  <c r="Z580" i="32"/>
  <c r="AA580" i="32"/>
  <c r="R581" i="32"/>
  <c r="S581" i="32"/>
  <c r="T581" i="32"/>
  <c r="U581" i="32"/>
  <c r="V581" i="32"/>
  <c r="W581" i="32"/>
  <c r="X581" i="32"/>
  <c r="Y581" i="32"/>
  <c r="Z581" i="32"/>
  <c r="AA581" i="32"/>
  <c r="R582" i="32"/>
  <c r="S582" i="32"/>
  <c r="T582" i="32"/>
  <c r="U582" i="32"/>
  <c r="V582" i="32"/>
  <c r="W582" i="32"/>
  <c r="X582" i="32"/>
  <c r="Y582" i="32"/>
  <c r="Z582" i="32"/>
  <c r="AA582" i="32"/>
  <c r="R583" i="32"/>
  <c r="S583" i="32"/>
  <c r="T583" i="32"/>
  <c r="U583" i="32"/>
  <c r="V583" i="32"/>
  <c r="W583" i="32"/>
  <c r="X583" i="32"/>
  <c r="Y583" i="32"/>
  <c r="Z583" i="32"/>
  <c r="AA583" i="32"/>
  <c r="R584" i="32"/>
  <c r="S584" i="32"/>
  <c r="T584" i="32"/>
  <c r="U584" i="32"/>
  <c r="V584" i="32"/>
  <c r="W584" i="32"/>
  <c r="X584" i="32"/>
  <c r="Y584" i="32"/>
  <c r="Z584" i="32"/>
  <c r="AA584" i="32"/>
  <c r="R585" i="32"/>
  <c r="S585" i="32"/>
  <c r="T585" i="32"/>
  <c r="U585" i="32"/>
  <c r="V585" i="32"/>
  <c r="W585" i="32"/>
  <c r="X585" i="32"/>
  <c r="Y585" i="32"/>
  <c r="Z585" i="32"/>
  <c r="AA585" i="32"/>
  <c r="R586" i="32"/>
  <c r="S586" i="32"/>
  <c r="T586" i="32"/>
  <c r="U586" i="32"/>
  <c r="V586" i="32"/>
  <c r="W586" i="32"/>
  <c r="X586" i="32"/>
  <c r="Y586" i="32"/>
  <c r="Z586" i="32"/>
  <c r="AA586" i="32"/>
  <c r="R587" i="32"/>
  <c r="S587" i="32"/>
  <c r="T587" i="32"/>
  <c r="U587" i="32"/>
  <c r="V587" i="32"/>
  <c r="W587" i="32"/>
  <c r="X587" i="32"/>
  <c r="Y587" i="32"/>
  <c r="Z587" i="32"/>
  <c r="AA587" i="32"/>
  <c r="R588" i="32"/>
  <c r="S588" i="32"/>
  <c r="T588" i="32"/>
  <c r="U588" i="32"/>
  <c r="V588" i="32"/>
  <c r="W588" i="32"/>
  <c r="X588" i="32"/>
  <c r="Y588" i="32"/>
  <c r="Z588" i="32"/>
  <c r="AA588" i="32"/>
  <c r="R589" i="32"/>
  <c r="S589" i="32"/>
  <c r="T589" i="32"/>
  <c r="U589" i="32"/>
  <c r="V589" i="32"/>
  <c r="W589" i="32"/>
  <c r="X589" i="32"/>
  <c r="Y589" i="32"/>
  <c r="Z589" i="32"/>
  <c r="AA589" i="32"/>
  <c r="R590" i="32"/>
  <c r="S590" i="32"/>
  <c r="T590" i="32"/>
  <c r="U590" i="32"/>
  <c r="V590" i="32"/>
  <c r="W590" i="32"/>
  <c r="X590" i="32"/>
  <c r="Y590" i="32"/>
  <c r="Z590" i="32"/>
  <c r="AA590" i="32"/>
  <c r="R591" i="32"/>
  <c r="S591" i="32"/>
  <c r="T591" i="32"/>
  <c r="U591" i="32"/>
  <c r="V591" i="32"/>
  <c r="W591" i="32"/>
  <c r="X591" i="32"/>
  <c r="Y591" i="32"/>
  <c r="Z591" i="32"/>
  <c r="AA591" i="32"/>
  <c r="R592" i="32"/>
  <c r="S592" i="32"/>
  <c r="T592" i="32"/>
  <c r="U592" i="32"/>
  <c r="V592" i="32"/>
  <c r="W592" i="32"/>
  <c r="X592" i="32"/>
  <c r="Y592" i="32"/>
  <c r="Z592" i="32"/>
  <c r="AA592" i="32"/>
  <c r="R593" i="32"/>
  <c r="S593" i="32"/>
  <c r="T593" i="32"/>
  <c r="U593" i="32"/>
  <c r="V593" i="32"/>
  <c r="W593" i="32"/>
  <c r="X593" i="32"/>
  <c r="Y593" i="32"/>
  <c r="Z593" i="32"/>
  <c r="AA593" i="32"/>
  <c r="R594" i="32"/>
  <c r="S594" i="32"/>
  <c r="T594" i="32"/>
  <c r="U594" i="32"/>
  <c r="V594" i="32"/>
  <c r="W594" i="32"/>
  <c r="X594" i="32"/>
  <c r="Y594" i="32"/>
  <c r="Z594" i="32"/>
  <c r="AA594" i="32"/>
  <c r="R595" i="32"/>
  <c r="S595" i="32"/>
  <c r="T595" i="32"/>
  <c r="U595" i="32"/>
  <c r="V595" i="32"/>
  <c r="W595" i="32"/>
  <c r="X595" i="32"/>
  <c r="Y595" i="32"/>
  <c r="Z595" i="32"/>
  <c r="AA595" i="32"/>
  <c r="R596" i="32"/>
  <c r="S596" i="32"/>
  <c r="T596" i="32"/>
  <c r="U596" i="32"/>
  <c r="V596" i="32"/>
  <c r="W596" i="32"/>
  <c r="X596" i="32"/>
  <c r="Y596" i="32"/>
  <c r="Z596" i="32"/>
  <c r="AA596" i="32"/>
  <c r="R597" i="32"/>
  <c r="S597" i="32"/>
  <c r="T597" i="32"/>
  <c r="U597" i="32"/>
  <c r="V597" i="32"/>
  <c r="W597" i="32"/>
  <c r="X597" i="32"/>
  <c r="Y597" i="32"/>
  <c r="Z597" i="32"/>
  <c r="AA597" i="32"/>
  <c r="R598" i="32"/>
  <c r="S598" i="32"/>
  <c r="T598" i="32"/>
  <c r="U598" i="32"/>
  <c r="V598" i="32"/>
  <c r="W598" i="32"/>
  <c r="X598" i="32"/>
  <c r="Y598" i="32"/>
  <c r="Z598" i="32"/>
  <c r="AA598" i="32"/>
  <c r="R599" i="32"/>
  <c r="S599" i="32"/>
  <c r="T599" i="32"/>
  <c r="U599" i="32"/>
  <c r="V599" i="32"/>
  <c r="W599" i="32"/>
  <c r="X599" i="32"/>
  <c r="Y599" i="32"/>
  <c r="Z599" i="32"/>
  <c r="AA599" i="32"/>
  <c r="R600" i="32"/>
  <c r="S600" i="32"/>
  <c r="T600" i="32"/>
  <c r="U600" i="32"/>
  <c r="V600" i="32"/>
  <c r="W600" i="32"/>
  <c r="X600" i="32"/>
  <c r="Y600" i="32"/>
  <c r="Z600" i="32"/>
  <c r="AA600" i="32"/>
  <c r="R601" i="32"/>
  <c r="S601" i="32"/>
  <c r="T601" i="32"/>
  <c r="U601" i="32"/>
  <c r="V601" i="32"/>
  <c r="W601" i="32"/>
  <c r="X601" i="32"/>
  <c r="Y601" i="32"/>
  <c r="Z601" i="32"/>
  <c r="AA601" i="32"/>
  <c r="R602" i="32"/>
  <c r="S602" i="32"/>
  <c r="T602" i="32"/>
  <c r="U602" i="32"/>
  <c r="V602" i="32"/>
  <c r="W602" i="32"/>
  <c r="X602" i="32"/>
  <c r="Y602" i="32"/>
  <c r="Z602" i="32"/>
  <c r="AA602" i="32"/>
  <c r="R603" i="32"/>
  <c r="S603" i="32"/>
  <c r="T603" i="32"/>
  <c r="U603" i="32"/>
  <c r="V603" i="32"/>
  <c r="W603" i="32"/>
  <c r="X603" i="32"/>
  <c r="Y603" i="32"/>
  <c r="Z603" i="32"/>
  <c r="AA603" i="32"/>
  <c r="R604" i="32"/>
  <c r="S604" i="32"/>
  <c r="T604" i="32"/>
  <c r="U604" i="32"/>
  <c r="V604" i="32"/>
  <c r="W604" i="32"/>
  <c r="X604" i="32"/>
  <c r="Y604" i="32"/>
  <c r="Z604" i="32"/>
  <c r="AA604" i="32"/>
  <c r="R605" i="32"/>
  <c r="S605" i="32"/>
  <c r="T605" i="32"/>
  <c r="U605" i="32"/>
  <c r="V605" i="32"/>
  <c r="W605" i="32"/>
  <c r="X605" i="32"/>
  <c r="Y605" i="32"/>
  <c r="Z605" i="32"/>
  <c r="AA605" i="32"/>
  <c r="R606" i="32"/>
  <c r="S606" i="32"/>
  <c r="T606" i="32"/>
  <c r="U606" i="32"/>
  <c r="V606" i="32"/>
  <c r="W606" i="32"/>
  <c r="X606" i="32"/>
  <c r="Y606" i="32"/>
  <c r="Z606" i="32"/>
  <c r="AA606" i="32"/>
  <c r="Z552" i="32"/>
  <c r="Y552" i="32"/>
  <c r="X552" i="32"/>
  <c r="W552" i="32"/>
  <c r="V552" i="32"/>
  <c r="U552" i="32"/>
  <c r="T552" i="32"/>
  <c r="S552" i="32"/>
  <c r="R552" i="32"/>
  <c r="K552" i="32"/>
  <c r="I552" i="32"/>
  <c r="H552" i="32"/>
  <c r="G552" i="32"/>
  <c r="E552" i="32"/>
  <c r="C552" i="32"/>
  <c r="D552" i="32"/>
  <c r="R498" i="32"/>
  <c r="S498" i="32"/>
  <c r="T498" i="32"/>
  <c r="U498" i="32"/>
  <c r="V498" i="32"/>
  <c r="W498" i="32"/>
  <c r="X498" i="32"/>
  <c r="Y498" i="32"/>
  <c r="Z498" i="32"/>
  <c r="AA498" i="32"/>
  <c r="R499" i="32"/>
  <c r="S499" i="32"/>
  <c r="T499" i="32"/>
  <c r="U499" i="32"/>
  <c r="V499" i="32"/>
  <c r="W499" i="32"/>
  <c r="X499" i="32"/>
  <c r="Y499" i="32"/>
  <c r="Z499" i="32"/>
  <c r="AA499" i="32"/>
  <c r="R500" i="32"/>
  <c r="S500" i="32"/>
  <c r="T500" i="32"/>
  <c r="U500" i="32"/>
  <c r="V500" i="32"/>
  <c r="W500" i="32"/>
  <c r="X500" i="32"/>
  <c r="Y500" i="32"/>
  <c r="Z500" i="32"/>
  <c r="AA500" i="32"/>
  <c r="R501" i="32"/>
  <c r="S501" i="32"/>
  <c r="T501" i="32"/>
  <c r="U501" i="32"/>
  <c r="V501" i="32"/>
  <c r="W501" i="32"/>
  <c r="X501" i="32"/>
  <c r="Y501" i="32"/>
  <c r="Z501" i="32"/>
  <c r="AA501" i="32"/>
  <c r="R502" i="32"/>
  <c r="S502" i="32"/>
  <c r="T502" i="32"/>
  <c r="U502" i="32"/>
  <c r="V502" i="32"/>
  <c r="W502" i="32"/>
  <c r="X502" i="32"/>
  <c r="Y502" i="32"/>
  <c r="Z502" i="32"/>
  <c r="AA502" i="32"/>
  <c r="R503" i="32"/>
  <c r="S503" i="32"/>
  <c r="T503" i="32"/>
  <c r="U503" i="32"/>
  <c r="V503" i="32"/>
  <c r="W503" i="32"/>
  <c r="X503" i="32"/>
  <c r="Y503" i="32"/>
  <c r="Z503" i="32"/>
  <c r="AA503" i="32"/>
  <c r="R504" i="32"/>
  <c r="S504" i="32"/>
  <c r="T504" i="32"/>
  <c r="U504" i="32"/>
  <c r="V504" i="32"/>
  <c r="W504" i="32"/>
  <c r="X504" i="32"/>
  <c r="Y504" i="32"/>
  <c r="Z504" i="32"/>
  <c r="AA504" i="32"/>
  <c r="R505" i="32"/>
  <c r="S505" i="32"/>
  <c r="T505" i="32"/>
  <c r="U505" i="32"/>
  <c r="V505" i="32"/>
  <c r="W505" i="32"/>
  <c r="X505" i="32"/>
  <c r="Y505" i="32"/>
  <c r="Z505" i="32"/>
  <c r="AA505" i="32"/>
  <c r="R506" i="32"/>
  <c r="S506" i="32"/>
  <c r="T506" i="32"/>
  <c r="U506" i="32"/>
  <c r="V506" i="32"/>
  <c r="W506" i="32"/>
  <c r="X506" i="32"/>
  <c r="Y506" i="32"/>
  <c r="Z506" i="32"/>
  <c r="AA506" i="32"/>
  <c r="R507" i="32"/>
  <c r="S507" i="32"/>
  <c r="T507" i="32"/>
  <c r="U507" i="32"/>
  <c r="V507" i="32"/>
  <c r="W507" i="32"/>
  <c r="X507" i="32"/>
  <c r="Y507" i="32"/>
  <c r="Z507" i="32"/>
  <c r="AA507" i="32"/>
  <c r="R508" i="32"/>
  <c r="S508" i="32"/>
  <c r="T508" i="32"/>
  <c r="U508" i="32"/>
  <c r="V508" i="32"/>
  <c r="W508" i="32"/>
  <c r="X508" i="32"/>
  <c r="Y508" i="32"/>
  <c r="Z508" i="32"/>
  <c r="AA508" i="32"/>
  <c r="R509" i="32"/>
  <c r="S509" i="32"/>
  <c r="T509" i="32"/>
  <c r="U509" i="32"/>
  <c r="V509" i="32"/>
  <c r="W509" i="32"/>
  <c r="X509" i="32"/>
  <c r="Y509" i="32"/>
  <c r="Z509" i="32"/>
  <c r="AA509" i="32"/>
  <c r="R510" i="32"/>
  <c r="S510" i="32"/>
  <c r="T510" i="32"/>
  <c r="U510" i="32"/>
  <c r="V510" i="32"/>
  <c r="W510" i="32"/>
  <c r="X510" i="32"/>
  <c r="Y510" i="32"/>
  <c r="Z510" i="32"/>
  <c r="AA510" i="32"/>
  <c r="R511" i="32"/>
  <c r="S511" i="32"/>
  <c r="T511" i="32"/>
  <c r="U511" i="32"/>
  <c r="V511" i="32"/>
  <c r="W511" i="32"/>
  <c r="X511" i="32"/>
  <c r="Y511" i="32"/>
  <c r="Z511" i="32"/>
  <c r="AA511" i="32"/>
  <c r="R512" i="32"/>
  <c r="S512" i="32"/>
  <c r="T512" i="32"/>
  <c r="U512" i="32"/>
  <c r="V512" i="32"/>
  <c r="W512" i="32"/>
  <c r="X512" i="32"/>
  <c r="Y512" i="32"/>
  <c r="Z512" i="32"/>
  <c r="AA512" i="32"/>
  <c r="R513" i="32"/>
  <c r="S513" i="32"/>
  <c r="T513" i="32"/>
  <c r="U513" i="32"/>
  <c r="V513" i="32"/>
  <c r="W513" i="32"/>
  <c r="X513" i="32"/>
  <c r="Y513" i="32"/>
  <c r="Z513" i="32"/>
  <c r="AA513" i="32"/>
  <c r="R514" i="32"/>
  <c r="S514" i="32"/>
  <c r="T514" i="32"/>
  <c r="U514" i="32"/>
  <c r="V514" i="32"/>
  <c r="W514" i="32"/>
  <c r="X514" i="32"/>
  <c r="Y514" i="32"/>
  <c r="Z514" i="32"/>
  <c r="AA514" i="32"/>
  <c r="R515" i="32"/>
  <c r="S515" i="32"/>
  <c r="T515" i="32"/>
  <c r="U515" i="32"/>
  <c r="V515" i="32"/>
  <c r="W515" i="32"/>
  <c r="X515" i="32"/>
  <c r="Y515" i="32"/>
  <c r="Z515" i="32"/>
  <c r="AA515" i="32"/>
  <c r="R516" i="32"/>
  <c r="S516" i="32"/>
  <c r="T516" i="32"/>
  <c r="U516" i="32"/>
  <c r="V516" i="32"/>
  <c r="W516" i="32"/>
  <c r="X516" i="32"/>
  <c r="Y516" i="32"/>
  <c r="Z516" i="32"/>
  <c r="AA516" i="32"/>
  <c r="R517" i="32"/>
  <c r="S517" i="32"/>
  <c r="T517" i="32"/>
  <c r="U517" i="32"/>
  <c r="V517" i="32"/>
  <c r="W517" i="32"/>
  <c r="X517" i="32"/>
  <c r="Y517" i="32"/>
  <c r="Z517" i="32"/>
  <c r="AA517" i="32"/>
  <c r="R518" i="32"/>
  <c r="S518" i="32"/>
  <c r="T518" i="32"/>
  <c r="U518" i="32"/>
  <c r="V518" i="32"/>
  <c r="W518" i="32"/>
  <c r="X518" i="32"/>
  <c r="Y518" i="32"/>
  <c r="Z518" i="32"/>
  <c r="AA518" i="32"/>
  <c r="R519" i="32"/>
  <c r="S519" i="32"/>
  <c r="T519" i="32"/>
  <c r="U519" i="32"/>
  <c r="V519" i="32"/>
  <c r="W519" i="32"/>
  <c r="X519" i="32"/>
  <c r="Y519" i="32"/>
  <c r="Z519" i="32"/>
  <c r="AA519" i="32"/>
  <c r="R520" i="32"/>
  <c r="S520" i="32"/>
  <c r="T520" i="32"/>
  <c r="U520" i="32"/>
  <c r="V520" i="32"/>
  <c r="W520" i="32"/>
  <c r="X520" i="32"/>
  <c r="Y520" i="32"/>
  <c r="Z520" i="32"/>
  <c r="AA520" i="32"/>
  <c r="R521" i="32"/>
  <c r="S521" i="32"/>
  <c r="T521" i="32"/>
  <c r="U521" i="32"/>
  <c r="V521" i="32"/>
  <c r="W521" i="32"/>
  <c r="X521" i="32"/>
  <c r="Y521" i="32"/>
  <c r="Z521" i="32"/>
  <c r="AA521" i="32"/>
  <c r="R522" i="32"/>
  <c r="S522" i="32"/>
  <c r="T522" i="32"/>
  <c r="U522" i="32"/>
  <c r="V522" i="32"/>
  <c r="W522" i="32"/>
  <c r="X522" i="32"/>
  <c r="Y522" i="32"/>
  <c r="Z522" i="32"/>
  <c r="AA522" i="32"/>
  <c r="R523" i="32"/>
  <c r="S523" i="32"/>
  <c r="T523" i="32"/>
  <c r="U523" i="32"/>
  <c r="V523" i="32"/>
  <c r="W523" i="32"/>
  <c r="X523" i="32"/>
  <c r="Y523" i="32"/>
  <c r="Z523" i="32"/>
  <c r="AA523" i="32"/>
  <c r="R524" i="32"/>
  <c r="S524" i="32"/>
  <c r="T524" i="32"/>
  <c r="U524" i="32"/>
  <c r="V524" i="32"/>
  <c r="W524" i="32"/>
  <c r="X524" i="32"/>
  <c r="Y524" i="32"/>
  <c r="Z524" i="32"/>
  <c r="AA524" i="32"/>
  <c r="R525" i="32"/>
  <c r="S525" i="32"/>
  <c r="T525" i="32"/>
  <c r="U525" i="32"/>
  <c r="V525" i="32"/>
  <c r="W525" i="32"/>
  <c r="X525" i="32"/>
  <c r="Y525" i="32"/>
  <c r="Z525" i="32"/>
  <c r="AA525" i="32"/>
  <c r="R526" i="32"/>
  <c r="S526" i="32"/>
  <c r="T526" i="32"/>
  <c r="U526" i="32"/>
  <c r="V526" i="32"/>
  <c r="W526" i="32"/>
  <c r="X526" i="32"/>
  <c r="Y526" i="32"/>
  <c r="Z526" i="32"/>
  <c r="AA526" i="32"/>
  <c r="R527" i="32"/>
  <c r="S527" i="32"/>
  <c r="T527" i="32"/>
  <c r="U527" i="32"/>
  <c r="V527" i="32"/>
  <c r="W527" i="32"/>
  <c r="X527" i="32"/>
  <c r="Y527" i="32"/>
  <c r="Z527" i="32"/>
  <c r="AA527" i="32"/>
  <c r="R528" i="32"/>
  <c r="S528" i="32"/>
  <c r="T528" i="32"/>
  <c r="U528" i="32"/>
  <c r="V528" i="32"/>
  <c r="W528" i="32"/>
  <c r="X528" i="32"/>
  <c r="Y528" i="32"/>
  <c r="Z528" i="32"/>
  <c r="AA528" i="32"/>
  <c r="R529" i="32"/>
  <c r="S529" i="32"/>
  <c r="T529" i="32"/>
  <c r="U529" i="32"/>
  <c r="V529" i="32"/>
  <c r="W529" i="32"/>
  <c r="X529" i="32"/>
  <c r="Y529" i="32"/>
  <c r="Z529" i="32"/>
  <c r="AA529" i="32"/>
  <c r="R530" i="32"/>
  <c r="S530" i="32"/>
  <c r="T530" i="32"/>
  <c r="U530" i="32"/>
  <c r="V530" i="32"/>
  <c r="W530" i="32"/>
  <c r="X530" i="32"/>
  <c r="Y530" i="32"/>
  <c r="Z530" i="32"/>
  <c r="AA530" i="32"/>
  <c r="R531" i="32"/>
  <c r="S531" i="32"/>
  <c r="T531" i="32"/>
  <c r="U531" i="32"/>
  <c r="V531" i="32"/>
  <c r="W531" i="32"/>
  <c r="X531" i="32"/>
  <c r="Y531" i="32"/>
  <c r="Z531" i="32"/>
  <c r="AA531" i="32"/>
  <c r="R532" i="32"/>
  <c r="S532" i="32"/>
  <c r="T532" i="32"/>
  <c r="U532" i="32"/>
  <c r="V532" i="32"/>
  <c r="W532" i="32"/>
  <c r="X532" i="32"/>
  <c r="Y532" i="32"/>
  <c r="Z532" i="32"/>
  <c r="AA532" i="32"/>
  <c r="R533" i="32"/>
  <c r="S533" i="32"/>
  <c r="T533" i="32"/>
  <c r="U533" i="32"/>
  <c r="V533" i="32"/>
  <c r="W533" i="32"/>
  <c r="X533" i="32"/>
  <c r="Y533" i="32"/>
  <c r="Z533" i="32"/>
  <c r="AA533" i="32"/>
  <c r="R534" i="32"/>
  <c r="S534" i="32"/>
  <c r="T534" i="32"/>
  <c r="U534" i="32"/>
  <c r="V534" i="32"/>
  <c r="W534" i="32"/>
  <c r="X534" i="32"/>
  <c r="Y534" i="32"/>
  <c r="Z534" i="32"/>
  <c r="AA534" i="32"/>
  <c r="R535" i="32"/>
  <c r="S535" i="32"/>
  <c r="T535" i="32"/>
  <c r="U535" i="32"/>
  <c r="V535" i="32"/>
  <c r="W535" i="32"/>
  <c r="X535" i="32"/>
  <c r="Y535" i="32"/>
  <c r="Z535" i="32"/>
  <c r="AA535" i="32"/>
  <c r="R536" i="32"/>
  <c r="S536" i="32"/>
  <c r="T536" i="32"/>
  <c r="U536" i="32"/>
  <c r="V536" i="32"/>
  <c r="W536" i="32"/>
  <c r="X536" i="32"/>
  <c r="Y536" i="32"/>
  <c r="Z536" i="32"/>
  <c r="AA536" i="32"/>
  <c r="R537" i="32"/>
  <c r="S537" i="32"/>
  <c r="T537" i="32"/>
  <c r="U537" i="32"/>
  <c r="V537" i="32"/>
  <c r="W537" i="32"/>
  <c r="X537" i="32"/>
  <c r="Y537" i="32"/>
  <c r="Z537" i="32"/>
  <c r="AA537" i="32"/>
  <c r="R538" i="32"/>
  <c r="S538" i="32"/>
  <c r="T538" i="32"/>
  <c r="U538" i="32"/>
  <c r="V538" i="32"/>
  <c r="W538" i="32"/>
  <c r="X538" i="32"/>
  <c r="Y538" i="32"/>
  <c r="Z538" i="32"/>
  <c r="AA538" i="32"/>
  <c r="R539" i="32"/>
  <c r="S539" i="32"/>
  <c r="T539" i="32"/>
  <c r="U539" i="32"/>
  <c r="V539" i="32"/>
  <c r="W539" i="32"/>
  <c r="X539" i="32"/>
  <c r="Y539" i="32"/>
  <c r="Z539" i="32"/>
  <c r="AA539" i="32"/>
  <c r="R540" i="32"/>
  <c r="S540" i="32"/>
  <c r="T540" i="32"/>
  <c r="U540" i="32"/>
  <c r="V540" i="32"/>
  <c r="W540" i="32"/>
  <c r="X540" i="32"/>
  <c r="Y540" i="32"/>
  <c r="Z540" i="32"/>
  <c r="AA540" i="32"/>
  <c r="R541" i="32"/>
  <c r="S541" i="32"/>
  <c r="T541" i="32"/>
  <c r="U541" i="32"/>
  <c r="V541" i="32"/>
  <c r="W541" i="32"/>
  <c r="X541" i="32"/>
  <c r="Y541" i="32"/>
  <c r="Z541" i="32"/>
  <c r="AA541" i="32"/>
  <c r="R542" i="32"/>
  <c r="S542" i="32"/>
  <c r="T542" i="32"/>
  <c r="U542" i="32"/>
  <c r="V542" i="32"/>
  <c r="W542" i="32"/>
  <c r="X542" i="32"/>
  <c r="Y542" i="32"/>
  <c r="Z542" i="32"/>
  <c r="AA542" i="32"/>
  <c r="R543" i="32"/>
  <c r="S543" i="32"/>
  <c r="T543" i="32"/>
  <c r="U543" i="32"/>
  <c r="V543" i="32"/>
  <c r="W543" i="32"/>
  <c r="X543" i="32"/>
  <c r="Y543" i="32"/>
  <c r="Z543" i="32"/>
  <c r="AA543" i="32"/>
  <c r="R544" i="32"/>
  <c r="S544" i="32"/>
  <c r="T544" i="32"/>
  <c r="U544" i="32"/>
  <c r="V544" i="32"/>
  <c r="W544" i="32"/>
  <c r="X544" i="32"/>
  <c r="Y544" i="32"/>
  <c r="Z544" i="32"/>
  <c r="AA544" i="32"/>
  <c r="R545" i="32"/>
  <c r="S545" i="32"/>
  <c r="T545" i="32"/>
  <c r="U545" i="32"/>
  <c r="V545" i="32"/>
  <c r="W545" i="32"/>
  <c r="X545" i="32"/>
  <c r="Y545" i="32"/>
  <c r="Z545" i="32"/>
  <c r="AA545" i="32"/>
  <c r="R546" i="32"/>
  <c r="S546" i="32"/>
  <c r="T546" i="32"/>
  <c r="U546" i="32"/>
  <c r="V546" i="32"/>
  <c r="W546" i="32"/>
  <c r="X546" i="32"/>
  <c r="Y546" i="32"/>
  <c r="Z546" i="32"/>
  <c r="AA546" i="32"/>
  <c r="R547" i="32"/>
  <c r="S547" i="32"/>
  <c r="T547" i="32"/>
  <c r="U547" i="32"/>
  <c r="V547" i="32"/>
  <c r="W547" i="32"/>
  <c r="X547" i="32"/>
  <c r="Y547" i="32"/>
  <c r="Z547" i="32"/>
  <c r="AA547" i="32"/>
  <c r="R548" i="32"/>
  <c r="S548" i="32"/>
  <c r="T548" i="32"/>
  <c r="U548" i="32"/>
  <c r="V548" i="32"/>
  <c r="W548" i="32"/>
  <c r="X548" i="32"/>
  <c r="Y548" i="32"/>
  <c r="Z548" i="32"/>
  <c r="AA548" i="32"/>
  <c r="R549" i="32"/>
  <c r="S549" i="32"/>
  <c r="T549" i="32"/>
  <c r="U549" i="32"/>
  <c r="V549" i="32"/>
  <c r="W549" i="32"/>
  <c r="X549" i="32"/>
  <c r="Y549" i="32"/>
  <c r="Z549" i="32"/>
  <c r="AA549" i="32"/>
  <c r="R550" i="32"/>
  <c r="S550" i="32"/>
  <c r="T550" i="32"/>
  <c r="U550" i="32"/>
  <c r="V550" i="32"/>
  <c r="W550" i="32"/>
  <c r="X550" i="32"/>
  <c r="Y550" i="32"/>
  <c r="Z550" i="32"/>
  <c r="AA550" i="32"/>
  <c r="R551" i="32"/>
  <c r="S551" i="32"/>
  <c r="T551" i="32"/>
  <c r="U551" i="32"/>
  <c r="V551" i="32"/>
  <c r="W551" i="32"/>
  <c r="X551" i="32"/>
  <c r="Y551" i="32"/>
  <c r="Z551" i="32"/>
  <c r="AA551" i="32"/>
  <c r="AA497" i="32"/>
  <c r="Z497" i="32"/>
  <c r="Y497" i="32"/>
  <c r="X497" i="32"/>
  <c r="W497" i="32"/>
  <c r="V497" i="32"/>
  <c r="U497" i="32"/>
  <c r="T497" i="32"/>
  <c r="S497" i="32"/>
  <c r="R497" i="32"/>
  <c r="C498" i="32"/>
  <c r="D498" i="32"/>
  <c r="E498" i="32"/>
  <c r="G498" i="32"/>
  <c r="H498" i="32"/>
  <c r="I498" i="32"/>
  <c r="K498" i="32"/>
  <c r="C499" i="32"/>
  <c r="D499" i="32"/>
  <c r="E499" i="32"/>
  <c r="G499" i="32"/>
  <c r="H499" i="32"/>
  <c r="I499" i="32"/>
  <c r="K499" i="32"/>
  <c r="C500" i="32"/>
  <c r="D500" i="32"/>
  <c r="E500" i="32"/>
  <c r="G500" i="32"/>
  <c r="H500" i="32"/>
  <c r="I500" i="32"/>
  <c r="K500" i="32"/>
  <c r="C501" i="32"/>
  <c r="D501" i="32"/>
  <c r="E501" i="32"/>
  <c r="G501" i="32"/>
  <c r="H501" i="32"/>
  <c r="I501" i="32"/>
  <c r="K501" i="32"/>
  <c r="C502" i="32"/>
  <c r="D502" i="32"/>
  <c r="E502" i="32"/>
  <c r="G502" i="32"/>
  <c r="H502" i="32"/>
  <c r="I502" i="32"/>
  <c r="K502" i="32"/>
  <c r="C503" i="32"/>
  <c r="D503" i="32"/>
  <c r="E503" i="32"/>
  <c r="G503" i="32"/>
  <c r="H503" i="32"/>
  <c r="I503" i="32"/>
  <c r="K503" i="32"/>
  <c r="C504" i="32"/>
  <c r="D504" i="32"/>
  <c r="E504" i="32"/>
  <c r="G504" i="32"/>
  <c r="H504" i="32"/>
  <c r="I504" i="32"/>
  <c r="K504" i="32"/>
  <c r="C505" i="32"/>
  <c r="D505" i="32"/>
  <c r="E505" i="32"/>
  <c r="G505" i="32"/>
  <c r="H505" i="32"/>
  <c r="I505" i="32"/>
  <c r="K505" i="32"/>
  <c r="L505" i="32"/>
  <c r="C506" i="32"/>
  <c r="D506" i="32"/>
  <c r="E506" i="32"/>
  <c r="G506" i="32"/>
  <c r="H506" i="32"/>
  <c r="I506" i="32"/>
  <c r="K506" i="32"/>
  <c r="C507" i="32"/>
  <c r="D507" i="32"/>
  <c r="E507" i="32"/>
  <c r="G507" i="32"/>
  <c r="H507" i="32"/>
  <c r="I507" i="32"/>
  <c r="K507" i="32"/>
  <c r="C508" i="32"/>
  <c r="D508" i="32"/>
  <c r="E508" i="32"/>
  <c r="G508" i="32"/>
  <c r="H508" i="32"/>
  <c r="I508" i="32"/>
  <c r="K508" i="32"/>
  <c r="C509" i="32"/>
  <c r="D509" i="32"/>
  <c r="E509" i="32"/>
  <c r="G509" i="32"/>
  <c r="H509" i="32"/>
  <c r="I509" i="32"/>
  <c r="K509" i="32"/>
  <c r="C510" i="32"/>
  <c r="D510" i="32"/>
  <c r="E510" i="32"/>
  <c r="G510" i="32"/>
  <c r="H510" i="32"/>
  <c r="I510" i="32"/>
  <c r="K510" i="32"/>
  <c r="C511" i="32"/>
  <c r="D511" i="32"/>
  <c r="E511" i="32"/>
  <c r="G511" i="32"/>
  <c r="H511" i="32"/>
  <c r="I511" i="32"/>
  <c r="K511" i="32"/>
  <c r="C512" i="32"/>
  <c r="D512" i="32"/>
  <c r="E512" i="32"/>
  <c r="G512" i="32"/>
  <c r="H512" i="32"/>
  <c r="I512" i="32"/>
  <c r="K512" i="32"/>
  <c r="C513" i="32"/>
  <c r="D513" i="32"/>
  <c r="E513" i="32"/>
  <c r="G513" i="32"/>
  <c r="H513" i="32"/>
  <c r="I513" i="32"/>
  <c r="K513" i="32"/>
  <c r="C514" i="32"/>
  <c r="D514" i="32"/>
  <c r="E514" i="32"/>
  <c r="G514" i="32"/>
  <c r="H514" i="32"/>
  <c r="I514" i="32"/>
  <c r="K514" i="32"/>
  <c r="C515" i="32"/>
  <c r="D515" i="32"/>
  <c r="E515" i="32"/>
  <c r="G515" i="32"/>
  <c r="H515" i="32"/>
  <c r="I515" i="32"/>
  <c r="K515" i="32"/>
  <c r="C516" i="32"/>
  <c r="D516" i="32"/>
  <c r="E516" i="32"/>
  <c r="G516" i="32"/>
  <c r="H516" i="32"/>
  <c r="I516" i="32"/>
  <c r="K516" i="32"/>
  <c r="C517" i="32"/>
  <c r="D517" i="32"/>
  <c r="E517" i="32"/>
  <c r="G517" i="32"/>
  <c r="H517" i="32"/>
  <c r="I517" i="32"/>
  <c r="K517" i="32"/>
  <c r="C518" i="32"/>
  <c r="D518" i="32"/>
  <c r="E518" i="32"/>
  <c r="G518" i="32"/>
  <c r="H518" i="32"/>
  <c r="I518" i="32"/>
  <c r="K518" i="32"/>
  <c r="C519" i="32"/>
  <c r="D519" i="32"/>
  <c r="E519" i="32"/>
  <c r="G519" i="32"/>
  <c r="H519" i="32"/>
  <c r="I519" i="32"/>
  <c r="K519" i="32"/>
  <c r="C520" i="32"/>
  <c r="D520" i="32"/>
  <c r="E520" i="32"/>
  <c r="G520" i="32"/>
  <c r="H520" i="32"/>
  <c r="I520" i="32"/>
  <c r="K520" i="32"/>
  <c r="C521" i="32"/>
  <c r="D521" i="32"/>
  <c r="E521" i="32"/>
  <c r="G521" i="32"/>
  <c r="H521" i="32"/>
  <c r="I521" i="32"/>
  <c r="K521" i="32"/>
  <c r="N521" i="32"/>
  <c r="C522" i="32"/>
  <c r="D522" i="32"/>
  <c r="E522" i="32"/>
  <c r="F522" i="32"/>
  <c r="G522" i="32"/>
  <c r="H522" i="32"/>
  <c r="I522" i="32"/>
  <c r="K522" i="32"/>
  <c r="N522" i="32"/>
  <c r="C523" i="32"/>
  <c r="D523" i="32"/>
  <c r="E523" i="32"/>
  <c r="F523" i="32"/>
  <c r="G523" i="32"/>
  <c r="H523" i="32"/>
  <c r="I523" i="32"/>
  <c r="K523" i="32"/>
  <c r="N523" i="32"/>
  <c r="C524" i="32"/>
  <c r="D524" i="32"/>
  <c r="E524" i="32"/>
  <c r="F524" i="32"/>
  <c r="G524" i="32"/>
  <c r="H524" i="32"/>
  <c r="I524" i="32"/>
  <c r="K524" i="32"/>
  <c r="L524" i="32"/>
  <c r="N524" i="32"/>
  <c r="C525" i="32"/>
  <c r="D525" i="32"/>
  <c r="E525" i="32"/>
  <c r="F525" i="32"/>
  <c r="G525" i="32"/>
  <c r="H525" i="32"/>
  <c r="I525" i="32"/>
  <c r="K525" i="32"/>
  <c r="L525" i="32"/>
  <c r="N525" i="32"/>
  <c r="C526" i="32"/>
  <c r="D526" i="32"/>
  <c r="E526" i="32"/>
  <c r="F526" i="32"/>
  <c r="G526" i="32"/>
  <c r="H526" i="32"/>
  <c r="I526" i="32"/>
  <c r="K526" i="32"/>
  <c r="L526" i="32"/>
  <c r="N526" i="32"/>
  <c r="C527" i="32"/>
  <c r="D527" i="32"/>
  <c r="E527" i="32"/>
  <c r="F527" i="32"/>
  <c r="G527" i="32"/>
  <c r="H527" i="32"/>
  <c r="I527" i="32"/>
  <c r="K527" i="32"/>
  <c r="L527" i="32"/>
  <c r="N527" i="32"/>
  <c r="C528" i="32"/>
  <c r="D528" i="32"/>
  <c r="E528" i="32"/>
  <c r="F528" i="32"/>
  <c r="G528" i="32"/>
  <c r="H528" i="32"/>
  <c r="I528" i="32"/>
  <c r="K528" i="32"/>
  <c r="L528" i="32"/>
  <c r="N528" i="32"/>
  <c r="C529" i="32"/>
  <c r="D529" i="32"/>
  <c r="E529" i="32"/>
  <c r="F529" i="32"/>
  <c r="G529" i="32"/>
  <c r="H529" i="32"/>
  <c r="I529" i="32"/>
  <c r="K529" i="32"/>
  <c r="L529" i="32"/>
  <c r="N529" i="32"/>
  <c r="C530" i="32"/>
  <c r="D530" i="32"/>
  <c r="E530" i="32"/>
  <c r="F530" i="32"/>
  <c r="G530" i="32"/>
  <c r="H530" i="32"/>
  <c r="I530" i="32"/>
  <c r="K530" i="32"/>
  <c r="L530" i="32"/>
  <c r="N530" i="32"/>
  <c r="C531" i="32"/>
  <c r="D531" i="32"/>
  <c r="E531" i="32"/>
  <c r="F531" i="32"/>
  <c r="G531" i="32"/>
  <c r="H531" i="32"/>
  <c r="I531" i="32"/>
  <c r="K531" i="32"/>
  <c r="L531" i="32"/>
  <c r="N531" i="32"/>
  <c r="C532" i="32"/>
  <c r="D532" i="32"/>
  <c r="E532" i="32"/>
  <c r="F532" i="32"/>
  <c r="G532" i="32"/>
  <c r="H532" i="32"/>
  <c r="I532" i="32"/>
  <c r="K532" i="32"/>
  <c r="L532" i="32"/>
  <c r="N532" i="32"/>
  <c r="C533" i="32"/>
  <c r="D533" i="32"/>
  <c r="E533" i="32"/>
  <c r="F533" i="32"/>
  <c r="G533" i="32"/>
  <c r="H533" i="32"/>
  <c r="I533" i="32"/>
  <c r="K533" i="32"/>
  <c r="L533" i="32"/>
  <c r="N533" i="32"/>
  <c r="C534" i="32"/>
  <c r="D534" i="32"/>
  <c r="E534" i="32"/>
  <c r="F534" i="32"/>
  <c r="G534" i="32"/>
  <c r="H534" i="32"/>
  <c r="I534" i="32"/>
  <c r="K534" i="32"/>
  <c r="L534" i="32"/>
  <c r="N534" i="32"/>
  <c r="C535" i="32"/>
  <c r="D535" i="32"/>
  <c r="E535" i="32"/>
  <c r="F535" i="32"/>
  <c r="G535" i="32"/>
  <c r="H535" i="32"/>
  <c r="I535" i="32"/>
  <c r="K535" i="32"/>
  <c r="L535" i="32"/>
  <c r="N535" i="32"/>
  <c r="C536" i="32"/>
  <c r="D536" i="32"/>
  <c r="E536" i="32"/>
  <c r="F536" i="32"/>
  <c r="G536" i="32"/>
  <c r="H536" i="32"/>
  <c r="I536" i="32"/>
  <c r="K536" i="32"/>
  <c r="L536" i="32"/>
  <c r="N536" i="32"/>
  <c r="C537" i="32"/>
  <c r="D537" i="32"/>
  <c r="E537" i="32"/>
  <c r="F537" i="32"/>
  <c r="G537" i="32"/>
  <c r="H537" i="32"/>
  <c r="I537" i="32"/>
  <c r="K537" i="32"/>
  <c r="L537" i="32"/>
  <c r="N537" i="32"/>
  <c r="C538" i="32"/>
  <c r="D538" i="32"/>
  <c r="E538" i="32"/>
  <c r="F538" i="32"/>
  <c r="G538" i="32"/>
  <c r="H538" i="32"/>
  <c r="I538" i="32"/>
  <c r="K538" i="32"/>
  <c r="L538" i="32"/>
  <c r="N538" i="32"/>
  <c r="C539" i="32"/>
  <c r="D539" i="32"/>
  <c r="E539" i="32"/>
  <c r="F539" i="32"/>
  <c r="G539" i="32"/>
  <c r="H539" i="32"/>
  <c r="I539" i="32"/>
  <c r="K539" i="32"/>
  <c r="L539" i="32"/>
  <c r="N539" i="32"/>
  <c r="C540" i="32"/>
  <c r="D540" i="32"/>
  <c r="E540" i="32"/>
  <c r="F540" i="32"/>
  <c r="G540" i="32"/>
  <c r="H540" i="32"/>
  <c r="I540" i="32"/>
  <c r="K540" i="32"/>
  <c r="L540" i="32"/>
  <c r="N540" i="32"/>
  <c r="C541" i="32"/>
  <c r="D541" i="32"/>
  <c r="E541" i="32"/>
  <c r="F541" i="32"/>
  <c r="G541" i="32"/>
  <c r="H541" i="32"/>
  <c r="I541" i="32"/>
  <c r="K541" i="32"/>
  <c r="L541" i="32"/>
  <c r="N541" i="32"/>
  <c r="C542" i="32"/>
  <c r="D542" i="32"/>
  <c r="E542" i="32"/>
  <c r="F542" i="32"/>
  <c r="G542" i="32"/>
  <c r="H542" i="32"/>
  <c r="I542" i="32"/>
  <c r="K542" i="32"/>
  <c r="L542" i="32"/>
  <c r="N542" i="32"/>
  <c r="C543" i="32"/>
  <c r="D543" i="32"/>
  <c r="E543" i="32"/>
  <c r="F543" i="32"/>
  <c r="G543" i="32"/>
  <c r="H543" i="32"/>
  <c r="I543" i="32"/>
  <c r="K543" i="32"/>
  <c r="L543" i="32"/>
  <c r="N543" i="32"/>
  <c r="C544" i="32"/>
  <c r="D544" i="32"/>
  <c r="E544" i="32"/>
  <c r="F544" i="32"/>
  <c r="G544" i="32"/>
  <c r="H544" i="32"/>
  <c r="I544" i="32"/>
  <c r="K544" i="32"/>
  <c r="L544" i="32"/>
  <c r="N544" i="32"/>
  <c r="C545" i="32"/>
  <c r="D545" i="32"/>
  <c r="E545" i="32"/>
  <c r="F545" i="32"/>
  <c r="G545" i="32"/>
  <c r="H545" i="32"/>
  <c r="I545" i="32"/>
  <c r="K545" i="32"/>
  <c r="L545" i="32"/>
  <c r="N545" i="32"/>
  <c r="C546" i="32"/>
  <c r="D546" i="32"/>
  <c r="E546" i="32"/>
  <c r="F546" i="32"/>
  <c r="G546" i="32"/>
  <c r="H546" i="32"/>
  <c r="I546" i="32"/>
  <c r="K546" i="32"/>
  <c r="L546" i="32"/>
  <c r="N546" i="32"/>
  <c r="C547" i="32"/>
  <c r="D547" i="32"/>
  <c r="E547" i="32"/>
  <c r="F547" i="32"/>
  <c r="G547" i="32"/>
  <c r="H547" i="32"/>
  <c r="I547" i="32"/>
  <c r="K547" i="32"/>
  <c r="L547" i="32"/>
  <c r="N547" i="32"/>
  <c r="C548" i="32"/>
  <c r="D548" i="32"/>
  <c r="E548" i="32"/>
  <c r="F548" i="32"/>
  <c r="G548" i="32"/>
  <c r="H548" i="32"/>
  <c r="I548" i="32"/>
  <c r="K548" i="32"/>
  <c r="L548" i="32"/>
  <c r="N548" i="32"/>
  <c r="C549" i="32"/>
  <c r="D549" i="32"/>
  <c r="E549" i="32"/>
  <c r="F549" i="32"/>
  <c r="G549" i="32"/>
  <c r="H549" i="32"/>
  <c r="I549" i="32"/>
  <c r="K549" i="32"/>
  <c r="L549" i="32"/>
  <c r="N549" i="32"/>
  <c r="C550" i="32"/>
  <c r="D550" i="32"/>
  <c r="E550" i="32"/>
  <c r="F550" i="32"/>
  <c r="G550" i="32"/>
  <c r="H550" i="32"/>
  <c r="I550" i="32"/>
  <c r="K550" i="32"/>
  <c r="L550" i="32"/>
  <c r="N550" i="32"/>
  <c r="C551" i="32"/>
  <c r="D551" i="32"/>
  <c r="E551" i="32"/>
  <c r="F551" i="32"/>
  <c r="G551" i="32"/>
  <c r="H551" i="32"/>
  <c r="I551" i="32"/>
  <c r="K551" i="32"/>
  <c r="L551" i="32"/>
  <c r="N551" i="32"/>
  <c r="K497" i="32"/>
  <c r="I497" i="32"/>
  <c r="E497" i="32"/>
  <c r="I496" i="32" l="1"/>
  <c r="H497" i="32"/>
  <c r="G497" i="32"/>
  <c r="D497" i="32"/>
  <c r="C497" i="32"/>
  <c r="R443" i="32"/>
  <c r="S443" i="32"/>
  <c r="T443" i="32"/>
  <c r="U443" i="32"/>
  <c r="V443" i="32"/>
  <c r="W443" i="32"/>
  <c r="X443" i="32"/>
  <c r="Y443" i="32"/>
  <c r="Z443" i="32"/>
  <c r="AA443" i="32"/>
  <c r="R444" i="32"/>
  <c r="S444" i="32"/>
  <c r="T444" i="32"/>
  <c r="U444" i="32"/>
  <c r="V444" i="32"/>
  <c r="W444" i="32"/>
  <c r="X444" i="32"/>
  <c r="Y444" i="32"/>
  <c r="Z444" i="32"/>
  <c r="AA444" i="32"/>
  <c r="R445" i="32"/>
  <c r="S445" i="32"/>
  <c r="T445" i="32"/>
  <c r="U445" i="32"/>
  <c r="V445" i="32"/>
  <c r="W445" i="32"/>
  <c r="X445" i="32"/>
  <c r="Y445" i="32"/>
  <c r="Z445" i="32"/>
  <c r="AA445" i="32"/>
  <c r="R446" i="32"/>
  <c r="S446" i="32"/>
  <c r="T446" i="32"/>
  <c r="U446" i="32"/>
  <c r="V446" i="32"/>
  <c r="W446" i="32"/>
  <c r="X446" i="32"/>
  <c r="Y446" i="32"/>
  <c r="Z446" i="32"/>
  <c r="AA446" i="32"/>
  <c r="R447" i="32"/>
  <c r="S447" i="32"/>
  <c r="T447" i="32"/>
  <c r="U447" i="32"/>
  <c r="V447" i="32"/>
  <c r="W447" i="32"/>
  <c r="X447" i="32"/>
  <c r="Y447" i="32"/>
  <c r="Z447" i="32"/>
  <c r="AA447" i="32"/>
  <c r="R448" i="32"/>
  <c r="S448" i="32"/>
  <c r="T448" i="32"/>
  <c r="U448" i="32"/>
  <c r="V448" i="32"/>
  <c r="W448" i="32"/>
  <c r="X448" i="32"/>
  <c r="Y448" i="32"/>
  <c r="Z448" i="32"/>
  <c r="AA448" i="32"/>
  <c r="R449" i="32"/>
  <c r="S449" i="32"/>
  <c r="T449" i="32"/>
  <c r="U449" i="32"/>
  <c r="V449" i="32"/>
  <c r="W449" i="32"/>
  <c r="X449" i="32"/>
  <c r="Y449" i="32"/>
  <c r="Z449" i="32"/>
  <c r="AA449" i="32"/>
  <c r="R450" i="32"/>
  <c r="S450" i="32"/>
  <c r="T450" i="32"/>
  <c r="U450" i="32"/>
  <c r="V450" i="32"/>
  <c r="W450" i="32"/>
  <c r="X450" i="32"/>
  <c r="Y450" i="32"/>
  <c r="Z450" i="32"/>
  <c r="AA450" i="32"/>
  <c r="R451" i="32"/>
  <c r="S451" i="32"/>
  <c r="T451" i="32"/>
  <c r="U451" i="32"/>
  <c r="V451" i="32"/>
  <c r="W451" i="32"/>
  <c r="X451" i="32"/>
  <c r="Y451" i="32"/>
  <c r="Z451" i="32"/>
  <c r="AA451" i="32"/>
  <c r="R452" i="32"/>
  <c r="S452" i="32"/>
  <c r="T452" i="32"/>
  <c r="U452" i="32"/>
  <c r="V452" i="32"/>
  <c r="W452" i="32"/>
  <c r="X452" i="32"/>
  <c r="Y452" i="32"/>
  <c r="Z452" i="32"/>
  <c r="AA452" i="32"/>
  <c r="R453" i="32"/>
  <c r="S453" i="32"/>
  <c r="T453" i="32"/>
  <c r="U453" i="32"/>
  <c r="V453" i="32"/>
  <c r="W453" i="32"/>
  <c r="X453" i="32"/>
  <c r="Y453" i="32"/>
  <c r="Z453" i="32"/>
  <c r="AA453" i="32"/>
  <c r="R454" i="32"/>
  <c r="S454" i="32"/>
  <c r="T454" i="32"/>
  <c r="U454" i="32"/>
  <c r="V454" i="32"/>
  <c r="W454" i="32"/>
  <c r="X454" i="32"/>
  <c r="Y454" i="32"/>
  <c r="Z454" i="32"/>
  <c r="AA454" i="32"/>
  <c r="R455" i="32"/>
  <c r="S455" i="32"/>
  <c r="T455" i="32"/>
  <c r="U455" i="32"/>
  <c r="V455" i="32"/>
  <c r="W455" i="32"/>
  <c r="X455" i="32"/>
  <c r="Y455" i="32"/>
  <c r="Z455" i="32"/>
  <c r="AA455" i="32"/>
  <c r="R456" i="32"/>
  <c r="S456" i="32"/>
  <c r="T456" i="32"/>
  <c r="U456" i="32"/>
  <c r="V456" i="32"/>
  <c r="W456" i="32"/>
  <c r="X456" i="32"/>
  <c r="Y456" i="32"/>
  <c r="Z456" i="32"/>
  <c r="AA456" i="32"/>
  <c r="R457" i="32"/>
  <c r="S457" i="32"/>
  <c r="T457" i="32"/>
  <c r="U457" i="32"/>
  <c r="V457" i="32"/>
  <c r="W457" i="32"/>
  <c r="X457" i="32"/>
  <c r="Y457" i="32"/>
  <c r="Z457" i="32"/>
  <c r="AA457" i="32"/>
  <c r="R458" i="32"/>
  <c r="S458" i="32"/>
  <c r="T458" i="32"/>
  <c r="U458" i="32"/>
  <c r="V458" i="32"/>
  <c r="W458" i="32"/>
  <c r="X458" i="32"/>
  <c r="Y458" i="32"/>
  <c r="Z458" i="32"/>
  <c r="AA458" i="32"/>
  <c r="R459" i="32"/>
  <c r="S459" i="32"/>
  <c r="T459" i="32"/>
  <c r="U459" i="32"/>
  <c r="V459" i="32"/>
  <c r="W459" i="32"/>
  <c r="X459" i="32"/>
  <c r="Y459" i="32"/>
  <c r="Z459" i="32"/>
  <c r="AA459" i="32"/>
  <c r="R460" i="32"/>
  <c r="S460" i="32"/>
  <c r="T460" i="32"/>
  <c r="U460" i="32"/>
  <c r="V460" i="32"/>
  <c r="W460" i="32"/>
  <c r="X460" i="32"/>
  <c r="Y460" i="32"/>
  <c r="Z460" i="32"/>
  <c r="AA460" i="32"/>
  <c r="R461" i="32"/>
  <c r="S461" i="32"/>
  <c r="T461" i="32"/>
  <c r="U461" i="32"/>
  <c r="V461" i="32"/>
  <c r="W461" i="32"/>
  <c r="X461" i="32"/>
  <c r="Y461" i="32"/>
  <c r="Z461" i="32"/>
  <c r="AA461" i="32"/>
  <c r="R462" i="32"/>
  <c r="S462" i="32"/>
  <c r="T462" i="32"/>
  <c r="U462" i="32"/>
  <c r="V462" i="32"/>
  <c r="W462" i="32"/>
  <c r="X462" i="32"/>
  <c r="Y462" i="32"/>
  <c r="Z462" i="32"/>
  <c r="AA462" i="32"/>
  <c r="R463" i="32"/>
  <c r="S463" i="32"/>
  <c r="T463" i="32"/>
  <c r="U463" i="32"/>
  <c r="V463" i="32"/>
  <c r="W463" i="32"/>
  <c r="X463" i="32"/>
  <c r="Y463" i="32"/>
  <c r="Z463" i="32"/>
  <c r="AA463" i="32"/>
  <c r="R464" i="32"/>
  <c r="S464" i="32"/>
  <c r="T464" i="32"/>
  <c r="U464" i="32"/>
  <c r="V464" i="32"/>
  <c r="W464" i="32"/>
  <c r="X464" i="32"/>
  <c r="Y464" i="32"/>
  <c r="Z464" i="32"/>
  <c r="AA464" i="32"/>
  <c r="R465" i="32"/>
  <c r="S465" i="32"/>
  <c r="T465" i="32"/>
  <c r="U465" i="32"/>
  <c r="V465" i="32"/>
  <c r="W465" i="32"/>
  <c r="X465" i="32"/>
  <c r="Y465" i="32"/>
  <c r="Z465" i="32"/>
  <c r="AA465" i="32"/>
  <c r="R466" i="32"/>
  <c r="S466" i="32"/>
  <c r="T466" i="32"/>
  <c r="U466" i="32"/>
  <c r="V466" i="32"/>
  <c r="W466" i="32"/>
  <c r="X466" i="32"/>
  <c r="Y466" i="32"/>
  <c r="Z466" i="32"/>
  <c r="AA466" i="32"/>
  <c r="R467" i="32"/>
  <c r="S467" i="32"/>
  <c r="T467" i="32"/>
  <c r="U467" i="32"/>
  <c r="V467" i="32"/>
  <c r="W467" i="32"/>
  <c r="X467" i="32"/>
  <c r="Y467" i="32"/>
  <c r="Z467" i="32"/>
  <c r="AA467" i="32"/>
  <c r="R468" i="32"/>
  <c r="S468" i="32"/>
  <c r="T468" i="32"/>
  <c r="U468" i="32"/>
  <c r="V468" i="32"/>
  <c r="W468" i="32"/>
  <c r="X468" i="32"/>
  <c r="Y468" i="32"/>
  <c r="Z468" i="32"/>
  <c r="AA468" i="32"/>
  <c r="R469" i="32"/>
  <c r="S469" i="32"/>
  <c r="T469" i="32"/>
  <c r="U469" i="32"/>
  <c r="V469" i="32"/>
  <c r="W469" i="32"/>
  <c r="X469" i="32"/>
  <c r="Y469" i="32"/>
  <c r="Z469" i="32"/>
  <c r="AA469" i="32"/>
  <c r="R470" i="32"/>
  <c r="S470" i="32"/>
  <c r="T470" i="32"/>
  <c r="U470" i="32"/>
  <c r="V470" i="32"/>
  <c r="W470" i="32"/>
  <c r="X470" i="32"/>
  <c r="Y470" i="32"/>
  <c r="Z470" i="32"/>
  <c r="AA470" i="32"/>
  <c r="R471" i="32"/>
  <c r="S471" i="32"/>
  <c r="T471" i="32"/>
  <c r="U471" i="32"/>
  <c r="V471" i="32"/>
  <c r="W471" i="32"/>
  <c r="X471" i="32"/>
  <c r="Y471" i="32"/>
  <c r="Z471" i="32"/>
  <c r="AA471" i="32"/>
  <c r="R472" i="32"/>
  <c r="S472" i="32"/>
  <c r="T472" i="32"/>
  <c r="U472" i="32"/>
  <c r="V472" i="32"/>
  <c r="W472" i="32"/>
  <c r="X472" i="32"/>
  <c r="Y472" i="32"/>
  <c r="Z472" i="32"/>
  <c r="AA472" i="32"/>
  <c r="R473" i="32"/>
  <c r="S473" i="32"/>
  <c r="T473" i="32"/>
  <c r="U473" i="32"/>
  <c r="V473" i="32"/>
  <c r="W473" i="32"/>
  <c r="X473" i="32"/>
  <c r="Y473" i="32"/>
  <c r="Z473" i="32"/>
  <c r="AA473" i="32"/>
  <c r="R474" i="32"/>
  <c r="S474" i="32"/>
  <c r="T474" i="32"/>
  <c r="U474" i="32"/>
  <c r="V474" i="32"/>
  <c r="W474" i="32"/>
  <c r="X474" i="32"/>
  <c r="Y474" i="32"/>
  <c r="Z474" i="32"/>
  <c r="AA474" i="32"/>
  <c r="R475" i="32"/>
  <c r="S475" i="32"/>
  <c r="T475" i="32"/>
  <c r="U475" i="32"/>
  <c r="V475" i="32"/>
  <c r="W475" i="32"/>
  <c r="X475" i="32"/>
  <c r="Y475" i="32"/>
  <c r="Z475" i="32"/>
  <c r="AA475" i="32"/>
  <c r="R476" i="32"/>
  <c r="S476" i="32"/>
  <c r="T476" i="32"/>
  <c r="U476" i="32"/>
  <c r="V476" i="32"/>
  <c r="W476" i="32"/>
  <c r="X476" i="32"/>
  <c r="Y476" i="32"/>
  <c r="Z476" i="32"/>
  <c r="AA476" i="32"/>
  <c r="R477" i="32"/>
  <c r="S477" i="32"/>
  <c r="T477" i="32"/>
  <c r="U477" i="32"/>
  <c r="V477" i="32"/>
  <c r="W477" i="32"/>
  <c r="X477" i="32"/>
  <c r="Y477" i="32"/>
  <c r="Z477" i="32"/>
  <c r="AA477" i="32"/>
  <c r="R478" i="32"/>
  <c r="S478" i="32"/>
  <c r="T478" i="32"/>
  <c r="U478" i="32"/>
  <c r="V478" i="32"/>
  <c r="W478" i="32"/>
  <c r="X478" i="32"/>
  <c r="Y478" i="32"/>
  <c r="Z478" i="32"/>
  <c r="AA478" i="32"/>
  <c r="R479" i="32"/>
  <c r="S479" i="32"/>
  <c r="T479" i="32"/>
  <c r="U479" i="32"/>
  <c r="V479" i="32"/>
  <c r="W479" i="32"/>
  <c r="X479" i="32"/>
  <c r="Y479" i="32"/>
  <c r="Z479" i="32"/>
  <c r="AA479" i="32"/>
  <c r="R480" i="32"/>
  <c r="S480" i="32"/>
  <c r="T480" i="32"/>
  <c r="U480" i="32"/>
  <c r="V480" i="32"/>
  <c r="W480" i="32"/>
  <c r="X480" i="32"/>
  <c r="Y480" i="32"/>
  <c r="Z480" i="32"/>
  <c r="AA480" i="32"/>
  <c r="R481" i="32"/>
  <c r="S481" i="32"/>
  <c r="T481" i="32"/>
  <c r="U481" i="32"/>
  <c r="V481" i="32"/>
  <c r="W481" i="32"/>
  <c r="X481" i="32"/>
  <c r="Y481" i="32"/>
  <c r="Z481" i="32"/>
  <c r="AA481" i="32"/>
  <c r="R482" i="32"/>
  <c r="S482" i="32"/>
  <c r="T482" i="32"/>
  <c r="U482" i="32"/>
  <c r="V482" i="32"/>
  <c r="W482" i="32"/>
  <c r="X482" i="32"/>
  <c r="Y482" i="32"/>
  <c r="Z482" i="32"/>
  <c r="AA482" i="32"/>
  <c r="R483" i="32"/>
  <c r="S483" i="32"/>
  <c r="T483" i="32"/>
  <c r="U483" i="32"/>
  <c r="V483" i="32"/>
  <c r="W483" i="32"/>
  <c r="X483" i="32"/>
  <c r="Y483" i="32"/>
  <c r="Z483" i="32"/>
  <c r="AA483" i="32"/>
  <c r="R484" i="32"/>
  <c r="S484" i="32"/>
  <c r="T484" i="32"/>
  <c r="U484" i="32"/>
  <c r="V484" i="32"/>
  <c r="W484" i="32"/>
  <c r="X484" i="32"/>
  <c r="Y484" i="32"/>
  <c r="Z484" i="32"/>
  <c r="AA484" i="32"/>
  <c r="R485" i="32"/>
  <c r="S485" i="32"/>
  <c r="T485" i="32"/>
  <c r="U485" i="32"/>
  <c r="V485" i="32"/>
  <c r="W485" i="32"/>
  <c r="X485" i="32"/>
  <c r="Y485" i="32"/>
  <c r="Z485" i="32"/>
  <c r="AA485" i="32"/>
  <c r="R486" i="32"/>
  <c r="S486" i="32"/>
  <c r="T486" i="32"/>
  <c r="U486" i="32"/>
  <c r="V486" i="32"/>
  <c r="W486" i="32"/>
  <c r="X486" i="32"/>
  <c r="Y486" i="32"/>
  <c r="Z486" i="32"/>
  <c r="AA486" i="32"/>
  <c r="R487" i="32"/>
  <c r="S487" i="32"/>
  <c r="T487" i="32"/>
  <c r="U487" i="32"/>
  <c r="V487" i="32"/>
  <c r="W487" i="32"/>
  <c r="X487" i="32"/>
  <c r="Y487" i="32"/>
  <c r="Z487" i="32"/>
  <c r="AA487" i="32"/>
  <c r="R488" i="32"/>
  <c r="S488" i="32"/>
  <c r="T488" i="32"/>
  <c r="U488" i="32"/>
  <c r="V488" i="32"/>
  <c r="W488" i="32"/>
  <c r="X488" i="32"/>
  <c r="Y488" i="32"/>
  <c r="Z488" i="32"/>
  <c r="AA488" i="32"/>
  <c r="R489" i="32"/>
  <c r="S489" i="32"/>
  <c r="T489" i="32"/>
  <c r="U489" i="32"/>
  <c r="V489" i="32"/>
  <c r="W489" i="32"/>
  <c r="X489" i="32"/>
  <c r="Y489" i="32"/>
  <c r="Z489" i="32"/>
  <c r="AA489" i="32"/>
  <c r="R490" i="32"/>
  <c r="S490" i="32"/>
  <c r="T490" i="32"/>
  <c r="U490" i="32"/>
  <c r="V490" i="32"/>
  <c r="W490" i="32"/>
  <c r="X490" i="32"/>
  <c r="Y490" i="32"/>
  <c r="Z490" i="32"/>
  <c r="AA490" i="32"/>
  <c r="R491" i="32"/>
  <c r="S491" i="32"/>
  <c r="T491" i="32"/>
  <c r="U491" i="32"/>
  <c r="V491" i="32"/>
  <c r="W491" i="32"/>
  <c r="X491" i="32"/>
  <c r="Y491" i="32"/>
  <c r="Z491" i="32"/>
  <c r="AA491" i="32"/>
  <c r="R492" i="32"/>
  <c r="S492" i="32"/>
  <c r="T492" i="32"/>
  <c r="U492" i="32"/>
  <c r="V492" i="32"/>
  <c r="W492" i="32"/>
  <c r="X492" i="32"/>
  <c r="Y492" i="32"/>
  <c r="Z492" i="32"/>
  <c r="AA492" i="32"/>
  <c r="R493" i="32"/>
  <c r="S493" i="32"/>
  <c r="T493" i="32"/>
  <c r="U493" i="32"/>
  <c r="V493" i="32"/>
  <c r="W493" i="32"/>
  <c r="X493" i="32"/>
  <c r="Y493" i="32"/>
  <c r="Z493" i="32"/>
  <c r="AA493" i="32"/>
  <c r="R494" i="32"/>
  <c r="S494" i="32"/>
  <c r="T494" i="32"/>
  <c r="U494" i="32"/>
  <c r="V494" i="32"/>
  <c r="W494" i="32"/>
  <c r="X494" i="32"/>
  <c r="Y494" i="32"/>
  <c r="Z494" i="32"/>
  <c r="AA494" i="32"/>
  <c r="R495" i="32"/>
  <c r="S495" i="32"/>
  <c r="T495" i="32"/>
  <c r="U495" i="32"/>
  <c r="V495" i="32"/>
  <c r="W495" i="32"/>
  <c r="X495" i="32"/>
  <c r="Y495" i="32"/>
  <c r="Z495" i="32"/>
  <c r="AA495" i="32"/>
  <c r="R496" i="32"/>
  <c r="S496" i="32"/>
  <c r="T496" i="32"/>
  <c r="U496" i="32"/>
  <c r="V496" i="32"/>
  <c r="W496" i="32"/>
  <c r="X496" i="32"/>
  <c r="Y496" i="32"/>
  <c r="Z496" i="32"/>
  <c r="AA496" i="32"/>
  <c r="AA442" i="32"/>
  <c r="Z442" i="32"/>
  <c r="Y442" i="32"/>
  <c r="X442" i="32"/>
  <c r="W442" i="32"/>
  <c r="V442" i="32"/>
  <c r="U442" i="32"/>
  <c r="T442" i="32"/>
  <c r="S442" i="32"/>
  <c r="R442" i="32"/>
  <c r="C443" i="32"/>
  <c r="D443" i="32"/>
  <c r="E443" i="32"/>
  <c r="G443" i="32"/>
  <c r="H443" i="32"/>
  <c r="I443" i="32"/>
  <c r="K443" i="32"/>
  <c r="C444" i="32"/>
  <c r="D444" i="32"/>
  <c r="E444" i="32"/>
  <c r="G444" i="32"/>
  <c r="H444" i="32"/>
  <c r="I444" i="32"/>
  <c r="K444" i="32"/>
  <c r="C445" i="32"/>
  <c r="D445" i="32"/>
  <c r="E445" i="32"/>
  <c r="G445" i="32"/>
  <c r="H445" i="32"/>
  <c r="I445" i="32"/>
  <c r="K445" i="32"/>
  <c r="C446" i="32"/>
  <c r="D446" i="32"/>
  <c r="E446" i="32"/>
  <c r="G446" i="32"/>
  <c r="H446" i="32"/>
  <c r="I446" i="32"/>
  <c r="K446" i="32"/>
  <c r="C447" i="32"/>
  <c r="D447" i="32"/>
  <c r="E447" i="32"/>
  <c r="G447" i="32"/>
  <c r="H447" i="32"/>
  <c r="I447" i="32"/>
  <c r="K447" i="32"/>
  <c r="C448" i="32"/>
  <c r="D448" i="32"/>
  <c r="E448" i="32"/>
  <c r="G448" i="32"/>
  <c r="H448" i="32"/>
  <c r="I448" i="32"/>
  <c r="K448" i="32"/>
  <c r="C449" i="32"/>
  <c r="D449" i="32"/>
  <c r="E449" i="32"/>
  <c r="G449" i="32"/>
  <c r="H449" i="32"/>
  <c r="I449" i="32"/>
  <c r="K449" i="32"/>
  <c r="C450" i="32"/>
  <c r="D450" i="32"/>
  <c r="E450" i="32"/>
  <c r="G450" i="32"/>
  <c r="H450" i="32"/>
  <c r="I450" i="32"/>
  <c r="K450" i="32"/>
  <c r="C451" i="32"/>
  <c r="D451" i="32"/>
  <c r="E451" i="32"/>
  <c r="G451" i="32"/>
  <c r="H451" i="32"/>
  <c r="I451" i="32"/>
  <c r="K451" i="32"/>
  <c r="C452" i="32"/>
  <c r="D452" i="32"/>
  <c r="E452" i="32"/>
  <c r="G452" i="32"/>
  <c r="H452" i="32"/>
  <c r="I452" i="32"/>
  <c r="K452" i="32"/>
  <c r="C453" i="32"/>
  <c r="D453" i="32"/>
  <c r="E453" i="32"/>
  <c r="G453" i="32"/>
  <c r="H453" i="32"/>
  <c r="I453" i="32"/>
  <c r="K453" i="32"/>
  <c r="L453" i="32"/>
  <c r="C454" i="32"/>
  <c r="D454" i="32"/>
  <c r="E454" i="32"/>
  <c r="G454" i="32"/>
  <c r="H454" i="32"/>
  <c r="I454" i="32"/>
  <c r="K454" i="32"/>
  <c r="C455" i="32"/>
  <c r="D455" i="32"/>
  <c r="E455" i="32"/>
  <c r="G455" i="32"/>
  <c r="H455" i="32"/>
  <c r="I455" i="32"/>
  <c r="K455" i="32"/>
  <c r="C456" i="32"/>
  <c r="D456" i="32"/>
  <c r="E456" i="32"/>
  <c r="G456" i="32"/>
  <c r="H456" i="32"/>
  <c r="I456" i="32"/>
  <c r="K456" i="32"/>
  <c r="C457" i="32"/>
  <c r="D457" i="32"/>
  <c r="E457" i="32"/>
  <c r="G457" i="32"/>
  <c r="H457" i="32"/>
  <c r="I457" i="32"/>
  <c r="K457" i="32"/>
  <c r="C458" i="32"/>
  <c r="D458" i="32"/>
  <c r="E458" i="32"/>
  <c r="G458" i="32"/>
  <c r="H458" i="32"/>
  <c r="I458" i="32"/>
  <c r="K458" i="32"/>
  <c r="C459" i="32"/>
  <c r="D459" i="32"/>
  <c r="E459" i="32"/>
  <c r="G459" i="32"/>
  <c r="H459" i="32"/>
  <c r="I459" i="32"/>
  <c r="K459" i="32"/>
  <c r="C460" i="32"/>
  <c r="D460" i="32"/>
  <c r="E460" i="32"/>
  <c r="G460" i="32"/>
  <c r="H460" i="32"/>
  <c r="I460" i="32"/>
  <c r="K460" i="32"/>
  <c r="C461" i="32"/>
  <c r="D461" i="32"/>
  <c r="E461" i="32"/>
  <c r="G461" i="32"/>
  <c r="H461" i="32"/>
  <c r="I461" i="32"/>
  <c r="K461" i="32"/>
  <c r="C462" i="32"/>
  <c r="D462" i="32"/>
  <c r="E462" i="32"/>
  <c r="G462" i="32"/>
  <c r="H462" i="32"/>
  <c r="I462" i="32"/>
  <c r="K462" i="32"/>
  <c r="C463" i="32"/>
  <c r="D463" i="32"/>
  <c r="E463" i="32"/>
  <c r="G463" i="32"/>
  <c r="H463" i="32"/>
  <c r="I463" i="32"/>
  <c r="K463" i="32"/>
  <c r="C464" i="32"/>
  <c r="D464" i="32"/>
  <c r="E464" i="32"/>
  <c r="F464" i="32"/>
  <c r="G464" i="32"/>
  <c r="H464" i="32"/>
  <c r="I464" i="32"/>
  <c r="K464" i="32"/>
  <c r="C465" i="32"/>
  <c r="D465" i="32"/>
  <c r="E465" i="32"/>
  <c r="F465" i="32"/>
  <c r="G465" i="32"/>
  <c r="H465" i="32"/>
  <c r="I465" i="32"/>
  <c r="K465" i="32"/>
  <c r="C466" i="32"/>
  <c r="D466" i="32"/>
  <c r="E466" i="32"/>
  <c r="F466" i="32"/>
  <c r="G466" i="32"/>
  <c r="H466" i="32"/>
  <c r="I466" i="32"/>
  <c r="K466" i="32"/>
  <c r="C467" i="32"/>
  <c r="D467" i="32"/>
  <c r="E467" i="32"/>
  <c r="F467" i="32"/>
  <c r="G467" i="32"/>
  <c r="H467" i="32"/>
  <c r="I467" i="32"/>
  <c r="K467" i="32"/>
  <c r="C468" i="32"/>
  <c r="D468" i="32"/>
  <c r="E468" i="32"/>
  <c r="F468" i="32"/>
  <c r="G468" i="32"/>
  <c r="H468" i="32"/>
  <c r="I468" i="32"/>
  <c r="K468" i="32"/>
  <c r="C469" i="32"/>
  <c r="D469" i="32"/>
  <c r="E469" i="32"/>
  <c r="F469" i="32"/>
  <c r="G469" i="32"/>
  <c r="H469" i="32"/>
  <c r="I469" i="32"/>
  <c r="K469" i="32"/>
  <c r="N469" i="32"/>
  <c r="C470" i="32"/>
  <c r="D470" i="32"/>
  <c r="E470" i="32"/>
  <c r="F470" i="32"/>
  <c r="G470" i="32"/>
  <c r="H470" i="32"/>
  <c r="I470" i="32"/>
  <c r="K470" i="32"/>
  <c r="N470" i="32"/>
  <c r="C471" i="32"/>
  <c r="D471" i="32"/>
  <c r="E471" i="32"/>
  <c r="F471" i="32"/>
  <c r="G471" i="32"/>
  <c r="H471" i="32"/>
  <c r="I471" i="32"/>
  <c r="K471" i="32"/>
  <c r="N471" i="32"/>
  <c r="C472" i="32"/>
  <c r="D472" i="32"/>
  <c r="E472" i="32"/>
  <c r="F472" i="32"/>
  <c r="G472" i="32"/>
  <c r="H472" i="32"/>
  <c r="I472" i="32"/>
  <c r="K472" i="32"/>
  <c r="L472" i="32"/>
  <c r="N472" i="32"/>
  <c r="C473" i="32"/>
  <c r="D473" i="32"/>
  <c r="E473" i="32"/>
  <c r="F473" i="32"/>
  <c r="G473" i="32"/>
  <c r="H473" i="32"/>
  <c r="I473" i="32"/>
  <c r="K473" i="32"/>
  <c r="L473" i="32"/>
  <c r="N473" i="32"/>
  <c r="C474" i="32"/>
  <c r="D474" i="32"/>
  <c r="E474" i="32"/>
  <c r="F474" i="32"/>
  <c r="G474" i="32"/>
  <c r="H474" i="32"/>
  <c r="I474" i="32"/>
  <c r="K474" i="32"/>
  <c r="L474" i="32"/>
  <c r="N474" i="32"/>
  <c r="C475" i="32"/>
  <c r="D475" i="32"/>
  <c r="E475" i="32"/>
  <c r="F475" i="32"/>
  <c r="G475" i="32"/>
  <c r="H475" i="32"/>
  <c r="I475" i="32"/>
  <c r="K475" i="32"/>
  <c r="L475" i="32"/>
  <c r="N475" i="32"/>
  <c r="C476" i="32"/>
  <c r="D476" i="32"/>
  <c r="E476" i="32"/>
  <c r="F476" i="32"/>
  <c r="G476" i="32"/>
  <c r="H476" i="32"/>
  <c r="I476" i="32"/>
  <c r="K476" i="32"/>
  <c r="L476" i="32"/>
  <c r="N476" i="32"/>
  <c r="C477" i="32"/>
  <c r="D477" i="32"/>
  <c r="E477" i="32"/>
  <c r="F477" i="32"/>
  <c r="G477" i="32"/>
  <c r="H477" i="32"/>
  <c r="I477" i="32"/>
  <c r="K477" i="32"/>
  <c r="L477" i="32"/>
  <c r="N477" i="32"/>
  <c r="C478" i="32"/>
  <c r="D478" i="32"/>
  <c r="E478" i="32"/>
  <c r="F478" i="32"/>
  <c r="G478" i="32"/>
  <c r="H478" i="32"/>
  <c r="I478" i="32"/>
  <c r="K478" i="32"/>
  <c r="L478" i="32"/>
  <c r="N478" i="32"/>
  <c r="C479" i="32"/>
  <c r="D479" i="32"/>
  <c r="E479" i="32"/>
  <c r="F479" i="32"/>
  <c r="G479" i="32"/>
  <c r="H479" i="32"/>
  <c r="I479" i="32"/>
  <c r="K479" i="32"/>
  <c r="L479" i="32"/>
  <c r="N479" i="32"/>
  <c r="C480" i="32"/>
  <c r="D480" i="32"/>
  <c r="E480" i="32"/>
  <c r="F480" i="32"/>
  <c r="G480" i="32"/>
  <c r="H480" i="32"/>
  <c r="I480" i="32"/>
  <c r="K480" i="32"/>
  <c r="L480" i="32"/>
  <c r="N480" i="32"/>
  <c r="C481" i="32"/>
  <c r="D481" i="32"/>
  <c r="E481" i="32"/>
  <c r="F481" i="32"/>
  <c r="G481" i="32"/>
  <c r="H481" i="32"/>
  <c r="I481" i="32"/>
  <c r="K481" i="32"/>
  <c r="L481" i="32"/>
  <c r="N481" i="32"/>
  <c r="C482" i="32"/>
  <c r="D482" i="32"/>
  <c r="E482" i="32"/>
  <c r="F482" i="32"/>
  <c r="G482" i="32"/>
  <c r="H482" i="32"/>
  <c r="I482" i="32"/>
  <c r="K482" i="32"/>
  <c r="L482" i="32"/>
  <c r="N482" i="32"/>
  <c r="C483" i="32"/>
  <c r="D483" i="32"/>
  <c r="E483" i="32"/>
  <c r="F483" i="32"/>
  <c r="G483" i="32"/>
  <c r="H483" i="32"/>
  <c r="I483" i="32"/>
  <c r="K483" i="32"/>
  <c r="L483" i="32"/>
  <c r="N483" i="32"/>
  <c r="C484" i="32"/>
  <c r="D484" i="32"/>
  <c r="E484" i="32"/>
  <c r="F484" i="32"/>
  <c r="G484" i="32"/>
  <c r="H484" i="32"/>
  <c r="I484" i="32"/>
  <c r="K484" i="32"/>
  <c r="L484" i="32"/>
  <c r="N484" i="32"/>
  <c r="C485" i="32"/>
  <c r="D485" i="32"/>
  <c r="E485" i="32"/>
  <c r="F485" i="32"/>
  <c r="G485" i="32"/>
  <c r="H485" i="32"/>
  <c r="I485" i="32"/>
  <c r="K485" i="32"/>
  <c r="L485" i="32"/>
  <c r="N485" i="32"/>
  <c r="C486" i="32"/>
  <c r="D486" i="32"/>
  <c r="E486" i="32"/>
  <c r="F486" i="32"/>
  <c r="G486" i="32"/>
  <c r="H486" i="32"/>
  <c r="I486" i="32"/>
  <c r="K486" i="32"/>
  <c r="L486" i="32"/>
  <c r="N486" i="32"/>
  <c r="C487" i="32"/>
  <c r="D487" i="32"/>
  <c r="E487" i="32"/>
  <c r="F487" i="32"/>
  <c r="G487" i="32"/>
  <c r="H487" i="32"/>
  <c r="I487" i="32"/>
  <c r="K487" i="32"/>
  <c r="L487" i="32"/>
  <c r="N487" i="32"/>
  <c r="C488" i="32"/>
  <c r="D488" i="32"/>
  <c r="E488" i="32"/>
  <c r="F488" i="32"/>
  <c r="G488" i="32"/>
  <c r="H488" i="32"/>
  <c r="I488" i="32"/>
  <c r="K488" i="32"/>
  <c r="L488" i="32"/>
  <c r="N488" i="32"/>
  <c r="C489" i="32"/>
  <c r="D489" i="32"/>
  <c r="E489" i="32"/>
  <c r="F489" i="32"/>
  <c r="G489" i="32"/>
  <c r="H489" i="32"/>
  <c r="I489" i="32"/>
  <c r="K489" i="32"/>
  <c r="L489" i="32"/>
  <c r="N489" i="32"/>
  <c r="C490" i="32"/>
  <c r="D490" i="32"/>
  <c r="E490" i="32"/>
  <c r="F490" i="32"/>
  <c r="G490" i="32"/>
  <c r="H490" i="32"/>
  <c r="I490" i="32"/>
  <c r="K490" i="32"/>
  <c r="L490" i="32"/>
  <c r="N490" i="32"/>
  <c r="C491" i="32"/>
  <c r="D491" i="32"/>
  <c r="E491" i="32"/>
  <c r="F491" i="32"/>
  <c r="G491" i="32"/>
  <c r="H491" i="32"/>
  <c r="I491" i="32"/>
  <c r="K491" i="32"/>
  <c r="L491" i="32"/>
  <c r="N491" i="32"/>
  <c r="C492" i="32"/>
  <c r="D492" i="32"/>
  <c r="E492" i="32"/>
  <c r="F492" i="32"/>
  <c r="G492" i="32"/>
  <c r="H492" i="32"/>
  <c r="I492" i="32"/>
  <c r="K492" i="32"/>
  <c r="L492" i="32"/>
  <c r="N492" i="32"/>
  <c r="C493" i="32"/>
  <c r="D493" i="32"/>
  <c r="E493" i="32"/>
  <c r="F493" i="32"/>
  <c r="G493" i="32"/>
  <c r="H493" i="32"/>
  <c r="I493" i="32"/>
  <c r="K493" i="32"/>
  <c r="L493" i="32"/>
  <c r="N493" i="32"/>
  <c r="C494" i="32"/>
  <c r="D494" i="32"/>
  <c r="E494" i="32"/>
  <c r="F494" i="32"/>
  <c r="G494" i="32"/>
  <c r="H494" i="32"/>
  <c r="I494" i="32"/>
  <c r="K494" i="32"/>
  <c r="L494" i="32"/>
  <c r="N494" i="32"/>
  <c r="C495" i="32"/>
  <c r="D495" i="32"/>
  <c r="E495" i="32"/>
  <c r="F495" i="32"/>
  <c r="G495" i="32"/>
  <c r="H495" i="32"/>
  <c r="I495" i="32"/>
  <c r="K495" i="32"/>
  <c r="L495" i="32"/>
  <c r="N495" i="32"/>
  <c r="C496" i="32"/>
  <c r="D496" i="32"/>
  <c r="E496" i="32"/>
  <c r="F496" i="32"/>
  <c r="G496" i="32"/>
  <c r="H496" i="32"/>
  <c r="K496" i="32"/>
  <c r="L496" i="32"/>
  <c r="N496" i="32"/>
  <c r="L441" i="32"/>
  <c r="K442" i="32"/>
  <c r="I442" i="32"/>
  <c r="H442" i="32"/>
  <c r="G442" i="32"/>
  <c r="E442" i="32"/>
  <c r="D442" i="32"/>
  <c r="C442" i="32"/>
  <c r="R388" i="32"/>
  <c r="S388" i="32"/>
  <c r="T388" i="32"/>
  <c r="U388" i="32"/>
  <c r="V388" i="32"/>
  <c r="W388" i="32"/>
  <c r="X388" i="32"/>
  <c r="Y388" i="32"/>
  <c r="Z388" i="32"/>
  <c r="AA388" i="32"/>
  <c r="R389" i="32"/>
  <c r="S389" i="32"/>
  <c r="T389" i="32"/>
  <c r="U389" i="32"/>
  <c r="V389" i="32"/>
  <c r="W389" i="32"/>
  <c r="X389" i="32"/>
  <c r="Y389" i="32"/>
  <c r="Z389" i="32"/>
  <c r="AA389" i="32"/>
  <c r="R390" i="32"/>
  <c r="S390" i="32"/>
  <c r="T390" i="32"/>
  <c r="U390" i="32"/>
  <c r="V390" i="32"/>
  <c r="W390" i="32"/>
  <c r="X390" i="32"/>
  <c r="Y390" i="32"/>
  <c r="Z390" i="32"/>
  <c r="AA390" i="32"/>
  <c r="R391" i="32"/>
  <c r="S391" i="32"/>
  <c r="T391" i="32"/>
  <c r="U391" i="32"/>
  <c r="V391" i="32"/>
  <c r="W391" i="32"/>
  <c r="X391" i="32"/>
  <c r="Y391" i="32"/>
  <c r="Z391" i="32"/>
  <c r="AA391" i="32"/>
  <c r="R392" i="32"/>
  <c r="S392" i="32"/>
  <c r="T392" i="32"/>
  <c r="U392" i="32"/>
  <c r="V392" i="32"/>
  <c r="W392" i="32"/>
  <c r="X392" i="32"/>
  <c r="Y392" i="32"/>
  <c r="Z392" i="32"/>
  <c r="AA392" i="32"/>
  <c r="R393" i="32"/>
  <c r="S393" i="32"/>
  <c r="T393" i="32"/>
  <c r="U393" i="32"/>
  <c r="V393" i="32"/>
  <c r="W393" i="32"/>
  <c r="X393" i="32"/>
  <c r="Y393" i="32"/>
  <c r="Z393" i="32"/>
  <c r="AA393" i="32"/>
  <c r="R394" i="32"/>
  <c r="S394" i="32"/>
  <c r="T394" i="32"/>
  <c r="U394" i="32"/>
  <c r="V394" i="32"/>
  <c r="W394" i="32"/>
  <c r="X394" i="32"/>
  <c r="Y394" i="32"/>
  <c r="Z394" i="32"/>
  <c r="AA394" i="32"/>
  <c r="R395" i="32"/>
  <c r="S395" i="32"/>
  <c r="T395" i="32"/>
  <c r="U395" i="32"/>
  <c r="V395" i="32"/>
  <c r="W395" i="32"/>
  <c r="X395" i="32"/>
  <c r="Y395" i="32"/>
  <c r="Z395" i="32"/>
  <c r="AA395" i="32"/>
  <c r="R396" i="32"/>
  <c r="S396" i="32"/>
  <c r="T396" i="32"/>
  <c r="U396" i="32"/>
  <c r="V396" i="32"/>
  <c r="W396" i="32"/>
  <c r="X396" i="32"/>
  <c r="Y396" i="32"/>
  <c r="Z396" i="32"/>
  <c r="AA396" i="32"/>
  <c r="R397" i="32"/>
  <c r="S397" i="32"/>
  <c r="T397" i="32"/>
  <c r="U397" i="32"/>
  <c r="V397" i="32"/>
  <c r="W397" i="32"/>
  <c r="X397" i="32"/>
  <c r="Y397" i="32"/>
  <c r="Z397" i="32"/>
  <c r="AA397" i="32"/>
  <c r="R398" i="32"/>
  <c r="S398" i="32"/>
  <c r="T398" i="32"/>
  <c r="U398" i="32"/>
  <c r="V398" i="32"/>
  <c r="W398" i="32"/>
  <c r="X398" i="32"/>
  <c r="Y398" i="32"/>
  <c r="Z398" i="32"/>
  <c r="AA398" i="32"/>
  <c r="R399" i="32"/>
  <c r="S399" i="32"/>
  <c r="T399" i="32"/>
  <c r="U399" i="32"/>
  <c r="V399" i="32"/>
  <c r="W399" i="32"/>
  <c r="X399" i="32"/>
  <c r="Y399" i="32"/>
  <c r="Z399" i="32"/>
  <c r="AA399" i="32"/>
  <c r="R400" i="32"/>
  <c r="S400" i="32"/>
  <c r="T400" i="32"/>
  <c r="U400" i="32"/>
  <c r="V400" i="32"/>
  <c r="W400" i="32"/>
  <c r="X400" i="32"/>
  <c r="Y400" i="32"/>
  <c r="Z400" i="32"/>
  <c r="AA400" i="32"/>
  <c r="R401" i="32"/>
  <c r="S401" i="32"/>
  <c r="T401" i="32"/>
  <c r="U401" i="32"/>
  <c r="V401" i="32"/>
  <c r="W401" i="32"/>
  <c r="X401" i="32"/>
  <c r="Y401" i="32"/>
  <c r="Z401" i="32"/>
  <c r="AA401" i="32"/>
  <c r="R402" i="32"/>
  <c r="S402" i="32"/>
  <c r="T402" i="32"/>
  <c r="U402" i="32"/>
  <c r="V402" i="32"/>
  <c r="W402" i="32"/>
  <c r="X402" i="32"/>
  <c r="Y402" i="32"/>
  <c r="Z402" i="32"/>
  <c r="AA402" i="32"/>
  <c r="R403" i="32"/>
  <c r="S403" i="32"/>
  <c r="T403" i="32"/>
  <c r="U403" i="32"/>
  <c r="V403" i="32"/>
  <c r="W403" i="32"/>
  <c r="X403" i="32"/>
  <c r="Y403" i="32"/>
  <c r="Z403" i="32"/>
  <c r="AA403" i="32"/>
  <c r="R404" i="32"/>
  <c r="S404" i="32"/>
  <c r="T404" i="32"/>
  <c r="U404" i="32"/>
  <c r="V404" i="32"/>
  <c r="W404" i="32"/>
  <c r="X404" i="32"/>
  <c r="Y404" i="32"/>
  <c r="Z404" i="32"/>
  <c r="AA404" i="32"/>
  <c r="R405" i="32"/>
  <c r="S405" i="32"/>
  <c r="T405" i="32"/>
  <c r="U405" i="32"/>
  <c r="V405" i="32"/>
  <c r="W405" i="32"/>
  <c r="X405" i="32"/>
  <c r="Y405" i="32"/>
  <c r="Z405" i="32"/>
  <c r="AA405" i="32"/>
  <c r="R406" i="32"/>
  <c r="S406" i="32"/>
  <c r="T406" i="32"/>
  <c r="U406" i="32"/>
  <c r="V406" i="32"/>
  <c r="W406" i="32"/>
  <c r="X406" i="32"/>
  <c r="Y406" i="32"/>
  <c r="Z406" i="32"/>
  <c r="AA406" i="32"/>
  <c r="R407" i="32"/>
  <c r="S407" i="32"/>
  <c r="T407" i="32"/>
  <c r="U407" i="32"/>
  <c r="V407" i="32"/>
  <c r="W407" i="32"/>
  <c r="X407" i="32"/>
  <c r="Y407" i="32"/>
  <c r="Z407" i="32"/>
  <c r="AA407" i="32"/>
  <c r="R408" i="32"/>
  <c r="S408" i="32"/>
  <c r="T408" i="32"/>
  <c r="U408" i="32"/>
  <c r="V408" i="32"/>
  <c r="W408" i="32"/>
  <c r="X408" i="32"/>
  <c r="Y408" i="32"/>
  <c r="Z408" i="32"/>
  <c r="AA408" i="32"/>
  <c r="R409" i="32"/>
  <c r="S409" i="32"/>
  <c r="T409" i="32"/>
  <c r="U409" i="32"/>
  <c r="V409" i="32"/>
  <c r="W409" i="32"/>
  <c r="X409" i="32"/>
  <c r="Y409" i="32"/>
  <c r="Z409" i="32"/>
  <c r="AA409" i="32"/>
  <c r="R410" i="32"/>
  <c r="S410" i="32"/>
  <c r="T410" i="32"/>
  <c r="U410" i="32"/>
  <c r="V410" i="32"/>
  <c r="W410" i="32"/>
  <c r="X410" i="32"/>
  <c r="Y410" i="32"/>
  <c r="Z410" i="32"/>
  <c r="AA410" i="32"/>
  <c r="R411" i="32"/>
  <c r="S411" i="32"/>
  <c r="T411" i="32"/>
  <c r="U411" i="32"/>
  <c r="V411" i="32"/>
  <c r="W411" i="32"/>
  <c r="X411" i="32"/>
  <c r="Y411" i="32"/>
  <c r="Z411" i="32"/>
  <c r="AA411" i="32"/>
  <c r="R412" i="32"/>
  <c r="S412" i="32"/>
  <c r="T412" i="32"/>
  <c r="U412" i="32"/>
  <c r="V412" i="32"/>
  <c r="W412" i="32"/>
  <c r="X412" i="32"/>
  <c r="Y412" i="32"/>
  <c r="Z412" i="32"/>
  <c r="AA412" i="32"/>
  <c r="R413" i="32"/>
  <c r="S413" i="32"/>
  <c r="T413" i="32"/>
  <c r="U413" i="32"/>
  <c r="V413" i="32"/>
  <c r="W413" i="32"/>
  <c r="X413" i="32"/>
  <c r="Y413" i="32"/>
  <c r="Z413" i="32"/>
  <c r="AA413" i="32"/>
  <c r="R414" i="32"/>
  <c r="S414" i="32"/>
  <c r="T414" i="32"/>
  <c r="U414" i="32"/>
  <c r="V414" i="32"/>
  <c r="W414" i="32"/>
  <c r="X414" i="32"/>
  <c r="Y414" i="32"/>
  <c r="Z414" i="32"/>
  <c r="AA414" i="32"/>
  <c r="R415" i="32"/>
  <c r="S415" i="32"/>
  <c r="T415" i="32"/>
  <c r="U415" i="32"/>
  <c r="V415" i="32"/>
  <c r="W415" i="32"/>
  <c r="X415" i="32"/>
  <c r="Y415" i="32"/>
  <c r="Z415" i="32"/>
  <c r="AA415" i="32"/>
  <c r="R416" i="32"/>
  <c r="S416" i="32"/>
  <c r="T416" i="32"/>
  <c r="U416" i="32"/>
  <c r="V416" i="32"/>
  <c r="W416" i="32"/>
  <c r="X416" i="32"/>
  <c r="Y416" i="32"/>
  <c r="Z416" i="32"/>
  <c r="AA416" i="32"/>
  <c r="R417" i="32"/>
  <c r="S417" i="32"/>
  <c r="T417" i="32"/>
  <c r="U417" i="32"/>
  <c r="V417" i="32"/>
  <c r="W417" i="32"/>
  <c r="X417" i="32"/>
  <c r="Y417" i="32"/>
  <c r="Z417" i="32"/>
  <c r="AA417" i="32"/>
  <c r="R418" i="32"/>
  <c r="S418" i="32"/>
  <c r="T418" i="32"/>
  <c r="U418" i="32"/>
  <c r="V418" i="32"/>
  <c r="W418" i="32"/>
  <c r="X418" i="32"/>
  <c r="Y418" i="32"/>
  <c r="Z418" i="32"/>
  <c r="AA418" i="32"/>
  <c r="R419" i="32"/>
  <c r="S419" i="32"/>
  <c r="T419" i="32"/>
  <c r="U419" i="32"/>
  <c r="V419" i="32"/>
  <c r="W419" i="32"/>
  <c r="X419" i="32"/>
  <c r="Y419" i="32"/>
  <c r="Z419" i="32"/>
  <c r="AA419" i="32"/>
  <c r="R420" i="32"/>
  <c r="S420" i="32"/>
  <c r="T420" i="32"/>
  <c r="U420" i="32"/>
  <c r="V420" i="32"/>
  <c r="W420" i="32"/>
  <c r="X420" i="32"/>
  <c r="Y420" i="32"/>
  <c r="Z420" i="32"/>
  <c r="AA420" i="32"/>
  <c r="R421" i="32"/>
  <c r="S421" i="32"/>
  <c r="T421" i="32"/>
  <c r="U421" i="32"/>
  <c r="V421" i="32"/>
  <c r="W421" i="32"/>
  <c r="X421" i="32"/>
  <c r="Y421" i="32"/>
  <c r="Z421" i="32"/>
  <c r="AA421" i="32"/>
  <c r="R422" i="32"/>
  <c r="S422" i="32"/>
  <c r="T422" i="32"/>
  <c r="U422" i="32"/>
  <c r="V422" i="32"/>
  <c r="W422" i="32"/>
  <c r="X422" i="32"/>
  <c r="Y422" i="32"/>
  <c r="Z422" i="32"/>
  <c r="AA422" i="32"/>
  <c r="R423" i="32"/>
  <c r="S423" i="32"/>
  <c r="T423" i="32"/>
  <c r="U423" i="32"/>
  <c r="V423" i="32"/>
  <c r="W423" i="32"/>
  <c r="X423" i="32"/>
  <c r="Y423" i="32"/>
  <c r="Z423" i="32"/>
  <c r="AA423" i="32"/>
  <c r="R424" i="32"/>
  <c r="S424" i="32"/>
  <c r="T424" i="32"/>
  <c r="U424" i="32"/>
  <c r="V424" i="32"/>
  <c r="W424" i="32"/>
  <c r="X424" i="32"/>
  <c r="Y424" i="32"/>
  <c r="Z424" i="32"/>
  <c r="AA424" i="32"/>
  <c r="R425" i="32"/>
  <c r="S425" i="32"/>
  <c r="T425" i="32"/>
  <c r="U425" i="32"/>
  <c r="V425" i="32"/>
  <c r="W425" i="32"/>
  <c r="X425" i="32"/>
  <c r="Y425" i="32"/>
  <c r="Z425" i="32"/>
  <c r="AA425" i="32"/>
  <c r="R426" i="32"/>
  <c r="S426" i="32"/>
  <c r="T426" i="32"/>
  <c r="U426" i="32"/>
  <c r="V426" i="32"/>
  <c r="W426" i="32"/>
  <c r="X426" i="32"/>
  <c r="Y426" i="32"/>
  <c r="Z426" i="32"/>
  <c r="AA426" i="32"/>
  <c r="R427" i="32"/>
  <c r="S427" i="32"/>
  <c r="T427" i="32"/>
  <c r="U427" i="32"/>
  <c r="V427" i="32"/>
  <c r="W427" i="32"/>
  <c r="X427" i="32"/>
  <c r="Y427" i="32"/>
  <c r="Z427" i="32"/>
  <c r="AA427" i="32"/>
  <c r="R428" i="32"/>
  <c r="S428" i="32"/>
  <c r="T428" i="32"/>
  <c r="U428" i="32"/>
  <c r="V428" i="32"/>
  <c r="W428" i="32"/>
  <c r="X428" i="32"/>
  <c r="Y428" i="32"/>
  <c r="Z428" i="32"/>
  <c r="AA428" i="32"/>
  <c r="R429" i="32"/>
  <c r="S429" i="32"/>
  <c r="T429" i="32"/>
  <c r="U429" i="32"/>
  <c r="V429" i="32"/>
  <c r="W429" i="32"/>
  <c r="X429" i="32"/>
  <c r="Y429" i="32"/>
  <c r="Z429" i="32"/>
  <c r="AA429" i="32"/>
  <c r="R430" i="32"/>
  <c r="S430" i="32"/>
  <c r="T430" i="32"/>
  <c r="U430" i="32"/>
  <c r="V430" i="32"/>
  <c r="W430" i="32"/>
  <c r="X430" i="32"/>
  <c r="Y430" i="32"/>
  <c r="Z430" i="32"/>
  <c r="AA430" i="32"/>
  <c r="R431" i="32"/>
  <c r="S431" i="32"/>
  <c r="T431" i="32"/>
  <c r="U431" i="32"/>
  <c r="V431" i="32"/>
  <c r="W431" i="32"/>
  <c r="X431" i="32"/>
  <c r="Y431" i="32"/>
  <c r="Z431" i="32"/>
  <c r="AA431" i="32"/>
  <c r="R432" i="32"/>
  <c r="S432" i="32"/>
  <c r="T432" i="32"/>
  <c r="U432" i="32"/>
  <c r="V432" i="32"/>
  <c r="W432" i="32"/>
  <c r="X432" i="32"/>
  <c r="Y432" i="32"/>
  <c r="Z432" i="32"/>
  <c r="AA432" i="32"/>
  <c r="R433" i="32"/>
  <c r="S433" i="32"/>
  <c r="T433" i="32"/>
  <c r="U433" i="32"/>
  <c r="V433" i="32"/>
  <c r="W433" i="32"/>
  <c r="X433" i="32"/>
  <c r="Y433" i="32"/>
  <c r="Z433" i="32"/>
  <c r="AA433" i="32"/>
  <c r="R434" i="32"/>
  <c r="S434" i="32"/>
  <c r="T434" i="32"/>
  <c r="U434" i="32"/>
  <c r="V434" i="32"/>
  <c r="W434" i="32"/>
  <c r="X434" i="32"/>
  <c r="Y434" i="32"/>
  <c r="Z434" i="32"/>
  <c r="AA434" i="32"/>
  <c r="R435" i="32"/>
  <c r="S435" i="32"/>
  <c r="T435" i="32"/>
  <c r="U435" i="32"/>
  <c r="V435" i="32"/>
  <c r="W435" i="32"/>
  <c r="X435" i="32"/>
  <c r="Y435" i="32"/>
  <c r="Z435" i="32"/>
  <c r="AA435" i="32"/>
  <c r="R436" i="32"/>
  <c r="S436" i="32"/>
  <c r="T436" i="32"/>
  <c r="U436" i="32"/>
  <c r="V436" i="32"/>
  <c r="W436" i="32"/>
  <c r="X436" i="32"/>
  <c r="Y436" i="32"/>
  <c r="Z436" i="32"/>
  <c r="AA436" i="32"/>
  <c r="R437" i="32"/>
  <c r="S437" i="32"/>
  <c r="T437" i="32"/>
  <c r="U437" i="32"/>
  <c r="V437" i="32"/>
  <c r="W437" i="32"/>
  <c r="X437" i="32"/>
  <c r="Y437" i="32"/>
  <c r="Z437" i="32"/>
  <c r="AA437" i="32"/>
  <c r="R438" i="32"/>
  <c r="S438" i="32"/>
  <c r="T438" i="32"/>
  <c r="U438" i="32"/>
  <c r="V438" i="32"/>
  <c r="W438" i="32"/>
  <c r="X438" i="32"/>
  <c r="Y438" i="32"/>
  <c r="Z438" i="32"/>
  <c r="AA438" i="32"/>
  <c r="R439" i="32"/>
  <c r="S439" i="32"/>
  <c r="T439" i="32"/>
  <c r="U439" i="32"/>
  <c r="V439" i="32"/>
  <c r="W439" i="32"/>
  <c r="X439" i="32"/>
  <c r="Y439" i="32"/>
  <c r="Z439" i="32"/>
  <c r="AA439" i="32"/>
  <c r="R440" i="32"/>
  <c r="S440" i="32"/>
  <c r="T440" i="32"/>
  <c r="U440" i="32"/>
  <c r="V440" i="32"/>
  <c r="W440" i="32"/>
  <c r="X440" i="32"/>
  <c r="Y440" i="32"/>
  <c r="Z440" i="32"/>
  <c r="AA440" i="32"/>
  <c r="R441" i="32"/>
  <c r="S441" i="32"/>
  <c r="T441" i="32"/>
  <c r="U441" i="32"/>
  <c r="V441" i="32"/>
  <c r="W441" i="32"/>
  <c r="X441" i="32"/>
  <c r="Y441" i="32"/>
  <c r="Z441" i="32"/>
  <c r="AA441" i="32"/>
  <c r="AA387" i="32"/>
  <c r="Z387" i="32"/>
  <c r="Y387" i="32"/>
  <c r="X387" i="32"/>
  <c r="W387" i="32"/>
  <c r="V387" i="32"/>
  <c r="T387" i="32"/>
  <c r="U387" i="32"/>
  <c r="S387" i="32"/>
  <c r="R387" i="32"/>
  <c r="C388" i="32"/>
  <c r="D388" i="32"/>
  <c r="E388" i="32"/>
  <c r="G388" i="32"/>
  <c r="H388" i="32"/>
  <c r="I388" i="32"/>
  <c r="K388" i="32"/>
  <c r="C389" i="32"/>
  <c r="D389" i="32"/>
  <c r="E389" i="32"/>
  <c r="G389" i="32"/>
  <c r="H389" i="32"/>
  <c r="I389" i="32"/>
  <c r="K389" i="32"/>
  <c r="C390" i="32"/>
  <c r="D390" i="32"/>
  <c r="E390" i="32"/>
  <c r="G390" i="32"/>
  <c r="H390" i="32"/>
  <c r="I390" i="32"/>
  <c r="K390" i="32"/>
  <c r="C391" i="32"/>
  <c r="D391" i="32"/>
  <c r="E391" i="32"/>
  <c r="G391" i="32"/>
  <c r="H391" i="32"/>
  <c r="I391" i="32"/>
  <c r="K391" i="32"/>
  <c r="C392" i="32"/>
  <c r="D392" i="32"/>
  <c r="E392" i="32"/>
  <c r="G392" i="32"/>
  <c r="H392" i="32"/>
  <c r="I392" i="32"/>
  <c r="K392" i="32"/>
  <c r="C393" i="32"/>
  <c r="D393" i="32"/>
  <c r="E393" i="32"/>
  <c r="G393" i="32"/>
  <c r="H393" i="32"/>
  <c r="I393" i="32"/>
  <c r="K393" i="32"/>
  <c r="C394" i="32"/>
  <c r="D394" i="32"/>
  <c r="E394" i="32"/>
  <c r="G394" i="32"/>
  <c r="H394" i="32"/>
  <c r="I394" i="32"/>
  <c r="K394" i="32"/>
  <c r="C395" i="32"/>
  <c r="D395" i="32"/>
  <c r="E395" i="32"/>
  <c r="G395" i="32"/>
  <c r="H395" i="32"/>
  <c r="I395" i="32"/>
  <c r="K395" i="32"/>
  <c r="C396" i="32"/>
  <c r="D396" i="32"/>
  <c r="E396" i="32"/>
  <c r="G396" i="32"/>
  <c r="H396" i="32"/>
  <c r="I396" i="32"/>
  <c r="K396" i="32"/>
  <c r="C397" i="32"/>
  <c r="D397" i="32"/>
  <c r="E397" i="32"/>
  <c r="G397" i="32"/>
  <c r="H397" i="32"/>
  <c r="I397" i="32"/>
  <c r="K397" i="32"/>
  <c r="C398" i="32"/>
  <c r="D398" i="32"/>
  <c r="E398" i="32"/>
  <c r="G398" i="32"/>
  <c r="H398" i="32"/>
  <c r="I398" i="32"/>
  <c r="K398" i="32"/>
  <c r="C399" i="32"/>
  <c r="D399" i="32"/>
  <c r="E399" i="32"/>
  <c r="G399" i="32"/>
  <c r="H399" i="32"/>
  <c r="I399" i="32"/>
  <c r="K399" i="32"/>
  <c r="C400" i="32"/>
  <c r="D400" i="32"/>
  <c r="E400" i="32"/>
  <c r="G400" i="32"/>
  <c r="H400" i="32"/>
  <c r="I400" i="32"/>
  <c r="K400" i="32"/>
  <c r="C401" i="32"/>
  <c r="D401" i="32"/>
  <c r="E401" i="32"/>
  <c r="G401" i="32"/>
  <c r="H401" i="32"/>
  <c r="I401" i="32"/>
  <c r="K401" i="32"/>
  <c r="C402" i="32"/>
  <c r="D402" i="32"/>
  <c r="E402" i="32"/>
  <c r="G402" i="32"/>
  <c r="H402" i="32"/>
  <c r="I402" i="32"/>
  <c r="K402" i="32"/>
  <c r="C403" i="32"/>
  <c r="D403" i="32"/>
  <c r="E403" i="32"/>
  <c r="G403" i="32"/>
  <c r="H403" i="32"/>
  <c r="I403" i="32"/>
  <c r="K403" i="32"/>
  <c r="C404" i="32"/>
  <c r="D404" i="32"/>
  <c r="E404" i="32"/>
  <c r="G404" i="32"/>
  <c r="H404" i="32"/>
  <c r="I404" i="32"/>
  <c r="K404" i="32"/>
  <c r="C405" i="32"/>
  <c r="D405" i="32"/>
  <c r="E405" i="32"/>
  <c r="F405" i="32"/>
  <c r="G405" i="32"/>
  <c r="H405" i="32"/>
  <c r="I405" i="32"/>
  <c r="K405" i="32"/>
  <c r="C406" i="32"/>
  <c r="D406" i="32"/>
  <c r="E406" i="32"/>
  <c r="F406" i="32"/>
  <c r="G406" i="32"/>
  <c r="H406" i="32"/>
  <c r="I406" i="32"/>
  <c r="K406" i="32"/>
  <c r="C407" i="32"/>
  <c r="D407" i="32"/>
  <c r="E407" i="32"/>
  <c r="F407" i="32"/>
  <c r="G407" i="32"/>
  <c r="H407" i="32"/>
  <c r="I407" i="32"/>
  <c r="K407" i="32"/>
  <c r="C408" i="32"/>
  <c r="D408" i="32"/>
  <c r="E408" i="32"/>
  <c r="F408" i="32"/>
  <c r="G408" i="32"/>
  <c r="H408" i="32"/>
  <c r="I408" i="32"/>
  <c r="K408" i="32"/>
  <c r="C409" i="32"/>
  <c r="D409" i="32"/>
  <c r="E409" i="32"/>
  <c r="F409" i="32"/>
  <c r="G409" i="32"/>
  <c r="H409" i="32"/>
  <c r="I409" i="32"/>
  <c r="K409" i="32"/>
  <c r="C410" i="32"/>
  <c r="D410" i="32"/>
  <c r="E410" i="32"/>
  <c r="F410" i="32"/>
  <c r="G410" i="32"/>
  <c r="H410" i="32"/>
  <c r="I410" i="32"/>
  <c r="K410" i="32"/>
  <c r="C411" i="32"/>
  <c r="D411" i="32"/>
  <c r="E411" i="32"/>
  <c r="F411" i="32"/>
  <c r="G411" i="32"/>
  <c r="H411" i="32"/>
  <c r="I411" i="32"/>
  <c r="K411" i="32"/>
  <c r="C412" i="32"/>
  <c r="D412" i="32"/>
  <c r="E412" i="32"/>
  <c r="F412" i="32"/>
  <c r="G412" i="32"/>
  <c r="H412" i="32"/>
  <c r="I412" i="32"/>
  <c r="K412" i="32"/>
  <c r="C413" i="32"/>
  <c r="D413" i="32"/>
  <c r="E413" i="32"/>
  <c r="F413" i="32"/>
  <c r="G413" i="32"/>
  <c r="H413" i="32"/>
  <c r="I413" i="32"/>
  <c r="K413" i="32"/>
  <c r="C414" i="32"/>
  <c r="D414" i="32"/>
  <c r="E414" i="32"/>
  <c r="F414" i="32"/>
  <c r="G414" i="32"/>
  <c r="H414" i="32"/>
  <c r="I414" i="32"/>
  <c r="K414" i="32"/>
  <c r="C415" i="32"/>
  <c r="D415" i="32"/>
  <c r="E415" i="32"/>
  <c r="F415" i="32"/>
  <c r="G415" i="32"/>
  <c r="H415" i="32"/>
  <c r="I415" i="32"/>
  <c r="K415" i="32"/>
  <c r="C416" i="32"/>
  <c r="D416" i="32"/>
  <c r="E416" i="32"/>
  <c r="F416" i="32"/>
  <c r="G416" i="32"/>
  <c r="H416" i="32"/>
  <c r="I416" i="32"/>
  <c r="K416" i="32"/>
  <c r="C417" i="32"/>
  <c r="D417" i="32"/>
  <c r="E417" i="32"/>
  <c r="F417" i="32"/>
  <c r="G417" i="32"/>
  <c r="H417" i="32"/>
  <c r="I417" i="32"/>
  <c r="K417" i="32"/>
  <c r="L417" i="32"/>
  <c r="N417" i="32"/>
  <c r="C418" i="32"/>
  <c r="D418" i="32"/>
  <c r="E418" i="32"/>
  <c r="F418" i="32"/>
  <c r="G418" i="32"/>
  <c r="H418" i="32"/>
  <c r="I418" i="32"/>
  <c r="K418" i="32"/>
  <c r="L418" i="32"/>
  <c r="N418" i="32"/>
  <c r="C419" i="32"/>
  <c r="D419" i="32"/>
  <c r="E419" i="32"/>
  <c r="F419" i="32"/>
  <c r="G419" i="32"/>
  <c r="H419" i="32"/>
  <c r="I419" i="32"/>
  <c r="K419" i="32"/>
  <c r="L419" i="32"/>
  <c r="N419" i="32"/>
  <c r="C420" i="32"/>
  <c r="D420" i="32"/>
  <c r="E420" i="32"/>
  <c r="F420" i="32"/>
  <c r="G420" i="32"/>
  <c r="H420" i="32"/>
  <c r="I420" i="32"/>
  <c r="K420" i="32"/>
  <c r="L420" i="32"/>
  <c r="N420" i="32"/>
  <c r="C421" i="32"/>
  <c r="D421" i="32"/>
  <c r="E421" i="32"/>
  <c r="F421" i="32"/>
  <c r="G421" i="32"/>
  <c r="H421" i="32"/>
  <c r="I421" i="32"/>
  <c r="K421" i="32"/>
  <c r="L421" i="32"/>
  <c r="N421" i="32"/>
  <c r="C422" i="32"/>
  <c r="D422" i="32"/>
  <c r="E422" i="32"/>
  <c r="F422" i="32"/>
  <c r="G422" i="32"/>
  <c r="H422" i="32"/>
  <c r="I422" i="32"/>
  <c r="K422" i="32"/>
  <c r="L422" i="32"/>
  <c r="N422" i="32"/>
  <c r="C423" i="32"/>
  <c r="D423" i="32"/>
  <c r="E423" i="32"/>
  <c r="F423" i="32"/>
  <c r="G423" i="32"/>
  <c r="H423" i="32"/>
  <c r="I423" i="32"/>
  <c r="K423" i="32"/>
  <c r="L423" i="32"/>
  <c r="N423" i="32"/>
  <c r="C424" i="32"/>
  <c r="D424" i="32"/>
  <c r="E424" i="32"/>
  <c r="F424" i="32"/>
  <c r="G424" i="32"/>
  <c r="H424" i="32"/>
  <c r="I424" i="32"/>
  <c r="K424" i="32"/>
  <c r="L424" i="32"/>
  <c r="N424" i="32"/>
  <c r="C425" i="32"/>
  <c r="D425" i="32"/>
  <c r="E425" i="32"/>
  <c r="F425" i="32"/>
  <c r="G425" i="32"/>
  <c r="H425" i="32"/>
  <c r="I425" i="32"/>
  <c r="K425" i="32"/>
  <c r="L425" i="32"/>
  <c r="N425" i="32"/>
  <c r="C426" i="32"/>
  <c r="D426" i="32"/>
  <c r="E426" i="32"/>
  <c r="F426" i="32"/>
  <c r="G426" i="32"/>
  <c r="H426" i="32"/>
  <c r="I426" i="32"/>
  <c r="K426" i="32"/>
  <c r="L426" i="32"/>
  <c r="N426" i="32"/>
  <c r="C427" i="32"/>
  <c r="D427" i="32"/>
  <c r="E427" i="32"/>
  <c r="F427" i="32"/>
  <c r="G427" i="32"/>
  <c r="H427" i="32"/>
  <c r="I427" i="32"/>
  <c r="K427" i="32"/>
  <c r="L427" i="32"/>
  <c r="N427" i="32"/>
  <c r="C428" i="32"/>
  <c r="D428" i="32"/>
  <c r="E428" i="32"/>
  <c r="F428" i="32"/>
  <c r="G428" i="32"/>
  <c r="H428" i="32"/>
  <c r="I428" i="32"/>
  <c r="K428" i="32"/>
  <c r="L428" i="32"/>
  <c r="N428" i="32"/>
  <c r="C429" i="32"/>
  <c r="D429" i="32"/>
  <c r="E429" i="32"/>
  <c r="F429" i="32"/>
  <c r="G429" i="32"/>
  <c r="H429" i="32"/>
  <c r="I429" i="32"/>
  <c r="K429" i="32"/>
  <c r="L429" i="32"/>
  <c r="N429" i="32"/>
  <c r="C430" i="32"/>
  <c r="D430" i="32"/>
  <c r="E430" i="32"/>
  <c r="F430" i="32"/>
  <c r="G430" i="32"/>
  <c r="H430" i="32"/>
  <c r="I430" i="32"/>
  <c r="K430" i="32"/>
  <c r="L430" i="32"/>
  <c r="N430" i="32"/>
  <c r="C431" i="32"/>
  <c r="D431" i="32"/>
  <c r="E431" i="32"/>
  <c r="F431" i="32"/>
  <c r="G431" i="32"/>
  <c r="H431" i="32"/>
  <c r="I431" i="32"/>
  <c r="K431" i="32"/>
  <c r="L431" i="32"/>
  <c r="N431" i="32"/>
  <c r="C432" i="32"/>
  <c r="D432" i="32"/>
  <c r="E432" i="32"/>
  <c r="F432" i="32"/>
  <c r="G432" i="32"/>
  <c r="H432" i="32"/>
  <c r="I432" i="32"/>
  <c r="K432" i="32"/>
  <c r="L432" i="32"/>
  <c r="N432" i="32"/>
  <c r="C433" i="32"/>
  <c r="D433" i="32"/>
  <c r="E433" i="32"/>
  <c r="F433" i="32"/>
  <c r="G433" i="32"/>
  <c r="H433" i="32"/>
  <c r="I433" i="32"/>
  <c r="K433" i="32"/>
  <c r="L433" i="32"/>
  <c r="N433" i="32"/>
  <c r="C434" i="32"/>
  <c r="D434" i="32"/>
  <c r="E434" i="32"/>
  <c r="F434" i="32"/>
  <c r="G434" i="32"/>
  <c r="H434" i="32"/>
  <c r="I434" i="32"/>
  <c r="K434" i="32"/>
  <c r="L434" i="32"/>
  <c r="N434" i="32"/>
  <c r="C435" i="32"/>
  <c r="D435" i="32"/>
  <c r="E435" i="32"/>
  <c r="F435" i="32"/>
  <c r="G435" i="32"/>
  <c r="H435" i="32"/>
  <c r="I435" i="32"/>
  <c r="K435" i="32"/>
  <c r="L435" i="32"/>
  <c r="N435" i="32"/>
  <c r="C436" i="32"/>
  <c r="D436" i="32"/>
  <c r="E436" i="32"/>
  <c r="F436" i="32"/>
  <c r="G436" i="32"/>
  <c r="H436" i="32"/>
  <c r="I436" i="32"/>
  <c r="K436" i="32"/>
  <c r="L436" i="32"/>
  <c r="N436" i="32"/>
  <c r="C437" i="32"/>
  <c r="D437" i="32"/>
  <c r="E437" i="32"/>
  <c r="F437" i="32"/>
  <c r="G437" i="32"/>
  <c r="H437" i="32"/>
  <c r="I437" i="32"/>
  <c r="K437" i="32"/>
  <c r="L437" i="32"/>
  <c r="N437" i="32"/>
  <c r="C438" i="32"/>
  <c r="D438" i="32"/>
  <c r="E438" i="32"/>
  <c r="F438" i="32"/>
  <c r="G438" i="32"/>
  <c r="H438" i="32"/>
  <c r="I438" i="32"/>
  <c r="K438" i="32"/>
  <c r="L438" i="32"/>
  <c r="N438" i="32"/>
  <c r="C439" i="32"/>
  <c r="D439" i="32"/>
  <c r="E439" i="32"/>
  <c r="F439" i="32"/>
  <c r="G439" i="32"/>
  <c r="H439" i="32"/>
  <c r="I439" i="32"/>
  <c r="K439" i="32"/>
  <c r="L439" i="32"/>
  <c r="N439" i="32"/>
  <c r="C440" i="32"/>
  <c r="D440" i="32"/>
  <c r="E440" i="32"/>
  <c r="F440" i="32"/>
  <c r="G440" i="32"/>
  <c r="H440" i="32"/>
  <c r="I440" i="32"/>
  <c r="K440" i="32"/>
  <c r="L440" i="32"/>
  <c r="N440" i="32"/>
  <c r="C441" i="32"/>
  <c r="D441" i="32"/>
  <c r="E441" i="32"/>
  <c r="F441" i="32"/>
  <c r="G441" i="32"/>
  <c r="H441" i="32"/>
  <c r="I441" i="32"/>
  <c r="K441" i="32"/>
  <c r="N441" i="32"/>
  <c r="N362" i="32"/>
  <c r="N363" i="32"/>
  <c r="N364" i="32"/>
  <c r="N365" i="32"/>
  <c r="N366" i="32"/>
  <c r="N367" i="32"/>
  <c r="N368" i="32"/>
  <c r="N369" i="32"/>
  <c r="N370" i="32"/>
  <c r="N371" i="32"/>
  <c r="N372" i="32"/>
  <c r="N373" i="32"/>
  <c r="N374" i="32"/>
  <c r="N375" i="32"/>
  <c r="N376" i="32"/>
  <c r="N377" i="32"/>
  <c r="N378" i="32"/>
  <c r="N379" i="32"/>
  <c r="N380" i="32"/>
  <c r="N381" i="32"/>
  <c r="N382" i="32"/>
  <c r="N383" i="32"/>
  <c r="N384" i="32"/>
  <c r="N385" i="32"/>
  <c r="N386" i="32"/>
  <c r="L142" i="32"/>
  <c r="L143" i="32"/>
  <c r="L144" i="32"/>
  <c r="L145" i="32"/>
  <c r="L146" i="32"/>
  <c r="L147" i="32"/>
  <c r="L148" i="32"/>
  <c r="L149" i="32"/>
  <c r="L150" i="32"/>
  <c r="L151" i="32"/>
  <c r="L152" i="32"/>
  <c r="L153" i="32"/>
  <c r="L154" i="32"/>
  <c r="L155" i="32"/>
  <c r="L156" i="32"/>
  <c r="L157" i="32"/>
  <c r="L158" i="32"/>
  <c r="L159" i="32"/>
  <c r="L160" i="32"/>
  <c r="L161" i="32"/>
  <c r="L162" i="32"/>
  <c r="L163" i="32"/>
  <c r="L164" i="32"/>
  <c r="L165" i="32"/>
  <c r="L166" i="32"/>
  <c r="K387" i="32"/>
  <c r="I387" i="32"/>
  <c r="H387" i="32"/>
  <c r="G387" i="32"/>
  <c r="E387" i="32"/>
  <c r="C387" i="32"/>
  <c r="D387" i="32"/>
  <c r="R333" i="32"/>
  <c r="S333" i="32"/>
  <c r="T333" i="32"/>
  <c r="U333" i="32"/>
  <c r="V333" i="32"/>
  <c r="W333" i="32"/>
  <c r="X333" i="32"/>
  <c r="Y333" i="32"/>
  <c r="Z333" i="32"/>
  <c r="AA333" i="32"/>
  <c r="R334" i="32"/>
  <c r="S334" i="32"/>
  <c r="T334" i="32"/>
  <c r="U334" i="32"/>
  <c r="V334" i="32"/>
  <c r="W334" i="32"/>
  <c r="X334" i="32"/>
  <c r="Y334" i="32"/>
  <c r="Z334" i="32"/>
  <c r="AA334" i="32"/>
  <c r="R335" i="32"/>
  <c r="S335" i="32"/>
  <c r="T335" i="32"/>
  <c r="U335" i="32"/>
  <c r="V335" i="32"/>
  <c r="W335" i="32"/>
  <c r="X335" i="32"/>
  <c r="Y335" i="32"/>
  <c r="Z335" i="32"/>
  <c r="AA335" i="32"/>
  <c r="R336" i="32"/>
  <c r="S336" i="32"/>
  <c r="T336" i="32"/>
  <c r="U336" i="32"/>
  <c r="V336" i="32"/>
  <c r="W336" i="32"/>
  <c r="X336" i="32"/>
  <c r="Y336" i="32"/>
  <c r="Z336" i="32"/>
  <c r="AA336" i="32"/>
  <c r="R337" i="32"/>
  <c r="S337" i="32"/>
  <c r="T337" i="32"/>
  <c r="U337" i="32"/>
  <c r="V337" i="32"/>
  <c r="W337" i="32"/>
  <c r="X337" i="32"/>
  <c r="Y337" i="32"/>
  <c r="Z337" i="32"/>
  <c r="AA337" i="32"/>
  <c r="R338" i="32"/>
  <c r="S338" i="32"/>
  <c r="T338" i="32"/>
  <c r="U338" i="32"/>
  <c r="V338" i="32"/>
  <c r="W338" i="32"/>
  <c r="X338" i="32"/>
  <c r="Y338" i="32"/>
  <c r="Z338" i="32"/>
  <c r="AA338" i="32"/>
  <c r="R339" i="32"/>
  <c r="S339" i="32"/>
  <c r="T339" i="32"/>
  <c r="U339" i="32"/>
  <c r="V339" i="32"/>
  <c r="W339" i="32"/>
  <c r="X339" i="32"/>
  <c r="Y339" i="32"/>
  <c r="Z339" i="32"/>
  <c r="AA339" i="32"/>
  <c r="R340" i="32"/>
  <c r="S340" i="32"/>
  <c r="T340" i="32"/>
  <c r="U340" i="32"/>
  <c r="V340" i="32"/>
  <c r="W340" i="32"/>
  <c r="X340" i="32"/>
  <c r="Y340" i="32"/>
  <c r="Z340" i="32"/>
  <c r="AA340" i="32"/>
  <c r="R341" i="32"/>
  <c r="S341" i="32"/>
  <c r="T341" i="32"/>
  <c r="U341" i="32"/>
  <c r="V341" i="32"/>
  <c r="W341" i="32"/>
  <c r="X341" i="32"/>
  <c r="Y341" i="32"/>
  <c r="Z341" i="32"/>
  <c r="AA341" i="32"/>
  <c r="R342" i="32"/>
  <c r="S342" i="32"/>
  <c r="T342" i="32"/>
  <c r="U342" i="32"/>
  <c r="V342" i="32"/>
  <c r="W342" i="32"/>
  <c r="X342" i="32"/>
  <c r="Y342" i="32"/>
  <c r="Z342" i="32"/>
  <c r="AA342" i="32"/>
  <c r="R343" i="32"/>
  <c r="S343" i="32"/>
  <c r="T343" i="32"/>
  <c r="U343" i="32"/>
  <c r="V343" i="32"/>
  <c r="W343" i="32"/>
  <c r="X343" i="32"/>
  <c r="Y343" i="32"/>
  <c r="Z343" i="32"/>
  <c r="AA343" i="32"/>
  <c r="R344" i="32"/>
  <c r="S344" i="32"/>
  <c r="T344" i="32"/>
  <c r="U344" i="32"/>
  <c r="V344" i="32"/>
  <c r="W344" i="32"/>
  <c r="X344" i="32"/>
  <c r="Y344" i="32"/>
  <c r="Z344" i="32"/>
  <c r="AA344" i="32"/>
  <c r="R345" i="32"/>
  <c r="S345" i="32"/>
  <c r="T345" i="32"/>
  <c r="U345" i="32"/>
  <c r="V345" i="32"/>
  <c r="W345" i="32"/>
  <c r="X345" i="32"/>
  <c r="Y345" i="32"/>
  <c r="Z345" i="32"/>
  <c r="AA345" i="32"/>
  <c r="R346" i="32"/>
  <c r="S346" i="32"/>
  <c r="T346" i="32"/>
  <c r="U346" i="32"/>
  <c r="V346" i="32"/>
  <c r="W346" i="32"/>
  <c r="X346" i="32"/>
  <c r="Y346" i="32"/>
  <c r="Z346" i="32"/>
  <c r="AA346" i="32"/>
  <c r="R347" i="32"/>
  <c r="S347" i="32"/>
  <c r="T347" i="32"/>
  <c r="U347" i="32"/>
  <c r="V347" i="32"/>
  <c r="W347" i="32"/>
  <c r="X347" i="32"/>
  <c r="Y347" i="32"/>
  <c r="Z347" i="32"/>
  <c r="AA347" i="32"/>
  <c r="R348" i="32"/>
  <c r="S348" i="32"/>
  <c r="T348" i="32"/>
  <c r="U348" i="32"/>
  <c r="V348" i="32"/>
  <c r="W348" i="32"/>
  <c r="X348" i="32"/>
  <c r="Y348" i="32"/>
  <c r="Z348" i="32"/>
  <c r="AA348" i="32"/>
  <c r="R349" i="32"/>
  <c r="S349" i="32"/>
  <c r="T349" i="32"/>
  <c r="U349" i="32"/>
  <c r="V349" i="32"/>
  <c r="W349" i="32"/>
  <c r="X349" i="32"/>
  <c r="Y349" i="32"/>
  <c r="Z349" i="32"/>
  <c r="AA349" i="32"/>
  <c r="R350" i="32"/>
  <c r="S350" i="32"/>
  <c r="T350" i="32"/>
  <c r="U350" i="32"/>
  <c r="V350" i="32"/>
  <c r="W350" i="32"/>
  <c r="X350" i="32"/>
  <c r="Y350" i="32"/>
  <c r="Z350" i="32"/>
  <c r="AA350" i="32"/>
  <c r="R351" i="32"/>
  <c r="S351" i="32"/>
  <c r="T351" i="32"/>
  <c r="U351" i="32"/>
  <c r="V351" i="32"/>
  <c r="W351" i="32"/>
  <c r="X351" i="32"/>
  <c r="Y351" i="32"/>
  <c r="Z351" i="32"/>
  <c r="AA351" i="32"/>
  <c r="R352" i="32"/>
  <c r="S352" i="32"/>
  <c r="T352" i="32"/>
  <c r="U352" i="32"/>
  <c r="V352" i="32"/>
  <c r="W352" i="32"/>
  <c r="X352" i="32"/>
  <c r="Y352" i="32"/>
  <c r="Z352" i="32"/>
  <c r="AA352" i="32"/>
  <c r="R353" i="32"/>
  <c r="S353" i="32"/>
  <c r="T353" i="32"/>
  <c r="U353" i="32"/>
  <c r="V353" i="32"/>
  <c r="W353" i="32"/>
  <c r="X353" i="32"/>
  <c r="Y353" i="32"/>
  <c r="Z353" i="32"/>
  <c r="AA353" i="32"/>
  <c r="R354" i="32"/>
  <c r="S354" i="32"/>
  <c r="T354" i="32"/>
  <c r="U354" i="32"/>
  <c r="V354" i="32"/>
  <c r="W354" i="32"/>
  <c r="X354" i="32"/>
  <c r="Y354" i="32"/>
  <c r="Z354" i="32"/>
  <c r="AA354" i="32"/>
  <c r="R355" i="32"/>
  <c r="S355" i="32"/>
  <c r="T355" i="32"/>
  <c r="U355" i="32"/>
  <c r="V355" i="32"/>
  <c r="W355" i="32"/>
  <c r="X355" i="32"/>
  <c r="Y355" i="32"/>
  <c r="Z355" i="32"/>
  <c r="AA355" i="32"/>
  <c r="R356" i="32"/>
  <c r="S356" i="32"/>
  <c r="T356" i="32"/>
  <c r="U356" i="32"/>
  <c r="V356" i="32"/>
  <c r="W356" i="32"/>
  <c r="X356" i="32"/>
  <c r="Y356" i="32"/>
  <c r="Z356" i="32"/>
  <c r="AA356" i="32"/>
  <c r="R357" i="32"/>
  <c r="S357" i="32"/>
  <c r="T357" i="32"/>
  <c r="U357" i="32"/>
  <c r="V357" i="32"/>
  <c r="W357" i="32"/>
  <c r="X357" i="32"/>
  <c r="Y357" i="32"/>
  <c r="Z357" i="32"/>
  <c r="AA357" i="32"/>
  <c r="R358" i="32"/>
  <c r="S358" i="32"/>
  <c r="T358" i="32"/>
  <c r="U358" i="32"/>
  <c r="V358" i="32"/>
  <c r="W358" i="32"/>
  <c r="X358" i="32"/>
  <c r="Y358" i="32"/>
  <c r="Z358" i="32"/>
  <c r="AA358" i="32"/>
  <c r="R359" i="32"/>
  <c r="S359" i="32"/>
  <c r="T359" i="32"/>
  <c r="U359" i="32"/>
  <c r="V359" i="32"/>
  <c r="W359" i="32"/>
  <c r="X359" i="32"/>
  <c r="Y359" i="32"/>
  <c r="Z359" i="32"/>
  <c r="AA359" i="32"/>
  <c r="R360" i="32"/>
  <c r="S360" i="32"/>
  <c r="T360" i="32"/>
  <c r="U360" i="32"/>
  <c r="V360" i="32"/>
  <c r="W360" i="32"/>
  <c r="X360" i="32"/>
  <c r="Y360" i="32"/>
  <c r="Z360" i="32"/>
  <c r="AA360" i="32"/>
  <c r="R361" i="32"/>
  <c r="S361" i="32"/>
  <c r="T361" i="32"/>
  <c r="U361" i="32"/>
  <c r="V361" i="32"/>
  <c r="W361" i="32"/>
  <c r="X361" i="32"/>
  <c r="Y361" i="32"/>
  <c r="Z361" i="32"/>
  <c r="AA361" i="32"/>
  <c r="R362" i="32"/>
  <c r="S362" i="32"/>
  <c r="T362" i="32"/>
  <c r="U362" i="32"/>
  <c r="V362" i="32"/>
  <c r="W362" i="32"/>
  <c r="X362" i="32"/>
  <c r="Y362" i="32"/>
  <c r="Z362" i="32"/>
  <c r="AA362" i="32"/>
  <c r="R363" i="32"/>
  <c r="S363" i="32"/>
  <c r="T363" i="32"/>
  <c r="U363" i="32"/>
  <c r="V363" i="32"/>
  <c r="W363" i="32"/>
  <c r="X363" i="32"/>
  <c r="Y363" i="32"/>
  <c r="Z363" i="32"/>
  <c r="AA363" i="32"/>
  <c r="R364" i="32"/>
  <c r="S364" i="32"/>
  <c r="T364" i="32"/>
  <c r="U364" i="32"/>
  <c r="V364" i="32"/>
  <c r="W364" i="32"/>
  <c r="X364" i="32"/>
  <c r="Y364" i="32"/>
  <c r="Z364" i="32"/>
  <c r="AA364" i="32"/>
  <c r="R365" i="32"/>
  <c r="S365" i="32"/>
  <c r="T365" i="32"/>
  <c r="U365" i="32"/>
  <c r="V365" i="32"/>
  <c r="W365" i="32"/>
  <c r="X365" i="32"/>
  <c r="Y365" i="32"/>
  <c r="Z365" i="32"/>
  <c r="AA365" i="32"/>
  <c r="R366" i="32"/>
  <c r="S366" i="32"/>
  <c r="T366" i="32"/>
  <c r="U366" i="32"/>
  <c r="V366" i="32"/>
  <c r="W366" i="32"/>
  <c r="X366" i="32"/>
  <c r="Y366" i="32"/>
  <c r="Z366" i="32"/>
  <c r="AA366" i="32"/>
  <c r="R367" i="32"/>
  <c r="S367" i="32"/>
  <c r="T367" i="32"/>
  <c r="U367" i="32"/>
  <c r="V367" i="32"/>
  <c r="W367" i="32"/>
  <c r="X367" i="32"/>
  <c r="Y367" i="32"/>
  <c r="Z367" i="32"/>
  <c r="AA367" i="32"/>
  <c r="R368" i="32"/>
  <c r="S368" i="32"/>
  <c r="T368" i="32"/>
  <c r="U368" i="32"/>
  <c r="V368" i="32"/>
  <c r="W368" i="32"/>
  <c r="X368" i="32"/>
  <c r="Y368" i="32"/>
  <c r="Z368" i="32"/>
  <c r="AA368" i="32"/>
  <c r="R369" i="32"/>
  <c r="S369" i="32"/>
  <c r="T369" i="32"/>
  <c r="U369" i="32"/>
  <c r="V369" i="32"/>
  <c r="W369" i="32"/>
  <c r="X369" i="32"/>
  <c r="Y369" i="32"/>
  <c r="Z369" i="32"/>
  <c r="AA369" i="32"/>
  <c r="R370" i="32"/>
  <c r="S370" i="32"/>
  <c r="T370" i="32"/>
  <c r="U370" i="32"/>
  <c r="V370" i="32"/>
  <c r="W370" i="32"/>
  <c r="X370" i="32"/>
  <c r="Y370" i="32"/>
  <c r="Z370" i="32"/>
  <c r="AA370" i="32"/>
  <c r="R371" i="32"/>
  <c r="S371" i="32"/>
  <c r="T371" i="32"/>
  <c r="U371" i="32"/>
  <c r="V371" i="32"/>
  <c r="W371" i="32"/>
  <c r="X371" i="32"/>
  <c r="Y371" i="32"/>
  <c r="Z371" i="32"/>
  <c r="AA371" i="32"/>
  <c r="R372" i="32"/>
  <c r="S372" i="32"/>
  <c r="T372" i="32"/>
  <c r="U372" i="32"/>
  <c r="V372" i="32"/>
  <c r="W372" i="32"/>
  <c r="X372" i="32"/>
  <c r="Y372" i="32"/>
  <c r="Z372" i="32"/>
  <c r="AA372" i="32"/>
  <c r="R373" i="32"/>
  <c r="S373" i="32"/>
  <c r="T373" i="32"/>
  <c r="U373" i="32"/>
  <c r="V373" i="32"/>
  <c r="W373" i="32"/>
  <c r="X373" i="32"/>
  <c r="Y373" i="32"/>
  <c r="Z373" i="32"/>
  <c r="AA373" i="32"/>
  <c r="R374" i="32"/>
  <c r="S374" i="32"/>
  <c r="T374" i="32"/>
  <c r="U374" i="32"/>
  <c r="V374" i="32"/>
  <c r="W374" i="32"/>
  <c r="X374" i="32"/>
  <c r="Y374" i="32"/>
  <c r="Z374" i="32"/>
  <c r="AA374" i="32"/>
  <c r="R375" i="32"/>
  <c r="S375" i="32"/>
  <c r="T375" i="32"/>
  <c r="U375" i="32"/>
  <c r="V375" i="32"/>
  <c r="W375" i="32"/>
  <c r="X375" i="32"/>
  <c r="Y375" i="32"/>
  <c r="Z375" i="32"/>
  <c r="AA375" i="32"/>
  <c r="R376" i="32"/>
  <c r="S376" i="32"/>
  <c r="T376" i="32"/>
  <c r="U376" i="32"/>
  <c r="V376" i="32"/>
  <c r="W376" i="32"/>
  <c r="X376" i="32"/>
  <c r="Y376" i="32"/>
  <c r="Z376" i="32"/>
  <c r="AA376" i="32"/>
  <c r="R377" i="32"/>
  <c r="S377" i="32"/>
  <c r="T377" i="32"/>
  <c r="U377" i="32"/>
  <c r="V377" i="32"/>
  <c r="W377" i="32"/>
  <c r="X377" i="32"/>
  <c r="Y377" i="32"/>
  <c r="Z377" i="32"/>
  <c r="AA377" i="32"/>
  <c r="R378" i="32"/>
  <c r="S378" i="32"/>
  <c r="T378" i="32"/>
  <c r="U378" i="32"/>
  <c r="V378" i="32"/>
  <c r="W378" i="32"/>
  <c r="X378" i="32"/>
  <c r="Y378" i="32"/>
  <c r="Z378" i="32"/>
  <c r="AA378" i="32"/>
  <c r="R379" i="32"/>
  <c r="S379" i="32"/>
  <c r="T379" i="32"/>
  <c r="U379" i="32"/>
  <c r="V379" i="32"/>
  <c r="W379" i="32"/>
  <c r="X379" i="32"/>
  <c r="Y379" i="32"/>
  <c r="Z379" i="32"/>
  <c r="AA379" i="32"/>
  <c r="R380" i="32"/>
  <c r="S380" i="32"/>
  <c r="T380" i="32"/>
  <c r="U380" i="32"/>
  <c r="V380" i="32"/>
  <c r="W380" i="32"/>
  <c r="X380" i="32"/>
  <c r="Y380" i="32"/>
  <c r="Z380" i="32"/>
  <c r="AA380" i="32"/>
  <c r="R381" i="32"/>
  <c r="S381" i="32"/>
  <c r="T381" i="32"/>
  <c r="U381" i="32"/>
  <c r="V381" i="32"/>
  <c r="W381" i="32"/>
  <c r="X381" i="32"/>
  <c r="Y381" i="32"/>
  <c r="Z381" i="32"/>
  <c r="AA381" i="32"/>
  <c r="R382" i="32"/>
  <c r="S382" i="32"/>
  <c r="T382" i="32"/>
  <c r="U382" i="32"/>
  <c r="V382" i="32"/>
  <c r="W382" i="32"/>
  <c r="X382" i="32"/>
  <c r="Y382" i="32"/>
  <c r="Z382" i="32"/>
  <c r="AA382" i="32"/>
  <c r="R383" i="32"/>
  <c r="S383" i="32"/>
  <c r="T383" i="32"/>
  <c r="U383" i="32"/>
  <c r="V383" i="32"/>
  <c r="W383" i="32"/>
  <c r="X383" i="32"/>
  <c r="Y383" i="32"/>
  <c r="Z383" i="32"/>
  <c r="AA383" i="32"/>
  <c r="R384" i="32"/>
  <c r="S384" i="32"/>
  <c r="T384" i="32"/>
  <c r="U384" i="32"/>
  <c r="V384" i="32"/>
  <c r="W384" i="32"/>
  <c r="X384" i="32"/>
  <c r="Y384" i="32"/>
  <c r="Z384" i="32"/>
  <c r="AA384" i="32"/>
  <c r="R385" i="32"/>
  <c r="S385" i="32"/>
  <c r="T385" i="32"/>
  <c r="U385" i="32"/>
  <c r="V385" i="32"/>
  <c r="W385" i="32"/>
  <c r="X385" i="32"/>
  <c r="Y385" i="32"/>
  <c r="Z385" i="32"/>
  <c r="AA385" i="32"/>
  <c r="R386" i="32"/>
  <c r="S386" i="32"/>
  <c r="T386" i="32"/>
  <c r="U386" i="32"/>
  <c r="V386" i="32"/>
  <c r="W386" i="32"/>
  <c r="X386" i="32"/>
  <c r="Y386" i="32"/>
  <c r="Z386" i="32"/>
  <c r="AA386" i="32"/>
  <c r="AA332" i="32"/>
  <c r="Z332" i="32"/>
  <c r="Y332" i="32"/>
  <c r="X332" i="32"/>
  <c r="W332" i="32"/>
  <c r="V332" i="32"/>
  <c r="U332" i="32"/>
  <c r="T332" i="32"/>
  <c r="S332" i="32"/>
  <c r="R332" i="32"/>
  <c r="C333" i="32"/>
  <c r="D333" i="32"/>
  <c r="E333" i="32"/>
  <c r="G333" i="32"/>
  <c r="H333" i="32"/>
  <c r="I333" i="32"/>
  <c r="K333" i="32"/>
  <c r="C334" i="32"/>
  <c r="D334" i="32"/>
  <c r="E334" i="32"/>
  <c r="G334" i="32"/>
  <c r="H334" i="32"/>
  <c r="I334" i="32"/>
  <c r="K334" i="32"/>
  <c r="C335" i="32"/>
  <c r="D335" i="32"/>
  <c r="E335" i="32"/>
  <c r="G335" i="32"/>
  <c r="H335" i="32"/>
  <c r="I335" i="32"/>
  <c r="K335" i="32"/>
  <c r="C336" i="32"/>
  <c r="D336" i="32"/>
  <c r="E336" i="32"/>
  <c r="G336" i="32"/>
  <c r="H336" i="32"/>
  <c r="I336" i="32"/>
  <c r="K336" i="32"/>
  <c r="C337" i="32"/>
  <c r="D337" i="32"/>
  <c r="E337" i="32"/>
  <c r="G337" i="32"/>
  <c r="H337" i="32"/>
  <c r="I337" i="32"/>
  <c r="K337" i="32"/>
  <c r="C338" i="32"/>
  <c r="D338" i="32"/>
  <c r="E338" i="32"/>
  <c r="G338" i="32"/>
  <c r="H338" i="32"/>
  <c r="I338" i="32"/>
  <c r="K338" i="32"/>
  <c r="C339" i="32"/>
  <c r="D339" i="32"/>
  <c r="E339" i="32"/>
  <c r="G339" i="32"/>
  <c r="H339" i="32"/>
  <c r="I339" i="32"/>
  <c r="K339" i="32"/>
  <c r="C340" i="32"/>
  <c r="D340" i="32"/>
  <c r="E340" i="32"/>
  <c r="G340" i="32"/>
  <c r="H340" i="32"/>
  <c r="I340" i="32"/>
  <c r="K340" i="32"/>
  <c r="C341" i="32"/>
  <c r="D341" i="32"/>
  <c r="E341" i="32"/>
  <c r="G341" i="32"/>
  <c r="H341" i="32"/>
  <c r="I341" i="32"/>
  <c r="K341" i="32"/>
  <c r="C342" i="32"/>
  <c r="D342" i="32"/>
  <c r="E342" i="32"/>
  <c r="G342" i="32"/>
  <c r="H342" i="32"/>
  <c r="I342" i="32"/>
  <c r="K342" i="32"/>
  <c r="C343" i="32"/>
  <c r="D343" i="32"/>
  <c r="E343" i="32"/>
  <c r="G343" i="32"/>
  <c r="H343" i="32"/>
  <c r="I343" i="32"/>
  <c r="K343" i="32"/>
  <c r="C344" i="32"/>
  <c r="D344" i="32"/>
  <c r="E344" i="32"/>
  <c r="G344" i="32"/>
  <c r="H344" i="32"/>
  <c r="I344" i="32"/>
  <c r="K344" i="32"/>
  <c r="C345" i="32"/>
  <c r="D345" i="32"/>
  <c r="E345" i="32"/>
  <c r="G345" i="32"/>
  <c r="H345" i="32"/>
  <c r="I345" i="32"/>
  <c r="K345" i="32"/>
  <c r="C346" i="32"/>
  <c r="D346" i="32"/>
  <c r="E346" i="32"/>
  <c r="G346" i="32"/>
  <c r="H346" i="32"/>
  <c r="I346" i="32"/>
  <c r="K346" i="32"/>
  <c r="C347" i="32"/>
  <c r="D347" i="32"/>
  <c r="E347" i="32"/>
  <c r="G347" i="32"/>
  <c r="H347" i="32"/>
  <c r="I347" i="32"/>
  <c r="K347" i="32"/>
  <c r="C348" i="32"/>
  <c r="D348" i="32"/>
  <c r="E348" i="32"/>
  <c r="G348" i="32"/>
  <c r="H348" i="32"/>
  <c r="I348" i="32"/>
  <c r="K348" i="32"/>
  <c r="C349" i="32"/>
  <c r="D349" i="32"/>
  <c r="E349" i="32"/>
  <c r="G349" i="32"/>
  <c r="H349" i="32"/>
  <c r="I349" i="32"/>
  <c r="K349" i="32"/>
  <c r="C350" i="32"/>
  <c r="D350" i="32"/>
  <c r="E350" i="32"/>
  <c r="G350" i="32"/>
  <c r="H350" i="32"/>
  <c r="I350" i="32"/>
  <c r="K350" i="32"/>
  <c r="C351" i="32"/>
  <c r="D351" i="32"/>
  <c r="E351" i="32"/>
  <c r="G351" i="32"/>
  <c r="H351" i="32"/>
  <c r="I351" i="32"/>
  <c r="K351" i="32"/>
  <c r="C352" i="32"/>
  <c r="D352" i="32"/>
  <c r="E352" i="32"/>
  <c r="G352" i="32"/>
  <c r="H352" i="32"/>
  <c r="I352" i="32"/>
  <c r="K352" i="32"/>
  <c r="C353" i="32"/>
  <c r="D353" i="32"/>
  <c r="E353" i="32"/>
  <c r="F353" i="32"/>
  <c r="G353" i="32"/>
  <c r="H353" i="32"/>
  <c r="I353" i="32"/>
  <c r="K353" i="32"/>
  <c r="C354" i="32"/>
  <c r="D354" i="32"/>
  <c r="E354" i="32"/>
  <c r="F354" i="32"/>
  <c r="G354" i="32"/>
  <c r="H354" i="32"/>
  <c r="I354" i="32"/>
  <c r="K354" i="32"/>
  <c r="C355" i="32"/>
  <c r="D355" i="32"/>
  <c r="E355" i="32"/>
  <c r="F355" i="32"/>
  <c r="G355" i="32"/>
  <c r="H355" i="32"/>
  <c r="I355" i="32"/>
  <c r="K355" i="32"/>
  <c r="C356" i="32"/>
  <c r="D356" i="32"/>
  <c r="E356" i="32"/>
  <c r="F356" i="32"/>
  <c r="G356" i="32"/>
  <c r="H356" i="32"/>
  <c r="I356" i="32"/>
  <c r="K356" i="32"/>
  <c r="C357" i="32"/>
  <c r="D357" i="32"/>
  <c r="E357" i="32"/>
  <c r="F357" i="32"/>
  <c r="G357" i="32"/>
  <c r="H357" i="32"/>
  <c r="I357" i="32"/>
  <c r="K357" i="32"/>
  <c r="C358" i="32"/>
  <c r="D358" i="32"/>
  <c r="E358" i="32"/>
  <c r="F358" i="32"/>
  <c r="G358" i="32"/>
  <c r="H358" i="32"/>
  <c r="I358" i="32"/>
  <c r="K358" i="32"/>
  <c r="C359" i="32"/>
  <c r="D359" i="32"/>
  <c r="E359" i="32"/>
  <c r="F359" i="32"/>
  <c r="G359" i="32"/>
  <c r="H359" i="32"/>
  <c r="I359" i="32"/>
  <c r="K359" i="32"/>
  <c r="C360" i="32"/>
  <c r="D360" i="32"/>
  <c r="E360" i="32"/>
  <c r="F360" i="32"/>
  <c r="G360" i="32"/>
  <c r="H360" i="32"/>
  <c r="I360" i="32"/>
  <c r="K360" i="32"/>
  <c r="C361" i="32"/>
  <c r="D361" i="32"/>
  <c r="E361" i="32"/>
  <c r="F361" i="32"/>
  <c r="G361" i="32"/>
  <c r="H361" i="32"/>
  <c r="I361" i="32"/>
  <c r="K361" i="32"/>
  <c r="C362" i="32"/>
  <c r="D362" i="32"/>
  <c r="E362" i="32"/>
  <c r="F362" i="32"/>
  <c r="G362" i="32"/>
  <c r="H362" i="32"/>
  <c r="I362" i="32"/>
  <c r="K362" i="32"/>
  <c r="L362" i="32"/>
  <c r="C363" i="32"/>
  <c r="D363" i="32"/>
  <c r="E363" i="32"/>
  <c r="F363" i="32"/>
  <c r="G363" i="32"/>
  <c r="H363" i="32"/>
  <c r="I363" i="32"/>
  <c r="K363" i="32"/>
  <c r="L363" i="32"/>
  <c r="C364" i="32"/>
  <c r="D364" i="32"/>
  <c r="E364" i="32"/>
  <c r="F364" i="32"/>
  <c r="G364" i="32"/>
  <c r="H364" i="32"/>
  <c r="I364" i="32"/>
  <c r="K364" i="32"/>
  <c r="L364" i="32"/>
  <c r="C365" i="32"/>
  <c r="D365" i="32"/>
  <c r="E365" i="32"/>
  <c r="F365" i="32"/>
  <c r="G365" i="32"/>
  <c r="H365" i="32"/>
  <c r="I365" i="32"/>
  <c r="K365" i="32"/>
  <c r="L365" i="32"/>
  <c r="C366" i="32"/>
  <c r="D366" i="32"/>
  <c r="E366" i="32"/>
  <c r="F366" i="32"/>
  <c r="G366" i="32"/>
  <c r="H366" i="32"/>
  <c r="I366" i="32"/>
  <c r="K366" i="32"/>
  <c r="L366" i="32"/>
  <c r="C367" i="32"/>
  <c r="D367" i="32"/>
  <c r="E367" i="32"/>
  <c r="F367" i="32"/>
  <c r="G367" i="32"/>
  <c r="H367" i="32"/>
  <c r="I367" i="32"/>
  <c r="K367" i="32"/>
  <c r="L367" i="32"/>
  <c r="C368" i="32"/>
  <c r="D368" i="32"/>
  <c r="E368" i="32"/>
  <c r="F368" i="32"/>
  <c r="G368" i="32"/>
  <c r="H368" i="32"/>
  <c r="I368" i="32"/>
  <c r="K368" i="32"/>
  <c r="L368" i="32"/>
  <c r="C369" i="32"/>
  <c r="D369" i="32"/>
  <c r="E369" i="32"/>
  <c r="F369" i="32"/>
  <c r="G369" i="32"/>
  <c r="H369" i="32"/>
  <c r="I369" i="32"/>
  <c r="K369" i="32"/>
  <c r="L369" i="32"/>
  <c r="C370" i="32"/>
  <c r="D370" i="32"/>
  <c r="E370" i="32"/>
  <c r="F370" i="32"/>
  <c r="G370" i="32"/>
  <c r="H370" i="32"/>
  <c r="I370" i="32"/>
  <c r="K370" i="32"/>
  <c r="L370" i="32"/>
  <c r="C371" i="32"/>
  <c r="D371" i="32"/>
  <c r="E371" i="32"/>
  <c r="F371" i="32"/>
  <c r="G371" i="32"/>
  <c r="H371" i="32"/>
  <c r="I371" i="32"/>
  <c r="K371" i="32"/>
  <c r="L371" i="32"/>
  <c r="C372" i="32"/>
  <c r="D372" i="32"/>
  <c r="E372" i="32"/>
  <c r="F372" i="32"/>
  <c r="G372" i="32"/>
  <c r="H372" i="32"/>
  <c r="I372" i="32"/>
  <c r="K372" i="32"/>
  <c r="L372" i="32"/>
  <c r="C373" i="32"/>
  <c r="D373" i="32"/>
  <c r="E373" i="32"/>
  <c r="F373" i="32"/>
  <c r="G373" i="32"/>
  <c r="H373" i="32"/>
  <c r="I373" i="32"/>
  <c r="K373" i="32"/>
  <c r="L373" i="32"/>
  <c r="C374" i="32"/>
  <c r="D374" i="32"/>
  <c r="E374" i="32"/>
  <c r="F374" i="32"/>
  <c r="G374" i="32"/>
  <c r="H374" i="32"/>
  <c r="I374" i="32"/>
  <c r="K374" i="32"/>
  <c r="L374" i="32"/>
  <c r="C375" i="32"/>
  <c r="D375" i="32"/>
  <c r="E375" i="32"/>
  <c r="F375" i="32"/>
  <c r="G375" i="32"/>
  <c r="H375" i="32"/>
  <c r="I375" i="32"/>
  <c r="K375" i="32"/>
  <c r="L375" i="32"/>
  <c r="C376" i="32"/>
  <c r="D376" i="32"/>
  <c r="E376" i="32"/>
  <c r="F376" i="32"/>
  <c r="G376" i="32"/>
  <c r="H376" i="32"/>
  <c r="I376" i="32"/>
  <c r="K376" i="32"/>
  <c r="L376" i="32"/>
  <c r="C377" i="32"/>
  <c r="D377" i="32"/>
  <c r="E377" i="32"/>
  <c r="F377" i="32"/>
  <c r="G377" i="32"/>
  <c r="H377" i="32"/>
  <c r="I377" i="32"/>
  <c r="K377" i="32"/>
  <c r="L377" i="32"/>
  <c r="C378" i="32"/>
  <c r="D378" i="32"/>
  <c r="E378" i="32"/>
  <c r="F378" i="32"/>
  <c r="G378" i="32"/>
  <c r="H378" i="32"/>
  <c r="I378" i="32"/>
  <c r="K378" i="32"/>
  <c r="L378" i="32"/>
  <c r="C379" i="32"/>
  <c r="D379" i="32"/>
  <c r="E379" i="32"/>
  <c r="F379" i="32"/>
  <c r="G379" i="32"/>
  <c r="H379" i="32"/>
  <c r="I379" i="32"/>
  <c r="K379" i="32"/>
  <c r="L379" i="32"/>
  <c r="C380" i="32"/>
  <c r="D380" i="32"/>
  <c r="E380" i="32"/>
  <c r="F380" i="32"/>
  <c r="G380" i="32"/>
  <c r="H380" i="32"/>
  <c r="I380" i="32"/>
  <c r="K380" i="32"/>
  <c r="L380" i="32"/>
  <c r="C381" i="32"/>
  <c r="D381" i="32"/>
  <c r="E381" i="32"/>
  <c r="F381" i="32"/>
  <c r="G381" i="32"/>
  <c r="H381" i="32"/>
  <c r="I381" i="32"/>
  <c r="K381" i="32"/>
  <c r="L381" i="32"/>
  <c r="C382" i="32"/>
  <c r="D382" i="32"/>
  <c r="E382" i="32"/>
  <c r="F382" i="32"/>
  <c r="G382" i="32"/>
  <c r="H382" i="32"/>
  <c r="I382" i="32"/>
  <c r="K382" i="32"/>
  <c r="L382" i="32"/>
  <c r="C383" i="32"/>
  <c r="D383" i="32"/>
  <c r="E383" i="32"/>
  <c r="F383" i="32"/>
  <c r="G383" i="32"/>
  <c r="H383" i="32"/>
  <c r="I383" i="32"/>
  <c r="K383" i="32"/>
  <c r="L383" i="32"/>
  <c r="C384" i="32"/>
  <c r="D384" i="32"/>
  <c r="E384" i="32"/>
  <c r="F384" i="32"/>
  <c r="G384" i="32"/>
  <c r="H384" i="32"/>
  <c r="I384" i="32"/>
  <c r="K384" i="32"/>
  <c r="L384" i="32"/>
  <c r="C385" i="32"/>
  <c r="D385" i="32"/>
  <c r="E385" i="32"/>
  <c r="F385" i="32"/>
  <c r="G385" i="32"/>
  <c r="H385" i="32"/>
  <c r="I385" i="32"/>
  <c r="K385" i="32"/>
  <c r="L385" i="32"/>
  <c r="C386" i="32"/>
  <c r="D386" i="32"/>
  <c r="E386" i="32"/>
  <c r="F386" i="32"/>
  <c r="G386" i="32"/>
  <c r="H386" i="32"/>
  <c r="I386" i="32"/>
  <c r="K386" i="32"/>
  <c r="L386" i="32"/>
  <c r="K332" i="32"/>
  <c r="I332" i="32"/>
  <c r="H332" i="32"/>
  <c r="G332" i="32"/>
  <c r="E332" i="32"/>
  <c r="D332" i="32"/>
  <c r="C332" i="32"/>
  <c r="R278" i="32"/>
  <c r="S278" i="32"/>
  <c r="T278" i="32"/>
  <c r="U278" i="32"/>
  <c r="V278" i="32"/>
  <c r="W278" i="32"/>
  <c r="X278" i="32"/>
  <c r="Y278" i="32"/>
  <c r="Z278" i="32"/>
  <c r="AA278" i="32"/>
  <c r="R279" i="32"/>
  <c r="S279" i="32"/>
  <c r="T279" i="32"/>
  <c r="U279" i="32"/>
  <c r="V279" i="32"/>
  <c r="W279" i="32"/>
  <c r="X279" i="32"/>
  <c r="Y279" i="32"/>
  <c r="Z279" i="32"/>
  <c r="AA279" i="32"/>
  <c r="R280" i="32"/>
  <c r="S280" i="32"/>
  <c r="T280" i="32"/>
  <c r="U280" i="32"/>
  <c r="V280" i="32"/>
  <c r="W280" i="32"/>
  <c r="X280" i="32"/>
  <c r="Y280" i="32"/>
  <c r="Z280" i="32"/>
  <c r="AA280" i="32"/>
  <c r="R281" i="32"/>
  <c r="S281" i="32"/>
  <c r="T281" i="32"/>
  <c r="U281" i="32"/>
  <c r="V281" i="32"/>
  <c r="W281" i="32"/>
  <c r="X281" i="32"/>
  <c r="Y281" i="32"/>
  <c r="Z281" i="32"/>
  <c r="AA281" i="32"/>
  <c r="R282" i="32"/>
  <c r="S282" i="32"/>
  <c r="T282" i="32"/>
  <c r="U282" i="32"/>
  <c r="V282" i="32"/>
  <c r="W282" i="32"/>
  <c r="X282" i="32"/>
  <c r="Y282" i="32"/>
  <c r="Z282" i="32"/>
  <c r="AA282" i="32"/>
  <c r="R283" i="32"/>
  <c r="S283" i="32"/>
  <c r="T283" i="32"/>
  <c r="U283" i="32"/>
  <c r="V283" i="32"/>
  <c r="W283" i="32"/>
  <c r="X283" i="32"/>
  <c r="Y283" i="32"/>
  <c r="Z283" i="32"/>
  <c r="AA283" i="32"/>
  <c r="R284" i="32"/>
  <c r="S284" i="32"/>
  <c r="T284" i="32"/>
  <c r="U284" i="32"/>
  <c r="V284" i="32"/>
  <c r="W284" i="32"/>
  <c r="X284" i="32"/>
  <c r="Y284" i="32"/>
  <c r="Z284" i="32"/>
  <c r="AA284" i="32"/>
  <c r="R285" i="32"/>
  <c r="S285" i="32"/>
  <c r="T285" i="32"/>
  <c r="U285" i="32"/>
  <c r="V285" i="32"/>
  <c r="W285" i="32"/>
  <c r="X285" i="32"/>
  <c r="Y285" i="32"/>
  <c r="Z285" i="32"/>
  <c r="AA285" i="32"/>
  <c r="R286" i="32"/>
  <c r="S286" i="32"/>
  <c r="T286" i="32"/>
  <c r="U286" i="32"/>
  <c r="V286" i="32"/>
  <c r="W286" i="32"/>
  <c r="X286" i="32"/>
  <c r="Y286" i="32"/>
  <c r="Z286" i="32"/>
  <c r="AA286" i="32"/>
  <c r="R287" i="32"/>
  <c r="S287" i="32"/>
  <c r="T287" i="32"/>
  <c r="U287" i="32"/>
  <c r="V287" i="32"/>
  <c r="W287" i="32"/>
  <c r="X287" i="32"/>
  <c r="Y287" i="32"/>
  <c r="Z287" i="32"/>
  <c r="AA287" i="32"/>
  <c r="R288" i="32"/>
  <c r="S288" i="32"/>
  <c r="T288" i="32"/>
  <c r="U288" i="32"/>
  <c r="V288" i="32"/>
  <c r="W288" i="32"/>
  <c r="X288" i="32"/>
  <c r="Y288" i="32"/>
  <c r="Z288" i="32"/>
  <c r="AA288" i="32"/>
  <c r="R289" i="32"/>
  <c r="S289" i="32"/>
  <c r="T289" i="32"/>
  <c r="U289" i="32"/>
  <c r="V289" i="32"/>
  <c r="W289" i="32"/>
  <c r="X289" i="32"/>
  <c r="Y289" i="32"/>
  <c r="Z289" i="32"/>
  <c r="AA289" i="32"/>
  <c r="R290" i="32"/>
  <c r="S290" i="32"/>
  <c r="T290" i="32"/>
  <c r="U290" i="32"/>
  <c r="V290" i="32"/>
  <c r="W290" i="32"/>
  <c r="X290" i="32"/>
  <c r="Y290" i="32"/>
  <c r="Z290" i="32"/>
  <c r="AA290" i="32"/>
  <c r="R291" i="32"/>
  <c r="S291" i="32"/>
  <c r="T291" i="32"/>
  <c r="U291" i="32"/>
  <c r="V291" i="32"/>
  <c r="W291" i="32"/>
  <c r="X291" i="32"/>
  <c r="Y291" i="32"/>
  <c r="Z291" i="32"/>
  <c r="AA291" i="32"/>
  <c r="R292" i="32"/>
  <c r="S292" i="32"/>
  <c r="T292" i="32"/>
  <c r="U292" i="32"/>
  <c r="V292" i="32"/>
  <c r="W292" i="32"/>
  <c r="X292" i="32"/>
  <c r="Y292" i="32"/>
  <c r="Z292" i="32"/>
  <c r="AA292" i="32"/>
  <c r="R293" i="32"/>
  <c r="S293" i="32"/>
  <c r="T293" i="32"/>
  <c r="U293" i="32"/>
  <c r="V293" i="32"/>
  <c r="W293" i="32"/>
  <c r="X293" i="32"/>
  <c r="Y293" i="32"/>
  <c r="Z293" i="32"/>
  <c r="AA293" i="32"/>
  <c r="R294" i="32"/>
  <c r="S294" i="32"/>
  <c r="T294" i="32"/>
  <c r="U294" i="32"/>
  <c r="V294" i="32"/>
  <c r="W294" i="32"/>
  <c r="X294" i="32"/>
  <c r="Y294" i="32"/>
  <c r="Z294" i="32"/>
  <c r="AA294" i="32"/>
  <c r="R295" i="32"/>
  <c r="S295" i="32"/>
  <c r="T295" i="32"/>
  <c r="U295" i="32"/>
  <c r="V295" i="32"/>
  <c r="W295" i="32"/>
  <c r="X295" i="32"/>
  <c r="Y295" i="32"/>
  <c r="Z295" i="32"/>
  <c r="AA295" i="32"/>
  <c r="R296" i="32"/>
  <c r="S296" i="32"/>
  <c r="T296" i="32"/>
  <c r="U296" i="32"/>
  <c r="V296" i="32"/>
  <c r="W296" i="32"/>
  <c r="X296" i="32"/>
  <c r="Y296" i="32"/>
  <c r="Z296" i="32"/>
  <c r="AA296" i="32"/>
  <c r="R297" i="32"/>
  <c r="S297" i="32"/>
  <c r="T297" i="32"/>
  <c r="U297" i="32"/>
  <c r="V297" i="32"/>
  <c r="W297" i="32"/>
  <c r="X297" i="32"/>
  <c r="Y297" i="32"/>
  <c r="Z297" i="32"/>
  <c r="AA297" i="32"/>
  <c r="R298" i="32"/>
  <c r="S298" i="32"/>
  <c r="T298" i="32"/>
  <c r="U298" i="32"/>
  <c r="V298" i="32"/>
  <c r="W298" i="32"/>
  <c r="X298" i="32"/>
  <c r="Y298" i="32"/>
  <c r="Z298" i="32"/>
  <c r="AA298" i="32"/>
  <c r="R299" i="32"/>
  <c r="S299" i="32"/>
  <c r="T299" i="32"/>
  <c r="U299" i="32"/>
  <c r="V299" i="32"/>
  <c r="W299" i="32"/>
  <c r="X299" i="32"/>
  <c r="Y299" i="32"/>
  <c r="Z299" i="32"/>
  <c r="AA299" i="32"/>
  <c r="R300" i="32"/>
  <c r="S300" i="32"/>
  <c r="T300" i="32"/>
  <c r="U300" i="32"/>
  <c r="V300" i="32"/>
  <c r="W300" i="32"/>
  <c r="X300" i="32"/>
  <c r="Y300" i="32"/>
  <c r="Z300" i="32"/>
  <c r="AA300" i="32"/>
  <c r="R301" i="32"/>
  <c r="S301" i="32"/>
  <c r="T301" i="32"/>
  <c r="U301" i="32"/>
  <c r="V301" i="32"/>
  <c r="W301" i="32"/>
  <c r="X301" i="32"/>
  <c r="Y301" i="32"/>
  <c r="Z301" i="32"/>
  <c r="AA301" i="32"/>
  <c r="R302" i="32"/>
  <c r="S302" i="32"/>
  <c r="T302" i="32"/>
  <c r="U302" i="32"/>
  <c r="V302" i="32"/>
  <c r="W302" i="32"/>
  <c r="X302" i="32"/>
  <c r="Y302" i="32"/>
  <c r="Z302" i="32"/>
  <c r="AA302" i="32"/>
  <c r="R303" i="32"/>
  <c r="S303" i="32"/>
  <c r="T303" i="32"/>
  <c r="U303" i="32"/>
  <c r="V303" i="32"/>
  <c r="W303" i="32"/>
  <c r="X303" i="32"/>
  <c r="Y303" i="32"/>
  <c r="Z303" i="32"/>
  <c r="AA303" i="32"/>
  <c r="R304" i="32"/>
  <c r="S304" i="32"/>
  <c r="T304" i="32"/>
  <c r="U304" i="32"/>
  <c r="V304" i="32"/>
  <c r="W304" i="32"/>
  <c r="X304" i="32"/>
  <c r="Y304" i="32"/>
  <c r="Z304" i="32"/>
  <c r="AA304" i="32"/>
  <c r="R305" i="32"/>
  <c r="S305" i="32"/>
  <c r="T305" i="32"/>
  <c r="U305" i="32"/>
  <c r="V305" i="32"/>
  <c r="W305" i="32"/>
  <c r="X305" i="32"/>
  <c r="Y305" i="32"/>
  <c r="Z305" i="32"/>
  <c r="AA305" i="32"/>
  <c r="R306" i="32"/>
  <c r="S306" i="32"/>
  <c r="T306" i="32"/>
  <c r="U306" i="32"/>
  <c r="V306" i="32"/>
  <c r="W306" i="32"/>
  <c r="X306" i="32"/>
  <c r="Y306" i="32"/>
  <c r="Z306" i="32"/>
  <c r="AA306" i="32"/>
  <c r="R307" i="32"/>
  <c r="S307" i="32"/>
  <c r="T307" i="32"/>
  <c r="U307" i="32"/>
  <c r="V307" i="32"/>
  <c r="W307" i="32"/>
  <c r="X307" i="32"/>
  <c r="Y307" i="32"/>
  <c r="Z307" i="32"/>
  <c r="AA307" i="32"/>
  <c r="R308" i="32"/>
  <c r="S308" i="32"/>
  <c r="T308" i="32"/>
  <c r="U308" i="32"/>
  <c r="V308" i="32"/>
  <c r="W308" i="32"/>
  <c r="X308" i="32"/>
  <c r="Y308" i="32"/>
  <c r="Z308" i="32"/>
  <c r="AA308" i="32"/>
  <c r="R309" i="32"/>
  <c r="S309" i="32"/>
  <c r="T309" i="32"/>
  <c r="U309" i="32"/>
  <c r="V309" i="32"/>
  <c r="W309" i="32"/>
  <c r="X309" i="32"/>
  <c r="Y309" i="32"/>
  <c r="Z309" i="32"/>
  <c r="AA309" i="32"/>
  <c r="R310" i="32"/>
  <c r="S310" i="32"/>
  <c r="T310" i="32"/>
  <c r="U310" i="32"/>
  <c r="V310" i="32"/>
  <c r="W310" i="32"/>
  <c r="X310" i="32"/>
  <c r="Y310" i="32"/>
  <c r="Z310" i="32"/>
  <c r="AA310" i="32"/>
  <c r="R311" i="32"/>
  <c r="S311" i="32"/>
  <c r="T311" i="32"/>
  <c r="U311" i="32"/>
  <c r="V311" i="32"/>
  <c r="W311" i="32"/>
  <c r="X311" i="32"/>
  <c r="Y311" i="32"/>
  <c r="Z311" i="32"/>
  <c r="AA311" i="32"/>
  <c r="R312" i="32"/>
  <c r="S312" i="32"/>
  <c r="T312" i="32"/>
  <c r="U312" i="32"/>
  <c r="V312" i="32"/>
  <c r="W312" i="32"/>
  <c r="X312" i="32"/>
  <c r="Y312" i="32"/>
  <c r="Z312" i="32"/>
  <c r="AA312" i="32"/>
  <c r="R313" i="32"/>
  <c r="S313" i="32"/>
  <c r="T313" i="32"/>
  <c r="U313" i="32"/>
  <c r="V313" i="32"/>
  <c r="W313" i="32"/>
  <c r="X313" i="32"/>
  <c r="Y313" i="32"/>
  <c r="Z313" i="32"/>
  <c r="AA313" i="32"/>
  <c r="R314" i="32"/>
  <c r="S314" i="32"/>
  <c r="T314" i="32"/>
  <c r="U314" i="32"/>
  <c r="V314" i="32"/>
  <c r="W314" i="32"/>
  <c r="X314" i="32"/>
  <c r="Y314" i="32"/>
  <c r="Z314" i="32"/>
  <c r="AA314" i="32"/>
  <c r="R315" i="32"/>
  <c r="S315" i="32"/>
  <c r="T315" i="32"/>
  <c r="U315" i="32"/>
  <c r="V315" i="32"/>
  <c r="W315" i="32"/>
  <c r="X315" i="32"/>
  <c r="Y315" i="32"/>
  <c r="Z315" i="32"/>
  <c r="AA315" i="32"/>
  <c r="R316" i="32"/>
  <c r="S316" i="32"/>
  <c r="T316" i="32"/>
  <c r="U316" i="32"/>
  <c r="V316" i="32"/>
  <c r="W316" i="32"/>
  <c r="X316" i="32"/>
  <c r="Y316" i="32"/>
  <c r="Z316" i="32"/>
  <c r="AA316" i="32"/>
  <c r="R317" i="32"/>
  <c r="S317" i="32"/>
  <c r="T317" i="32"/>
  <c r="U317" i="32"/>
  <c r="V317" i="32"/>
  <c r="W317" i="32"/>
  <c r="X317" i="32"/>
  <c r="Y317" i="32"/>
  <c r="Z317" i="32"/>
  <c r="AA317" i="32"/>
  <c r="R318" i="32"/>
  <c r="S318" i="32"/>
  <c r="T318" i="32"/>
  <c r="U318" i="32"/>
  <c r="V318" i="32"/>
  <c r="W318" i="32"/>
  <c r="X318" i="32"/>
  <c r="Y318" i="32"/>
  <c r="Z318" i="32"/>
  <c r="AA318" i="32"/>
  <c r="R319" i="32"/>
  <c r="S319" i="32"/>
  <c r="T319" i="32"/>
  <c r="U319" i="32"/>
  <c r="V319" i="32"/>
  <c r="W319" i="32"/>
  <c r="X319" i="32"/>
  <c r="Y319" i="32"/>
  <c r="Z319" i="32"/>
  <c r="AA319" i="32"/>
  <c r="R320" i="32"/>
  <c r="S320" i="32"/>
  <c r="T320" i="32"/>
  <c r="U320" i="32"/>
  <c r="V320" i="32"/>
  <c r="W320" i="32"/>
  <c r="X320" i="32"/>
  <c r="Y320" i="32"/>
  <c r="Z320" i="32"/>
  <c r="AA320" i="32"/>
  <c r="R321" i="32"/>
  <c r="S321" i="32"/>
  <c r="T321" i="32"/>
  <c r="U321" i="32"/>
  <c r="V321" i="32"/>
  <c r="W321" i="32"/>
  <c r="X321" i="32"/>
  <c r="Y321" i="32"/>
  <c r="Z321" i="32"/>
  <c r="AA321" i="32"/>
  <c r="R322" i="32"/>
  <c r="S322" i="32"/>
  <c r="T322" i="32"/>
  <c r="U322" i="32"/>
  <c r="V322" i="32"/>
  <c r="W322" i="32"/>
  <c r="X322" i="32"/>
  <c r="Y322" i="32"/>
  <c r="Z322" i="32"/>
  <c r="AA322" i="32"/>
  <c r="R323" i="32"/>
  <c r="S323" i="32"/>
  <c r="T323" i="32"/>
  <c r="U323" i="32"/>
  <c r="V323" i="32"/>
  <c r="W323" i="32"/>
  <c r="X323" i="32"/>
  <c r="Y323" i="32"/>
  <c r="Z323" i="32"/>
  <c r="AA323" i="32"/>
  <c r="R324" i="32"/>
  <c r="S324" i="32"/>
  <c r="T324" i="32"/>
  <c r="U324" i="32"/>
  <c r="V324" i="32"/>
  <c r="W324" i="32"/>
  <c r="X324" i="32"/>
  <c r="Y324" i="32"/>
  <c r="Z324" i="32"/>
  <c r="AA324" i="32"/>
  <c r="R325" i="32"/>
  <c r="S325" i="32"/>
  <c r="T325" i="32"/>
  <c r="U325" i="32"/>
  <c r="V325" i="32"/>
  <c r="W325" i="32"/>
  <c r="X325" i="32"/>
  <c r="Y325" i="32"/>
  <c r="Z325" i="32"/>
  <c r="AA325" i="32"/>
  <c r="R326" i="32"/>
  <c r="S326" i="32"/>
  <c r="T326" i="32"/>
  <c r="U326" i="32"/>
  <c r="V326" i="32"/>
  <c r="W326" i="32"/>
  <c r="X326" i="32"/>
  <c r="Y326" i="32"/>
  <c r="Z326" i="32"/>
  <c r="AA326" i="32"/>
  <c r="R327" i="32"/>
  <c r="S327" i="32"/>
  <c r="T327" i="32"/>
  <c r="U327" i="32"/>
  <c r="V327" i="32"/>
  <c r="W327" i="32"/>
  <c r="X327" i="32"/>
  <c r="Y327" i="32"/>
  <c r="Z327" i="32"/>
  <c r="AA327" i="32"/>
  <c r="R328" i="32"/>
  <c r="S328" i="32"/>
  <c r="T328" i="32"/>
  <c r="U328" i="32"/>
  <c r="V328" i="32"/>
  <c r="W328" i="32"/>
  <c r="X328" i="32"/>
  <c r="Y328" i="32"/>
  <c r="Z328" i="32"/>
  <c r="AA328" i="32"/>
  <c r="R329" i="32"/>
  <c r="S329" i="32"/>
  <c r="T329" i="32"/>
  <c r="U329" i="32"/>
  <c r="V329" i="32"/>
  <c r="W329" i="32"/>
  <c r="X329" i="32"/>
  <c r="Y329" i="32"/>
  <c r="Z329" i="32"/>
  <c r="AA329" i="32"/>
  <c r="R330" i="32"/>
  <c r="S330" i="32"/>
  <c r="T330" i="32"/>
  <c r="U330" i="32"/>
  <c r="V330" i="32"/>
  <c r="W330" i="32"/>
  <c r="X330" i="32"/>
  <c r="Y330" i="32"/>
  <c r="Z330" i="32"/>
  <c r="AA330" i="32"/>
  <c r="R331" i="32"/>
  <c r="S331" i="32"/>
  <c r="T331" i="32"/>
  <c r="U331" i="32"/>
  <c r="V331" i="32"/>
  <c r="W331" i="32"/>
  <c r="X331" i="32"/>
  <c r="Y331" i="32"/>
  <c r="Z331" i="32"/>
  <c r="AA331" i="32"/>
  <c r="C278" i="32"/>
  <c r="D278" i="32"/>
  <c r="E278" i="32"/>
  <c r="G278" i="32"/>
  <c r="H278" i="32"/>
  <c r="I278" i="32"/>
  <c r="K278" i="32"/>
  <c r="C279" i="32"/>
  <c r="D279" i="32"/>
  <c r="E279" i="32"/>
  <c r="G279" i="32"/>
  <c r="H279" i="32"/>
  <c r="I279" i="32"/>
  <c r="K279" i="32"/>
  <c r="C280" i="32"/>
  <c r="D280" i="32"/>
  <c r="E280" i="32"/>
  <c r="G280" i="32"/>
  <c r="H280" i="32"/>
  <c r="I280" i="32"/>
  <c r="K280" i="32"/>
  <c r="C281" i="32"/>
  <c r="D281" i="32"/>
  <c r="E281" i="32"/>
  <c r="G281" i="32"/>
  <c r="H281" i="32"/>
  <c r="I281" i="32"/>
  <c r="K281" i="32"/>
  <c r="C282" i="32"/>
  <c r="D282" i="32"/>
  <c r="E282" i="32"/>
  <c r="G282" i="32"/>
  <c r="H282" i="32"/>
  <c r="I282" i="32"/>
  <c r="K282" i="32"/>
  <c r="C283" i="32"/>
  <c r="D283" i="32"/>
  <c r="E283" i="32"/>
  <c r="G283" i="32"/>
  <c r="H283" i="32"/>
  <c r="I283" i="32"/>
  <c r="K283" i="32"/>
  <c r="C284" i="32"/>
  <c r="D284" i="32"/>
  <c r="E284" i="32"/>
  <c r="G284" i="32"/>
  <c r="H284" i="32"/>
  <c r="I284" i="32"/>
  <c r="K284" i="32"/>
  <c r="C285" i="32"/>
  <c r="D285" i="32"/>
  <c r="E285" i="32"/>
  <c r="G285" i="32"/>
  <c r="H285" i="32"/>
  <c r="I285" i="32"/>
  <c r="K285" i="32"/>
  <c r="C286" i="32"/>
  <c r="D286" i="32"/>
  <c r="E286" i="32"/>
  <c r="F286" i="32"/>
  <c r="G286" i="32"/>
  <c r="H286" i="32"/>
  <c r="I286" i="32"/>
  <c r="K286" i="32"/>
  <c r="C287" i="32"/>
  <c r="D287" i="32"/>
  <c r="E287" i="32"/>
  <c r="G287" i="32"/>
  <c r="H287" i="32"/>
  <c r="I287" i="32"/>
  <c r="K287" i="32"/>
  <c r="C288" i="32"/>
  <c r="D288" i="32"/>
  <c r="E288" i="32"/>
  <c r="G288" i="32"/>
  <c r="H288" i="32"/>
  <c r="I288" i="32"/>
  <c r="K288" i="32"/>
  <c r="C289" i="32"/>
  <c r="D289" i="32"/>
  <c r="E289" i="32"/>
  <c r="G289" i="32"/>
  <c r="H289" i="32"/>
  <c r="I289" i="32"/>
  <c r="K289" i="32"/>
  <c r="C290" i="32"/>
  <c r="D290" i="32"/>
  <c r="E290" i="32"/>
  <c r="G290" i="32"/>
  <c r="H290" i="32"/>
  <c r="I290" i="32"/>
  <c r="K290" i="32"/>
  <c r="C291" i="32"/>
  <c r="D291" i="32"/>
  <c r="E291" i="32"/>
  <c r="G291" i="32"/>
  <c r="H291" i="32"/>
  <c r="I291" i="32"/>
  <c r="K291" i="32"/>
  <c r="C292" i="32"/>
  <c r="D292" i="32"/>
  <c r="E292" i="32"/>
  <c r="G292" i="32"/>
  <c r="H292" i="32"/>
  <c r="I292" i="32"/>
  <c r="K292" i="32"/>
  <c r="C293" i="32"/>
  <c r="D293" i="32"/>
  <c r="E293" i="32"/>
  <c r="G293" i="32"/>
  <c r="H293" i="32"/>
  <c r="I293" i="32"/>
  <c r="K293" i="32"/>
  <c r="C294" i="32"/>
  <c r="D294" i="32"/>
  <c r="E294" i="32"/>
  <c r="G294" i="32"/>
  <c r="H294" i="32"/>
  <c r="I294" i="32"/>
  <c r="K294" i="32"/>
  <c r="C295" i="32"/>
  <c r="D295" i="32"/>
  <c r="E295" i="32"/>
  <c r="G295" i="32"/>
  <c r="H295" i="32"/>
  <c r="I295" i="32"/>
  <c r="K295" i="32"/>
  <c r="C296" i="32"/>
  <c r="D296" i="32"/>
  <c r="E296" i="32"/>
  <c r="G296" i="32"/>
  <c r="H296" i="32"/>
  <c r="I296" i="32"/>
  <c r="K296" i="32"/>
  <c r="C297" i="32"/>
  <c r="D297" i="32"/>
  <c r="E297" i="32"/>
  <c r="G297" i="32"/>
  <c r="H297" i="32"/>
  <c r="I297" i="32"/>
  <c r="K297" i="32"/>
  <c r="C298" i="32"/>
  <c r="D298" i="32"/>
  <c r="E298" i="32"/>
  <c r="G298" i="32"/>
  <c r="H298" i="32"/>
  <c r="I298" i="32"/>
  <c r="K298" i="32"/>
  <c r="C299" i="32"/>
  <c r="D299" i="32"/>
  <c r="E299" i="32"/>
  <c r="G299" i="32"/>
  <c r="H299" i="32"/>
  <c r="I299" i="32"/>
  <c r="K299" i="32"/>
  <c r="C300" i="32"/>
  <c r="D300" i="32"/>
  <c r="E300" i="32"/>
  <c r="G300" i="32"/>
  <c r="H300" i="32"/>
  <c r="I300" i="32"/>
  <c r="K300" i="32"/>
  <c r="C301" i="32"/>
  <c r="D301" i="32"/>
  <c r="E301" i="32"/>
  <c r="G301" i="32"/>
  <c r="H301" i="32"/>
  <c r="I301" i="32"/>
  <c r="K301" i="32"/>
  <c r="C302" i="32"/>
  <c r="D302" i="32"/>
  <c r="E302" i="32"/>
  <c r="G302" i="32"/>
  <c r="H302" i="32"/>
  <c r="I302" i="32"/>
  <c r="K302" i="32"/>
  <c r="C303" i="32"/>
  <c r="D303" i="32"/>
  <c r="E303" i="32"/>
  <c r="G303" i="32"/>
  <c r="H303" i="32"/>
  <c r="I303" i="32"/>
  <c r="K303" i="32"/>
  <c r="C304" i="32"/>
  <c r="D304" i="32"/>
  <c r="E304" i="32"/>
  <c r="G304" i="32"/>
  <c r="H304" i="32"/>
  <c r="I304" i="32"/>
  <c r="K304" i="32"/>
  <c r="C305" i="32"/>
  <c r="D305" i="32"/>
  <c r="E305" i="32"/>
  <c r="G305" i="32"/>
  <c r="H305" i="32"/>
  <c r="I305" i="32"/>
  <c r="K305" i="32"/>
  <c r="C306" i="32"/>
  <c r="D306" i="32"/>
  <c r="E306" i="32"/>
  <c r="G306" i="32"/>
  <c r="H306" i="32"/>
  <c r="I306" i="32"/>
  <c r="K306" i="32"/>
  <c r="C307" i="32"/>
  <c r="D307" i="32"/>
  <c r="E307" i="32"/>
  <c r="F307" i="32"/>
  <c r="G307" i="32"/>
  <c r="H307" i="32"/>
  <c r="I307" i="32"/>
  <c r="K307" i="32"/>
  <c r="L307" i="32"/>
  <c r="N307" i="32"/>
  <c r="C308" i="32"/>
  <c r="D308" i="32"/>
  <c r="E308" i="32"/>
  <c r="F308" i="32"/>
  <c r="G308" i="32"/>
  <c r="H308" i="32"/>
  <c r="I308" i="32"/>
  <c r="K308" i="32"/>
  <c r="L308" i="32"/>
  <c r="N308" i="32"/>
  <c r="C309" i="32"/>
  <c r="D309" i="32"/>
  <c r="E309" i="32"/>
  <c r="F309" i="32"/>
  <c r="G309" i="32"/>
  <c r="H309" i="32"/>
  <c r="I309" i="32"/>
  <c r="K309" i="32"/>
  <c r="L309" i="32"/>
  <c r="N309" i="32"/>
  <c r="C310" i="32"/>
  <c r="D310" i="32"/>
  <c r="E310" i="32"/>
  <c r="F310" i="32"/>
  <c r="G310" i="32"/>
  <c r="H310" i="32"/>
  <c r="I310" i="32"/>
  <c r="K310" i="32"/>
  <c r="L310" i="32"/>
  <c r="N310" i="32"/>
  <c r="C311" i="32"/>
  <c r="D311" i="32"/>
  <c r="E311" i="32"/>
  <c r="F311" i="32"/>
  <c r="G311" i="32"/>
  <c r="H311" i="32"/>
  <c r="I311" i="32"/>
  <c r="K311" i="32"/>
  <c r="L311" i="32"/>
  <c r="N311" i="32"/>
  <c r="C312" i="32"/>
  <c r="D312" i="32"/>
  <c r="E312" i="32"/>
  <c r="F312" i="32"/>
  <c r="G312" i="32"/>
  <c r="H312" i="32"/>
  <c r="I312" i="32"/>
  <c r="K312" i="32"/>
  <c r="L312" i="32"/>
  <c r="N312" i="32"/>
  <c r="C313" i="32"/>
  <c r="D313" i="32"/>
  <c r="E313" i="32"/>
  <c r="F313" i="32"/>
  <c r="G313" i="32"/>
  <c r="H313" i="32"/>
  <c r="I313" i="32"/>
  <c r="K313" i="32"/>
  <c r="L313" i="32"/>
  <c r="N313" i="32"/>
  <c r="C314" i="32"/>
  <c r="D314" i="32"/>
  <c r="E314" i="32"/>
  <c r="F314" i="32"/>
  <c r="G314" i="32"/>
  <c r="H314" i="32"/>
  <c r="I314" i="32"/>
  <c r="K314" i="32"/>
  <c r="L314" i="32"/>
  <c r="N314" i="32"/>
  <c r="C315" i="32"/>
  <c r="D315" i="32"/>
  <c r="E315" i="32"/>
  <c r="F315" i="32"/>
  <c r="G315" i="32"/>
  <c r="H315" i="32"/>
  <c r="I315" i="32"/>
  <c r="K315" i="32"/>
  <c r="L315" i="32"/>
  <c r="N315" i="32"/>
  <c r="C316" i="32"/>
  <c r="D316" i="32"/>
  <c r="E316" i="32"/>
  <c r="F316" i="32"/>
  <c r="G316" i="32"/>
  <c r="H316" i="32"/>
  <c r="I316" i="32"/>
  <c r="K316" i="32"/>
  <c r="L316" i="32"/>
  <c r="N316" i="32"/>
  <c r="C317" i="32"/>
  <c r="D317" i="32"/>
  <c r="E317" i="32"/>
  <c r="F317" i="32"/>
  <c r="G317" i="32"/>
  <c r="H317" i="32"/>
  <c r="I317" i="32"/>
  <c r="K317" i="32"/>
  <c r="L317" i="32"/>
  <c r="N317" i="32"/>
  <c r="C318" i="32"/>
  <c r="D318" i="32"/>
  <c r="E318" i="32"/>
  <c r="F318" i="32"/>
  <c r="G318" i="32"/>
  <c r="H318" i="32"/>
  <c r="I318" i="32"/>
  <c r="K318" i="32"/>
  <c r="L318" i="32"/>
  <c r="N318" i="32"/>
  <c r="C319" i="32"/>
  <c r="D319" i="32"/>
  <c r="E319" i="32"/>
  <c r="F319" i="32"/>
  <c r="G319" i="32"/>
  <c r="H319" i="32"/>
  <c r="I319" i="32"/>
  <c r="K319" i="32"/>
  <c r="L319" i="32"/>
  <c r="N319" i="32"/>
  <c r="C320" i="32"/>
  <c r="D320" i="32"/>
  <c r="E320" i="32"/>
  <c r="F320" i="32"/>
  <c r="G320" i="32"/>
  <c r="H320" i="32"/>
  <c r="I320" i="32"/>
  <c r="K320" i="32"/>
  <c r="L320" i="32"/>
  <c r="N320" i="32"/>
  <c r="C321" i="32"/>
  <c r="D321" i="32"/>
  <c r="E321" i="32"/>
  <c r="F321" i="32"/>
  <c r="G321" i="32"/>
  <c r="H321" i="32"/>
  <c r="I321" i="32"/>
  <c r="K321" i="32"/>
  <c r="L321" i="32"/>
  <c r="N321" i="32"/>
  <c r="C322" i="32"/>
  <c r="D322" i="32"/>
  <c r="E322" i="32"/>
  <c r="F322" i="32"/>
  <c r="G322" i="32"/>
  <c r="H322" i="32"/>
  <c r="I322" i="32"/>
  <c r="K322" i="32"/>
  <c r="L322" i="32"/>
  <c r="N322" i="32"/>
  <c r="C323" i="32"/>
  <c r="D323" i="32"/>
  <c r="E323" i="32"/>
  <c r="F323" i="32"/>
  <c r="G323" i="32"/>
  <c r="H323" i="32"/>
  <c r="I323" i="32"/>
  <c r="K323" i="32"/>
  <c r="L323" i="32"/>
  <c r="N323" i="32"/>
  <c r="C324" i="32"/>
  <c r="D324" i="32"/>
  <c r="E324" i="32"/>
  <c r="F324" i="32"/>
  <c r="G324" i="32"/>
  <c r="H324" i="32"/>
  <c r="I324" i="32"/>
  <c r="K324" i="32"/>
  <c r="L324" i="32"/>
  <c r="N324" i="32"/>
  <c r="C325" i="32"/>
  <c r="D325" i="32"/>
  <c r="E325" i="32"/>
  <c r="F325" i="32"/>
  <c r="G325" i="32"/>
  <c r="H325" i="32"/>
  <c r="I325" i="32"/>
  <c r="K325" i="32"/>
  <c r="L325" i="32"/>
  <c r="N325" i="32"/>
  <c r="C326" i="32"/>
  <c r="D326" i="32"/>
  <c r="E326" i="32"/>
  <c r="F326" i="32"/>
  <c r="G326" i="32"/>
  <c r="H326" i="32"/>
  <c r="I326" i="32"/>
  <c r="K326" i="32"/>
  <c r="L326" i="32"/>
  <c r="N326" i="32"/>
  <c r="C327" i="32"/>
  <c r="D327" i="32"/>
  <c r="E327" i="32"/>
  <c r="F327" i="32"/>
  <c r="G327" i="32"/>
  <c r="H327" i="32"/>
  <c r="I327" i="32"/>
  <c r="K327" i="32"/>
  <c r="L327" i="32"/>
  <c r="N327" i="32"/>
  <c r="C328" i="32"/>
  <c r="D328" i="32"/>
  <c r="E328" i="32"/>
  <c r="F328" i="32"/>
  <c r="G328" i="32"/>
  <c r="H328" i="32"/>
  <c r="I328" i="32"/>
  <c r="K328" i="32"/>
  <c r="L328" i="32"/>
  <c r="N328" i="32"/>
  <c r="C329" i="32"/>
  <c r="D329" i="32"/>
  <c r="E329" i="32"/>
  <c r="F329" i="32"/>
  <c r="G329" i="32"/>
  <c r="H329" i="32"/>
  <c r="I329" i="32"/>
  <c r="K329" i="32"/>
  <c r="L329" i="32"/>
  <c r="N329" i="32"/>
  <c r="C330" i="32"/>
  <c r="D330" i="32"/>
  <c r="E330" i="32"/>
  <c r="F330" i="32"/>
  <c r="G330" i="32"/>
  <c r="H330" i="32"/>
  <c r="I330" i="32"/>
  <c r="K330" i="32"/>
  <c r="L330" i="32"/>
  <c r="N330" i="32"/>
  <c r="C331" i="32"/>
  <c r="D331" i="32"/>
  <c r="E331" i="32"/>
  <c r="F331" i="32"/>
  <c r="G331" i="32"/>
  <c r="H331" i="32"/>
  <c r="I331" i="32"/>
  <c r="K331" i="32"/>
  <c r="L331" i="32"/>
  <c r="N331" i="32"/>
  <c r="S277" i="32"/>
  <c r="AA277" i="32"/>
  <c r="Z277" i="32"/>
  <c r="Y277" i="32"/>
  <c r="X277" i="32"/>
  <c r="W277" i="32"/>
  <c r="V277" i="32"/>
  <c r="U277" i="32"/>
  <c r="T277" i="32"/>
  <c r="R277" i="32"/>
  <c r="N252" i="32"/>
  <c r="N253" i="32"/>
  <c r="N254" i="32"/>
  <c r="N255" i="32"/>
  <c r="N256" i="32"/>
  <c r="N257" i="32"/>
  <c r="N258" i="32"/>
  <c r="N259" i="32"/>
  <c r="N260" i="32"/>
  <c r="N261" i="32"/>
  <c r="N262" i="32"/>
  <c r="N263" i="32"/>
  <c r="N264" i="32"/>
  <c r="N265" i="32"/>
  <c r="N266" i="32"/>
  <c r="N267" i="32"/>
  <c r="N268" i="32"/>
  <c r="N269" i="32"/>
  <c r="N270" i="32"/>
  <c r="N271" i="32"/>
  <c r="N272" i="32"/>
  <c r="N273" i="32"/>
  <c r="N274" i="32"/>
  <c r="N275" i="32"/>
  <c r="N276" i="32"/>
  <c r="K277" i="32"/>
  <c r="I277" i="32"/>
  <c r="I276" i="32"/>
  <c r="H277" i="32"/>
  <c r="G277" i="32"/>
  <c r="C277" i="32"/>
  <c r="D277" i="32"/>
  <c r="E277" i="32"/>
  <c r="R223" i="32"/>
  <c r="S223" i="32"/>
  <c r="T223" i="32"/>
  <c r="U223" i="32"/>
  <c r="V223" i="32"/>
  <c r="W223" i="32"/>
  <c r="X223" i="32"/>
  <c r="Y223" i="32"/>
  <c r="Z223" i="32"/>
  <c r="AA223" i="32"/>
  <c r="R224" i="32"/>
  <c r="S224" i="32"/>
  <c r="T224" i="32"/>
  <c r="U224" i="32"/>
  <c r="V224" i="32"/>
  <c r="W224" i="32"/>
  <c r="X224" i="32"/>
  <c r="Y224" i="32"/>
  <c r="Z224" i="32"/>
  <c r="AA224" i="32"/>
  <c r="R225" i="32"/>
  <c r="S225" i="32"/>
  <c r="T225" i="32"/>
  <c r="U225" i="32"/>
  <c r="V225" i="32"/>
  <c r="W225" i="32"/>
  <c r="X225" i="32"/>
  <c r="Y225" i="32"/>
  <c r="Z225" i="32"/>
  <c r="AA225" i="32"/>
  <c r="R226" i="32"/>
  <c r="S226" i="32"/>
  <c r="T226" i="32"/>
  <c r="U226" i="32"/>
  <c r="V226" i="32"/>
  <c r="W226" i="32"/>
  <c r="X226" i="32"/>
  <c r="Y226" i="32"/>
  <c r="Z226" i="32"/>
  <c r="AA226" i="32"/>
  <c r="R227" i="32"/>
  <c r="S227" i="32"/>
  <c r="T227" i="32"/>
  <c r="U227" i="32"/>
  <c r="V227" i="32"/>
  <c r="W227" i="32"/>
  <c r="X227" i="32"/>
  <c r="Y227" i="32"/>
  <c r="Z227" i="32"/>
  <c r="AA227" i="32"/>
  <c r="R228" i="32"/>
  <c r="S228" i="32"/>
  <c r="T228" i="32"/>
  <c r="U228" i="32"/>
  <c r="V228" i="32"/>
  <c r="W228" i="32"/>
  <c r="X228" i="32"/>
  <c r="Y228" i="32"/>
  <c r="Z228" i="32"/>
  <c r="AA228" i="32"/>
  <c r="R229" i="32"/>
  <c r="S229" i="32"/>
  <c r="T229" i="32"/>
  <c r="U229" i="32"/>
  <c r="V229" i="32"/>
  <c r="W229" i="32"/>
  <c r="X229" i="32"/>
  <c r="Y229" i="32"/>
  <c r="Z229" i="32"/>
  <c r="AA229" i="32"/>
  <c r="R230" i="32"/>
  <c r="S230" i="32"/>
  <c r="T230" i="32"/>
  <c r="U230" i="32"/>
  <c r="V230" i="32"/>
  <c r="W230" i="32"/>
  <c r="X230" i="32"/>
  <c r="Y230" i="32"/>
  <c r="Z230" i="32"/>
  <c r="AA230" i="32"/>
  <c r="R231" i="32"/>
  <c r="S231" i="32"/>
  <c r="T231" i="32"/>
  <c r="U231" i="32"/>
  <c r="V231" i="32"/>
  <c r="W231" i="32"/>
  <c r="X231" i="32"/>
  <c r="Y231" i="32"/>
  <c r="Z231" i="32"/>
  <c r="AA231" i="32"/>
  <c r="R232" i="32"/>
  <c r="S232" i="32"/>
  <c r="T232" i="32"/>
  <c r="U232" i="32"/>
  <c r="V232" i="32"/>
  <c r="W232" i="32"/>
  <c r="X232" i="32"/>
  <c r="Y232" i="32"/>
  <c r="Z232" i="32"/>
  <c r="AA232" i="32"/>
  <c r="R233" i="32"/>
  <c r="S233" i="32"/>
  <c r="T233" i="32"/>
  <c r="U233" i="32"/>
  <c r="V233" i="32"/>
  <c r="W233" i="32"/>
  <c r="X233" i="32"/>
  <c r="Y233" i="32"/>
  <c r="Z233" i="32"/>
  <c r="AA233" i="32"/>
  <c r="R234" i="32"/>
  <c r="S234" i="32"/>
  <c r="T234" i="32"/>
  <c r="U234" i="32"/>
  <c r="V234" i="32"/>
  <c r="W234" i="32"/>
  <c r="X234" i="32"/>
  <c r="Y234" i="32"/>
  <c r="Z234" i="32"/>
  <c r="AA234" i="32"/>
  <c r="R235" i="32"/>
  <c r="S235" i="32"/>
  <c r="T235" i="32"/>
  <c r="U235" i="32"/>
  <c r="V235" i="32"/>
  <c r="W235" i="32"/>
  <c r="X235" i="32"/>
  <c r="Y235" i="32"/>
  <c r="Z235" i="32"/>
  <c r="AA235" i="32"/>
  <c r="R236" i="32"/>
  <c r="S236" i="32"/>
  <c r="T236" i="32"/>
  <c r="U236" i="32"/>
  <c r="V236" i="32"/>
  <c r="W236" i="32"/>
  <c r="X236" i="32"/>
  <c r="Y236" i="32"/>
  <c r="Z236" i="32"/>
  <c r="AA236" i="32"/>
  <c r="R237" i="32"/>
  <c r="S237" i="32"/>
  <c r="T237" i="32"/>
  <c r="U237" i="32"/>
  <c r="V237" i="32"/>
  <c r="W237" i="32"/>
  <c r="X237" i="32"/>
  <c r="Y237" i="32"/>
  <c r="Z237" i="32"/>
  <c r="AA237" i="32"/>
  <c r="R238" i="32"/>
  <c r="S238" i="32"/>
  <c r="T238" i="32"/>
  <c r="U238" i="32"/>
  <c r="V238" i="32"/>
  <c r="W238" i="32"/>
  <c r="X238" i="32"/>
  <c r="Y238" i="32"/>
  <c r="Z238" i="32"/>
  <c r="AA238" i="32"/>
  <c r="R239" i="32"/>
  <c r="S239" i="32"/>
  <c r="T239" i="32"/>
  <c r="U239" i="32"/>
  <c r="V239" i="32"/>
  <c r="W239" i="32"/>
  <c r="X239" i="32"/>
  <c r="Y239" i="32"/>
  <c r="Z239" i="32"/>
  <c r="AA239" i="32"/>
  <c r="R240" i="32"/>
  <c r="S240" i="32"/>
  <c r="T240" i="32"/>
  <c r="U240" i="32"/>
  <c r="V240" i="32"/>
  <c r="W240" i="32"/>
  <c r="X240" i="32"/>
  <c r="Y240" i="32"/>
  <c r="Z240" i="32"/>
  <c r="AA240" i="32"/>
  <c r="R241" i="32"/>
  <c r="S241" i="32"/>
  <c r="T241" i="32"/>
  <c r="U241" i="32"/>
  <c r="V241" i="32"/>
  <c r="W241" i="32"/>
  <c r="X241" i="32"/>
  <c r="Y241" i="32"/>
  <c r="Z241" i="32"/>
  <c r="AA241" i="32"/>
  <c r="R242" i="32"/>
  <c r="S242" i="32"/>
  <c r="T242" i="32"/>
  <c r="U242" i="32"/>
  <c r="V242" i="32"/>
  <c r="W242" i="32"/>
  <c r="X242" i="32"/>
  <c r="Y242" i="32"/>
  <c r="Z242" i="32"/>
  <c r="AA242" i="32"/>
  <c r="R243" i="32"/>
  <c r="S243" i="32"/>
  <c r="T243" i="32"/>
  <c r="U243" i="32"/>
  <c r="V243" i="32"/>
  <c r="W243" i="32"/>
  <c r="X243" i="32"/>
  <c r="Y243" i="32"/>
  <c r="Z243" i="32"/>
  <c r="AA243" i="32"/>
  <c r="R244" i="32"/>
  <c r="S244" i="32"/>
  <c r="T244" i="32"/>
  <c r="U244" i="32"/>
  <c r="V244" i="32"/>
  <c r="W244" i="32"/>
  <c r="X244" i="32"/>
  <c r="Y244" i="32"/>
  <c r="Z244" i="32"/>
  <c r="AA244" i="32"/>
  <c r="R245" i="32"/>
  <c r="S245" i="32"/>
  <c r="T245" i="32"/>
  <c r="U245" i="32"/>
  <c r="V245" i="32"/>
  <c r="W245" i="32"/>
  <c r="X245" i="32"/>
  <c r="Y245" i="32"/>
  <c r="Z245" i="32"/>
  <c r="AA245" i="32"/>
  <c r="R246" i="32"/>
  <c r="S246" i="32"/>
  <c r="T246" i="32"/>
  <c r="U246" i="32"/>
  <c r="V246" i="32"/>
  <c r="W246" i="32"/>
  <c r="X246" i="32"/>
  <c r="Y246" i="32"/>
  <c r="Z246" i="32"/>
  <c r="AA246" i="32"/>
  <c r="R247" i="32"/>
  <c r="S247" i="32"/>
  <c r="T247" i="32"/>
  <c r="U247" i="32"/>
  <c r="V247" i="32"/>
  <c r="W247" i="32"/>
  <c r="X247" i="32"/>
  <c r="Y247" i="32"/>
  <c r="Z247" i="32"/>
  <c r="AA247" i="32"/>
  <c r="R248" i="32"/>
  <c r="S248" i="32"/>
  <c r="T248" i="32"/>
  <c r="U248" i="32"/>
  <c r="V248" i="32"/>
  <c r="W248" i="32"/>
  <c r="X248" i="32"/>
  <c r="Y248" i="32"/>
  <c r="Z248" i="32"/>
  <c r="AA248" i="32"/>
  <c r="R249" i="32"/>
  <c r="S249" i="32"/>
  <c r="T249" i="32"/>
  <c r="U249" i="32"/>
  <c r="V249" i="32"/>
  <c r="W249" i="32"/>
  <c r="X249" i="32"/>
  <c r="Y249" i="32"/>
  <c r="Z249" i="32"/>
  <c r="AA249" i="32"/>
  <c r="R250" i="32"/>
  <c r="S250" i="32"/>
  <c r="T250" i="32"/>
  <c r="U250" i="32"/>
  <c r="V250" i="32"/>
  <c r="W250" i="32"/>
  <c r="X250" i="32"/>
  <c r="Y250" i="32"/>
  <c r="Z250" i="32"/>
  <c r="AA250" i="32"/>
  <c r="R251" i="32"/>
  <c r="S251" i="32"/>
  <c r="T251" i="32"/>
  <c r="U251" i="32"/>
  <c r="V251" i="32"/>
  <c r="W251" i="32"/>
  <c r="X251" i="32"/>
  <c r="Y251" i="32"/>
  <c r="Z251" i="32"/>
  <c r="AA251" i="32"/>
  <c r="R252" i="32"/>
  <c r="S252" i="32"/>
  <c r="T252" i="32"/>
  <c r="U252" i="32"/>
  <c r="V252" i="32"/>
  <c r="W252" i="32"/>
  <c r="X252" i="32"/>
  <c r="Y252" i="32"/>
  <c r="Z252" i="32"/>
  <c r="AA252" i="32"/>
  <c r="R253" i="32"/>
  <c r="S253" i="32"/>
  <c r="T253" i="32"/>
  <c r="U253" i="32"/>
  <c r="V253" i="32"/>
  <c r="W253" i="32"/>
  <c r="X253" i="32"/>
  <c r="Y253" i="32"/>
  <c r="Z253" i="32"/>
  <c r="AA253" i="32"/>
  <c r="R254" i="32"/>
  <c r="S254" i="32"/>
  <c r="T254" i="32"/>
  <c r="U254" i="32"/>
  <c r="V254" i="32"/>
  <c r="W254" i="32"/>
  <c r="X254" i="32"/>
  <c r="Y254" i="32"/>
  <c r="Z254" i="32"/>
  <c r="AA254" i="32"/>
  <c r="R255" i="32"/>
  <c r="S255" i="32"/>
  <c r="T255" i="32"/>
  <c r="U255" i="32"/>
  <c r="V255" i="32"/>
  <c r="W255" i="32"/>
  <c r="X255" i="32"/>
  <c r="Y255" i="32"/>
  <c r="Z255" i="32"/>
  <c r="AA255" i="32"/>
  <c r="R256" i="32"/>
  <c r="S256" i="32"/>
  <c r="T256" i="32"/>
  <c r="U256" i="32"/>
  <c r="V256" i="32"/>
  <c r="W256" i="32"/>
  <c r="X256" i="32"/>
  <c r="Y256" i="32"/>
  <c r="Z256" i="32"/>
  <c r="AA256" i="32"/>
  <c r="R257" i="32"/>
  <c r="S257" i="32"/>
  <c r="T257" i="32"/>
  <c r="U257" i="32"/>
  <c r="V257" i="32"/>
  <c r="W257" i="32"/>
  <c r="X257" i="32"/>
  <c r="Y257" i="32"/>
  <c r="Z257" i="32"/>
  <c r="AA257" i="32"/>
  <c r="R258" i="32"/>
  <c r="S258" i="32"/>
  <c r="T258" i="32"/>
  <c r="U258" i="32"/>
  <c r="V258" i="32"/>
  <c r="W258" i="32"/>
  <c r="X258" i="32"/>
  <c r="Y258" i="32"/>
  <c r="Z258" i="32"/>
  <c r="AA258" i="32"/>
  <c r="R259" i="32"/>
  <c r="S259" i="32"/>
  <c r="T259" i="32"/>
  <c r="U259" i="32"/>
  <c r="V259" i="32"/>
  <c r="W259" i="32"/>
  <c r="X259" i="32"/>
  <c r="Y259" i="32"/>
  <c r="Z259" i="32"/>
  <c r="AA259" i="32"/>
  <c r="R260" i="32"/>
  <c r="S260" i="32"/>
  <c r="T260" i="32"/>
  <c r="U260" i="32"/>
  <c r="V260" i="32"/>
  <c r="W260" i="32"/>
  <c r="X260" i="32"/>
  <c r="Y260" i="32"/>
  <c r="Z260" i="32"/>
  <c r="AA260" i="32"/>
  <c r="R261" i="32"/>
  <c r="S261" i="32"/>
  <c r="T261" i="32"/>
  <c r="U261" i="32"/>
  <c r="V261" i="32"/>
  <c r="W261" i="32"/>
  <c r="X261" i="32"/>
  <c r="Y261" i="32"/>
  <c r="Z261" i="32"/>
  <c r="AA261" i="32"/>
  <c r="R262" i="32"/>
  <c r="S262" i="32"/>
  <c r="T262" i="32"/>
  <c r="U262" i="32"/>
  <c r="V262" i="32"/>
  <c r="W262" i="32"/>
  <c r="X262" i="32"/>
  <c r="Y262" i="32"/>
  <c r="Z262" i="32"/>
  <c r="AA262" i="32"/>
  <c r="R263" i="32"/>
  <c r="S263" i="32"/>
  <c r="T263" i="32"/>
  <c r="U263" i="32"/>
  <c r="V263" i="32"/>
  <c r="W263" i="32"/>
  <c r="X263" i="32"/>
  <c r="Y263" i="32"/>
  <c r="Z263" i="32"/>
  <c r="AA263" i="32"/>
  <c r="R264" i="32"/>
  <c r="S264" i="32"/>
  <c r="T264" i="32"/>
  <c r="U264" i="32"/>
  <c r="V264" i="32"/>
  <c r="W264" i="32"/>
  <c r="X264" i="32"/>
  <c r="Y264" i="32"/>
  <c r="Z264" i="32"/>
  <c r="AA264" i="32"/>
  <c r="R265" i="32"/>
  <c r="S265" i="32"/>
  <c r="T265" i="32"/>
  <c r="U265" i="32"/>
  <c r="V265" i="32"/>
  <c r="W265" i="32"/>
  <c r="X265" i="32"/>
  <c r="Y265" i="32"/>
  <c r="Z265" i="32"/>
  <c r="AA265" i="32"/>
  <c r="R266" i="32"/>
  <c r="S266" i="32"/>
  <c r="T266" i="32"/>
  <c r="U266" i="32"/>
  <c r="V266" i="32"/>
  <c r="W266" i="32"/>
  <c r="X266" i="32"/>
  <c r="Y266" i="32"/>
  <c r="Z266" i="32"/>
  <c r="AA266" i="32"/>
  <c r="R267" i="32"/>
  <c r="S267" i="32"/>
  <c r="T267" i="32"/>
  <c r="U267" i="32"/>
  <c r="V267" i="32"/>
  <c r="W267" i="32"/>
  <c r="X267" i="32"/>
  <c r="Y267" i="32"/>
  <c r="Z267" i="32"/>
  <c r="AA267" i="32"/>
  <c r="R268" i="32"/>
  <c r="S268" i="32"/>
  <c r="T268" i="32"/>
  <c r="U268" i="32"/>
  <c r="V268" i="32"/>
  <c r="W268" i="32"/>
  <c r="X268" i="32"/>
  <c r="Y268" i="32"/>
  <c r="Z268" i="32"/>
  <c r="AA268" i="32"/>
  <c r="R269" i="32"/>
  <c r="S269" i="32"/>
  <c r="T269" i="32"/>
  <c r="U269" i="32"/>
  <c r="V269" i="32"/>
  <c r="W269" i="32"/>
  <c r="X269" i="32"/>
  <c r="Y269" i="32"/>
  <c r="Z269" i="32"/>
  <c r="AA269" i="32"/>
  <c r="R270" i="32"/>
  <c r="S270" i="32"/>
  <c r="T270" i="32"/>
  <c r="U270" i="32"/>
  <c r="V270" i="32"/>
  <c r="W270" i="32"/>
  <c r="X270" i="32"/>
  <c r="Y270" i="32"/>
  <c r="Z270" i="32"/>
  <c r="AA270" i="32"/>
  <c r="R271" i="32"/>
  <c r="S271" i="32"/>
  <c r="T271" i="32"/>
  <c r="U271" i="32"/>
  <c r="V271" i="32"/>
  <c r="W271" i="32"/>
  <c r="X271" i="32"/>
  <c r="Y271" i="32"/>
  <c r="Z271" i="32"/>
  <c r="AA271" i="32"/>
  <c r="R272" i="32"/>
  <c r="S272" i="32"/>
  <c r="T272" i="32"/>
  <c r="U272" i="32"/>
  <c r="V272" i="32"/>
  <c r="W272" i="32"/>
  <c r="X272" i="32"/>
  <c r="Y272" i="32"/>
  <c r="Z272" i="32"/>
  <c r="AA272" i="32"/>
  <c r="R273" i="32"/>
  <c r="S273" i="32"/>
  <c r="T273" i="32"/>
  <c r="U273" i="32"/>
  <c r="V273" i="32"/>
  <c r="W273" i="32"/>
  <c r="X273" i="32"/>
  <c r="Y273" i="32"/>
  <c r="Z273" i="32"/>
  <c r="AA273" i="32"/>
  <c r="R274" i="32"/>
  <c r="S274" i="32"/>
  <c r="T274" i="32"/>
  <c r="U274" i="32"/>
  <c r="V274" i="32"/>
  <c r="W274" i="32"/>
  <c r="X274" i="32"/>
  <c r="Y274" i="32"/>
  <c r="Z274" i="32"/>
  <c r="AA274" i="32"/>
  <c r="R275" i="32"/>
  <c r="S275" i="32"/>
  <c r="T275" i="32"/>
  <c r="U275" i="32"/>
  <c r="V275" i="32"/>
  <c r="W275" i="32"/>
  <c r="X275" i="32"/>
  <c r="Y275" i="32"/>
  <c r="Z275" i="32"/>
  <c r="AA275" i="32"/>
  <c r="R276" i="32"/>
  <c r="S276" i="32"/>
  <c r="T276" i="32"/>
  <c r="U276" i="32"/>
  <c r="V276" i="32"/>
  <c r="W276" i="32"/>
  <c r="X276" i="32"/>
  <c r="Y276" i="32"/>
  <c r="Z276" i="32"/>
  <c r="AA276" i="32"/>
  <c r="AA222" i="32"/>
  <c r="Z222" i="32"/>
  <c r="Y222" i="32"/>
  <c r="X222" i="32"/>
  <c r="W222" i="32"/>
  <c r="V222" i="32"/>
  <c r="U222" i="32"/>
  <c r="T222" i="32"/>
  <c r="S222" i="32"/>
  <c r="R222" i="32"/>
  <c r="C223" i="32"/>
  <c r="D223" i="32"/>
  <c r="E223" i="32"/>
  <c r="G223" i="32"/>
  <c r="H223" i="32"/>
  <c r="I223" i="32"/>
  <c r="K223" i="32"/>
  <c r="C224" i="32"/>
  <c r="D224" i="32"/>
  <c r="E224" i="32"/>
  <c r="G224" i="32"/>
  <c r="H224" i="32"/>
  <c r="I224" i="32"/>
  <c r="K224" i="32"/>
  <c r="C225" i="32"/>
  <c r="D225" i="32"/>
  <c r="E225" i="32"/>
  <c r="G225" i="32"/>
  <c r="H225" i="32"/>
  <c r="I225" i="32"/>
  <c r="K225" i="32"/>
  <c r="C226" i="32"/>
  <c r="D226" i="32"/>
  <c r="E226" i="32"/>
  <c r="G226" i="32"/>
  <c r="H226" i="32"/>
  <c r="I226" i="32"/>
  <c r="K226" i="32"/>
  <c r="C227" i="32"/>
  <c r="D227" i="32"/>
  <c r="E227" i="32"/>
  <c r="G227" i="32"/>
  <c r="H227" i="32"/>
  <c r="I227" i="32"/>
  <c r="K227" i="32"/>
  <c r="C228" i="32"/>
  <c r="D228" i="32"/>
  <c r="E228" i="32"/>
  <c r="G228" i="32"/>
  <c r="H228" i="32"/>
  <c r="I228" i="32"/>
  <c r="K228" i="32"/>
  <c r="C229" i="32"/>
  <c r="D229" i="32"/>
  <c r="E229" i="32"/>
  <c r="G229" i="32"/>
  <c r="H229" i="32"/>
  <c r="I229" i="32"/>
  <c r="K229" i="32"/>
  <c r="C230" i="32"/>
  <c r="D230" i="32"/>
  <c r="E230" i="32"/>
  <c r="G230" i="32"/>
  <c r="H230" i="32"/>
  <c r="I230" i="32"/>
  <c r="K230" i="32"/>
  <c r="C231" i="32"/>
  <c r="D231" i="32"/>
  <c r="E231" i="32"/>
  <c r="G231" i="32"/>
  <c r="H231" i="32"/>
  <c r="I231" i="32"/>
  <c r="K231" i="32"/>
  <c r="C232" i="32"/>
  <c r="D232" i="32"/>
  <c r="E232" i="32"/>
  <c r="G232" i="32"/>
  <c r="H232" i="32"/>
  <c r="I232" i="32"/>
  <c r="K232" i="32"/>
  <c r="C233" i="32"/>
  <c r="D233" i="32"/>
  <c r="E233" i="32"/>
  <c r="G233" i="32"/>
  <c r="H233" i="32"/>
  <c r="I233" i="32"/>
  <c r="K233" i="32"/>
  <c r="C234" i="32"/>
  <c r="D234" i="32"/>
  <c r="E234" i="32"/>
  <c r="G234" i="32"/>
  <c r="H234" i="32"/>
  <c r="I234" i="32"/>
  <c r="K234" i="32"/>
  <c r="C235" i="32"/>
  <c r="D235" i="32"/>
  <c r="E235" i="32"/>
  <c r="G235" i="32"/>
  <c r="H235" i="32"/>
  <c r="I235" i="32"/>
  <c r="K235" i="32"/>
  <c r="C236" i="32"/>
  <c r="D236" i="32"/>
  <c r="E236" i="32"/>
  <c r="G236" i="32"/>
  <c r="H236" i="32"/>
  <c r="I236" i="32"/>
  <c r="K236" i="32"/>
  <c r="C237" i="32"/>
  <c r="D237" i="32"/>
  <c r="E237" i="32"/>
  <c r="G237" i="32"/>
  <c r="H237" i="32"/>
  <c r="I237" i="32"/>
  <c r="K237" i="32"/>
  <c r="C238" i="32"/>
  <c r="D238" i="32"/>
  <c r="E238" i="32"/>
  <c r="G238" i="32"/>
  <c r="H238" i="32"/>
  <c r="I238" i="32"/>
  <c r="K238" i="32"/>
  <c r="C239" i="32"/>
  <c r="D239" i="32"/>
  <c r="E239" i="32"/>
  <c r="G239" i="32"/>
  <c r="H239" i="32"/>
  <c r="I239" i="32"/>
  <c r="K239" i="32"/>
  <c r="C240" i="32"/>
  <c r="D240" i="32"/>
  <c r="E240" i="32"/>
  <c r="G240" i="32"/>
  <c r="H240" i="32"/>
  <c r="I240" i="32"/>
  <c r="K240" i="32"/>
  <c r="C241" i="32"/>
  <c r="D241" i="32"/>
  <c r="E241" i="32"/>
  <c r="G241" i="32"/>
  <c r="H241" i="32"/>
  <c r="I241" i="32"/>
  <c r="K241" i="32"/>
  <c r="C242" i="32"/>
  <c r="D242" i="32"/>
  <c r="E242" i="32"/>
  <c r="G242" i="32"/>
  <c r="H242" i="32"/>
  <c r="I242" i="32"/>
  <c r="K242" i="32"/>
  <c r="C243" i="32"/>
  <c r="D243" i="32"/>
  <c r="E243" i="32"/>
  <c r="G243" i="32"/>
  <c r="H243" i="32"/>
  <c r="I243" i="32"/>
  <c r="K243" i="32"/>
  <c r="C244" i="32"/>
  <c r="D244" i="32"/>
  <c r="E244" i="32"/>
  <c r="G244" i="32"/>
  <c r="H244" i="32"/>
  <c r="I244" i="32"/>
  <c r="K244" i="32"/>
  <c r="C245" i="32"/>
  <c r="D245" i="32"/>
  <c r="E245" i="32"/>
  <c r="G245" i="32"/>
  <c r="H245" i="32"/>
  <c r="I245" i="32"/>
  <c r="K245" i="32"/>
  <c r="C246" i="32"/>
  <c r="D246" i="32"/>
  <c r="E246" i="32"/>
  <c r="G246" i="32"/>
  <c r="H246" i="32"/>
  <c r="I246" i="32"/>
  <c r="K246" i="32"/>
  <c r="C247" i="32"/>
  <c r="D247" i="32"/>
  <c r="E247" i="32"/>
  <c r="G247" i="32"/>
  <c r="H247" i="32"/>
  <c r="I247" i="32"/>
  <c r="K247" i="32"/>
  <c r="C248" i="32"/>
  <c r="D248" i="32"/>
  <c r="E248" i="32"/>
  <c r="G248" i="32"/>
  <c r="H248" i="32"/>
  <c r="I248" i="32"/>
  <c r="K248" i="32"/>
  <c r="C249" i="32"/>
  <c r="D249" i="32"/>
  <c r="E249" i="32"/>
  <c r="G249" i="32"/>
  <c r="H249" i="32"/>
  <c r="I249" i="32"/>
  <c r="K249" i="32"/>
  <c r="C250" i="32"/>
  <c r="D250" i="32"/>
  <c r="E250" i="32"/>
  <c r="G250" i="32"/>
  <c r="H250" i="32"/>
  <c r="I250" i="32"/>
  <c r="K250" i="32"/>
  <c r="C251" i="32"/>
  <c r="D251" i="32"/>
  <c r="E251" i="32"/>
  <c r="G251" i="32"/>
  <c r="H251" i="32"/>
  <c r="I251" i="32"/>
  <c r="K251" i="32"/>
  <c r="C252" i="32"/>
  <c r="D252" i="32"/>
  <c r="E252" i="32"/>
  <c r="F252" i="32"/>
  <c r="G252" i="32"/>
  <c r="H252" i="32"/>
  <c r="I252" i="32"/>
  <c r="K252" i="32"/>
  <c r="L252" i="32"/>
  <c r="C253" i="32"/>
  <c r="D253" i="32"/>
  <c r="E253" i="32"/>
  <c r="F253" i="32"/>
  <c r="G253" i="32"/>
  <c r="H253" i="32"/>
  <c r="I253" i="32"/>
  <c r="K253" i="32"/>
  <c r="L253" i="32"/>
  <c r="C254" i="32"/>
  <c r="D254" i="32"/>
  <c r="E254" i="32"/>
  <c r="F254" i="32"/>
  <c r="G254" i="32"/>
  <c r="H254" i="32"/>
  <c r="I254" i="32"/>
  <c r="K254" i="32"/>
  <c r="L254" i="32"/>
  <c r="C255" i="32"/>
  <c r="D255" i="32"/>
  <c r="E255" i="32"/>
  <c r="F255" i="32"/>
  <c r="G255" i="32"/>
  <c r="H255" i="32"/>
  <c r="I255" i="32"/>
  <c r="K255" i="32"/>
  <c r="L255" i="32"/>
  <c r="C256" i="32"/>
  <c r="D256" i="32"/>
  <c r="E256" i="32"/>
  <c r="F256" i="32"/>
  <c r="G256" i="32"/>
  <c r="H256" i="32"/>
  <c r="I256" i="32"/>
  <c r="K256" i="32"/>
  <c r="L256" i="32"/>
  <c r="C257" i="32"/>
  <c r="D257" i="32"/>
  <c r="E257" i="32"/>
  <c r="F257" i="32"/>
  <c r="G257" i="32"/>
  <c r="H257" i="32"/>
  <c r="I257" i="32"/>
  <c r="K257" i="32"/>
  <c r="L257" i="32"/>
  <c r="C258" i="32"/>
  <c r="D258" i="32"/>
  <c r="E258" i="32"/>
  <c r="F258" i="32"/>
  <c r="G258" i="32"/>
  <c r="H258" i="32"/>
  <c r="I258" i="32"/>
  <c r="K258" i="32"/>
  <c r="L258" i="32"/>
  <c r="C259" i="32"/>
  <c r="D259" i="32"/>
  <c r="E259" i="32"/>
  <c r="F259" i="32"/>
  <c r="G259" i="32"/>
  <c r="H259" i="32"/>
  <c r="I259" i="32"/>
  <c r="K259" i="32"/>
  <c r="L259" i="32"/>
  <c r="C260" i="32"/>
  <c r="D260" i="32"/>
  <c r="E260" i="32"/>
  <c r="F260" i="32"/>
  <c r="G260" i="32"/>
  <c r="H260" i="32"/>
  <c r="I260" i="32"/>
  <c r="K260" i="32"/>
  <c r="L260" i="32"/>
  <c r="C261" i="32"/>
  <c r="D261" i="32"/>
  <c r="E261" i="32"/>
  <c r="F261" i="32"/>
  <c r="G261" i="32"/>
  <c r="H261" i="32"/>
  <c r="I261" i="32"/>
  <c r="K261" i="32"/>
  <c r="L261" i="32"/>
  <c r="C262" i="32"/>
  <c r="D262" i="32"/>
  <c r="E262" i="32"/>
  <c r="F262" i="32"/>
  <c r="G262" i="32"/>
  <c r="H262" i="32"/>
  <c r="I262" i="32"/>
  <c r="K262" i="32"/>
  <c r="L262" i="32"/>
  <c r="C263" i="32"/>
  <c r="D263" i="32"/>
  <c r="E263" i="32"/>
  <c r="F263" i="32"/>
  <c r="G263" i="32"/>
  <c r="H263" i="32"/>
  <c r="I263" i="32"/>
  <c r="K263" i="32"/>
  <c r="L263" i="32"/>
  <c r="C264" i="32"/>
  <c r="D264" i="32"/>
  <c r="E264" i="32"/>
  <c r="F264" i="32"/>
  <c r="G264" i="32"/>
  <c r="H264" i="32"/>
  <c r="I264" i="32"/>
  <c r="K264" i="32"/>
  <c r="L264" i="32"/>
  <c r="C265" i="32"/>
  <c r="D265" i="32"/>
  <c r="E265" i="32"/>
  <c r="F265" i="32"/>
  <c r="G265" i="32"/>
  <c r="H265" i="32"/>
  <c r="I265" i="32"/>
  <c r="K265" i="32"/>
  <c r="L265" i="32"/>
  <c r="C266" i="32"/>
  <c r="D266" i="32"/>
  <c r="E266" i="32"/>
  <c r="F266" i="32"/>
  <c r="G266" i="32"/>
  <c r="H266" i="32"/>
  <c r="I266" i="32"/>
  <c r="K266" i="32"/>
  <c r="L266" i="32"/>
  <c r="C267" i="32"/>
  <c r="D267" i="32"/>
  <c r="E267" i="32"/>
  <c r="F267" i="32"/>
  <c r="G267" i="32"/>
  <c r="H267" i="32"/>
  <c r="I267" i="32"/>
  <c r="K267" i="32"/>
  <c r="L267" i="32"/>
  <c r="C268" i="32"/>
  <c r="D268" i="32"/>
  <c r="E268" i="32"/>
  <c r="F268" i="32"/>
  <c r="G268" i="32"/>
  <c r="H268" i="32"/>
  <c r="I268" i="32"/>
  <c r="K268" i="32"/>
  <c r="L268" i="32"/>
  <c r="C269" i="32"/>
  <c r="D269" i="32"/>
  <c r="E269" i="32"/>
  <c r="F269" i="32"/>
  <c r="G269" i="32"/>
  <c r="H269" i="32"/>
  <c r="I269" i="32"/>
  <c r="K269" i="32"/>
  <c r="L269" i="32"/>
  <c r="C270" i="32"/>
  <c r="D270" i="32"/>
  <c r="E270" i="32"/>
  <c r="F270" i="32"/>
  <c r="G270" i="32"/>
  <c r="H270" i="32"/>
  <c r="I270" i="32"/>
  <c r="K270" i="32"/>
  <c r="L270" i="32"/>
  <c r="C271" i="32"/>
  <c r="D271" i="32"/>
  <c r="E271" i="32"/>
  <c r="F271" i="32"/>
  <c r="G271" i="32"/>
  <c r="H271" i="32"/>
  <c r="I271" i="32"/>
  <c r="K271" i="32"/>
  <c r="L271" i="32"/>
  <c r="C272" i="32"/>
  <c r="D272" i="32"/>
  <c r="E272" i="32"/>
  <c r="F272" i="32"/>
  <c r="G272" i="32"/>
  <c r="H272" i="32"/>
  <c r="I272" i="32"/>
  <c r="K272" i="32"/>
  <c r="L272" i="32"/>
  <c r="C273" i="32"/>
  <c r="D273" i="32"/>
  <c r="E273" i="32"/>
  <c r="F273" i="32"/>
  <c r="G273" i="32"/>
  <c r="H273" i="32"/>
  <c r="I273" i="32"/>
  <c r="K273" i="32"/>
  <c r="L273" i="32"/>
  <c r="C274" i="32"/>
  <c r="D274" i="32"/>
  <c r="E274" i="32"/>
  <c r="F274" i="32"/>
  <c r="G274" i="32"/>
  <c r="H274" i="32"/>
  <c r="I274" i="32"/>
  <c r="K274" i="32"/>
  <c r="L274" i="32"/>
  <c r="C275" i="32"/>
  <c r="D275" i="32"/>
  <c r="E275" i="32"/>
  <c r="F275" i="32"/>
  <c r="G275" i="32"/>
  <c r="H275" i="32"/>
  <c r="I275" i="32"/>
  <c r="K275" i="32"/>
  <c r="L275" i="32"/>
  <c r="C276" i="32"/>
  <c r="D276" i="32"/>
  <c r="E276" i="32"/>
  <c r="F276" i="32"/>
  <c r="G276" i="32"/>
  <c r="H276" i="32"/>
  <c r="K276" i="32"/>
  <c r="L276" i="32"/>
  <c r="K222" i="32"/>
  <c r="I222" i="32"/>
  <c r="H222" i="32"/>
  <c r="G222" i="32"/>
  <c r="E222" i="32"/>
  <c r="D222" i="32"/>
  <c r="C222" i="32"/>
  <c r="R168" i="32"/>
  <c r="S168" i="32"/>
  <c r="T168" i="32"/>
  <c r="U168" i="32"/>
  <c r="V168" i="32"/>
  <c r="W168" i="32"/>
  <c r="X168" i="32"/>
  <c r="Y168" i="32"/>
  <c r="Z168" i="32"/>
  <c r="AA168" i="32"/>
  <c r="R169" i="32"/>
  <c r="S169" i="32"/>
  <c r="T169" i="32"/>
  <c r="U169" i="32"/>
  <c r="V169" i="32"/>
  <c r="W169" i="32"/>
  <c r="X169" i="32"/>
  <c r="Y169" i="32"/>
  <c r="Z169" i="32"/>
  <c r="AA169" i="32"/>
  <c r="R170" i="32"/>
  <c r="S170" i="32"/>
  <c r="T170" i="32"/>
  <c r="U170" i="32"/>
  <c r="V170" i="32"/>
  <c r="W170" i="32"/>
  <c r="X170" i="32"/>
  <c r="Y170" i="32"/>
  <c r="Z170" i="32"/>
  <c r="AA170" i="32"/>
  <c r="R171" i="32"/>
  <c r="S171" i="32"/>
  <c r="T171" i="32"/>
  <c r="U171" i="32"/>
  <c r="V171" i="32"/>
  <c r="W171" i="32"/>
  <c r="X171" i="32"/>
  <c r="Y171" i="32"/>
  <c r="Z171" i="32"/>
  <c r="AA171" i="32"/>
  <c r="R172" i="32"/>
  <c r="S172" i="32"/>
  <c r="T172" i="32"/>
  <c r="U172" i="32"/>
  <c r="V172" i="32"/>
  <c r="W172" i="32"/>
  <c r="X172" i="32"/>
  <c r="Y172" i="32"/>
  <c r="Z172" i="32"/>
  <c r="AA172" i="32"/>
  <c r="R173" i="32"/>
  <c r="S173" i="32"/>
  <c r="T173" i="32"/>
  <c r="U173" i="32"/>
  <c r="V173" i="32"/>
  <c r="W173" i="32"/>
  <c r="X173" i="32"/>
  <c r="Y173" i="32"/>
  <c r="Z173" i="32"/>
  <c r="AA173" i="32"/>
  <c r="R174" i="32"/>
  <c r="S174" i="32"/>
  <c r="T174" i="32"/>
  <c r="U174" i="32"/>
  <c r="V174" i="32"/>
  <c r="W174" i="32"/>
  <c r="X174" i="32"/>
  <c r="Y174" i="32"/>
  <c r="Z174" i="32"/>
  <c r="AA174" i="32"/>
  <c r="R175" i="32"/>
  <c r="S175" i="32"/>
  <c r="T175" i="32"/>
  <c r="U175" i="32"/>
  <c r="V175" i="32"/>
  <c r="W175" i="32"/>
  <c r="X175" i="32"/>
  <c r="Y175" i="32"/>
  <c r="Z175" i="32"/>
  <c r="AA175" i="32"/>
  <c r="R176" i="32"/>
  <c r="S176" i="32"/>
  <c r="T176" i="32"/>
  <c r="U176" i="32"/>
  <c r="V176" i="32"/>
  <c r="W176" i="32"/>
  <c r="X176" i="32"/>
  <c r="Y176" i="32"/>
  <c r="Z176" i="32"/>
  <c r="AA176" i="32"/>
  <c r="R177" i="32"/>
  <c r="S177" i="32"/>
  <c r="T177" i="32"/>
  <c r="U177" i="32"/>
  <c r="V177" i="32"/>
  <c r="W177" i="32"/>
  <c r="X177" i="32"/>
  <c r="Y177" i="32"/>
  <c r="Z177" i="32"/>
  <c r="AA177" i="32"/>
  <c r="R178" i="32"/>
  <c r="S178" i="32"/>
  <c r="T178" i="32"/>
  <c r="U178" i="32"/>
  <c r="V178" i="32"/>
  <c r="W178" i="32"/>
  <c r="X178" i="32"/>
  <c r="Y178" i="32"/>
  <c r="Z178" i="32"/>
  <c r="AA178" i="32"/>
  <c r="R179" i="32"/>
  <c r="S179" i="32"/>
  <c r="T179" i="32"/>
  <c r="U179" i="32"/>
  <c r="V179" i="32"/>
  <c r="W179" i="32"/>
  <c r="X179" i="32"/>
  <c r="Y179" i="32"/>
  <c r="Z179" i="32"/>
  <c r="AA179" i="32"/>
  <c r="R180" i="32"/>
  <c r="S180" i="32"/>
  <c r="T180" i="32"/>
  <c r="U180" i="32"/>
  <c r="V180" i="32"/>
  <c r="W180" i="32"/>
  <c r="X180" i="32"/>
  <c r="Y180" i="32"/>
  <c r="Z180" i="32"/>
  <c r="AA180" i="32"/>
  <c r="R181" i="32"/>
  <c r="S181" i="32"/>
  <c r="T181" i="32"/>
  <c r="U181" i="32"/>
  <c r="V181" i="32"/>
  <c r="W181" i="32"/>
  <c r="X181" i="32"/>
  <c r="Y181" i="32"/>
  <c r="Z181" i="32"/>
  <c r="AA181" i="32"/>
  <c r="R182" i="32"/>
  <c r="S182" i="32"/>
  <c r="T182" i="32"/>
  <c r="U182" i="32"/>
  <c r="V182" i="32"/>
  <c r="W182" i="32"/>
  <c r="X182" i="32"/>
  <c r="Y182" i="32"/>
  <c r="Z182" i="32"/>
  <c r="AA182" i="32"/>
  <c r="R183" i="32"/>
  <c r="S183" i="32"/>
  <c r="T183" i="32"/>
  <c r="U183" i="32"/>
  <c r="V183" i="32"/>
  <c r="W183" i="32"/>
  <c r="X183" i="32"/>
  <c r="Y183" i="32"/>
  <c r="Z183" i="32"/>
  <c r="AA183" i="32"/>
  <c r="R184" i="32"/>
  <c r="S184" i="32"/>
  <c r="T184" i="32"/>
  <c r="U184" i="32"/>
  <c r="V184" i="32"/>
  <c r="W184" i="32"/>
  <c r="X184" i="32"/>
  <c r="Y184" i="32"/>
  <c r="Z184" i="32"/>
  <c r="AA184" i="32"/>
  <c r="R185" i="32"/>
  <c r="S185" i="32"/>
  <c r="T185" i="32"/>
  <c r="U185" i="32"/>
  <c r="V185" i="32"/>
  <c r="W185" i="32"/>
  <c r="X185" i="32"/>
  <c r="Y185" i="32"/>
  <c r="Z185" i="32"/>
  <c r="AA185" i="32"/>
  <c r="R186" i="32"/>
  <c r="S186" i="32"/>
  <c r="T186" i="32"/>
  <c r="U186" i="32"/>
  <c r="V186" i="32"/>
  <c r="W186" i="32"/>
  <c r="X186" i="32"/>
  <c r="Y186" i="32"/>
  <c r="Z186" i="32"/>
  <c r="AA186" i="32"/>
  <c r="R187" i="32"/>
  <c r="S187" i="32"/>
  <c r="T187" i="32"/>
  <c r="U187" i="32"/>
  <c r="V187" i="32"/>
  <c r="W187" i="32"/>
  <c r="X187" i="32"/>
  <c r="Y187" i="32"/>
  <c r="Z187" i="32"/>
  <c r="AA187" i="32"/>
  <c r="R188" i="32"/>
  <c r="S188" i="32"/>
  <c r="T188" i="32"/>
  <c r="U188" i="32"/>
  <c r="V188" i="32"/>
  <c r="W188" i="32"/>
  <c r="X188" i="32"/>
  <c r="Y188" i="32"/>
  <c r="Z188" i="32"/>
  <c r="AA188" i="32"/>
  <c r="R189" i="32"/>
  <c r="S189" i="32"/>
  <c r="T189" i="32"/>
  <c r="U189" i="32"/>
  <c r="V189" i="32"/>
  <c r="W189" i="32"/>
  <c r="X189" i="32"/>
  <c r="Y189" i="32"/>
  <c r="Z189" i="32"/>
  <c r="AA189" i="32"/>
  <c r="R190" i="32"/>
  <c r="S190" i="32"/>
  <c r="T190" i="32"/>
  <c r="U190" i="32"/>
  <c r="V190" i="32"/>
  <c r="W190" i="32"/>
  <c r="X190" i="32"/>
  <c r="Y190" i="32"/>
  <c r="Z190" i="32"/>
  <c r="AA190" i="32"/>
  <c r="R191" i="32"/>
  <c r="S191" i="32"/>
  <c r="T191" i="32"/>
  <c r="U191" i="32"/>
  <c r="V191" i="32"/>
  <c r="W191" i="32"/>
  <c r="X191" i="32"/>
  <c r="Y191" i="32"/>
  <c r="Z191" i="32"/>
  <c r="AA191" i="32"/>
  <c r="R192" i="32"/>
  <c r="S192" i="32"/>
  <c r="T192" i="32"/>
  <c r="U192" i="32"/>
  <c r="V192" i="32"/>
  <c r="W192" i="32"/>
  <c r="X192" i="32"/>
  <c r="Y192" i="32"/>
  <c r="Z192" i="32"/>
  <c r="AA192" i="32"/>
  <c r="R193" i="32"/>
  <c r="S193" i="32"/>
  <c r="T193" i="32"/>
  <c r="U193" i="32"/>
  <c r="V193" i="32"/>
  <c r="W193" i="32"/>
  <c r="X193" i="32"/>
  <c r="Y193" i="32"/>
  <c r="Z193" i="32"/>
  <c r="AA193" i="32"/>
  <c r="R194" i="32"/>
  <c r="S194" i="32"/>
  <c r="T194" i="32"/>
  <c r="U194" i="32"/>
  <c r="V194" i="32"/>
  <c r="W194" i="32"/>
  <c r="X194" i="32"/>
  <c r="Y194" i="32"/>
  <c r="Z194" i="32"/>
  <c r="AA194" i="32"/>
  <c r="R195" i="32"/>
  <c r="S195" i="32"/>
  <c r="T195" i="32"/>
  <c r="U195" i="32"/>
  <c r="V195" i="32"/>
  <c r="W195" i="32"/>
  <c r="X195" i="32"/>
  <c r="Y195" i="32"/>
  <c r="Z195" i="32"/>
  <c r="AA195" i="32"/>
  <c r="R196" i="32"/>
  <c r="S196" i="32"/>
  <c r="T196" i="32"/>
  <c r="U196" i="32"/>
  <c r="V196" i="32"/>
  <c r="W196" i="32"/>
  <c r="X196" i="32"/>
  <c r="Y196" i="32"/>
  <c r="Z196" i="32"/>
  <c r="AA196" i="32"/>
  <c r="R197" i="32"/>
  <c r="S197" i="32"/>
  <c r="T197" i="32"/>
  <c r="U197" i="32"/>
  <c r="V197" i="32"/>
  <c r="W197" i="32"/>
  <c r="X197" i="32"/>
  <c r="Y197" i="32"/>
  <c r="Z197" i="32"/>
  <c r="AA197" i="32"/>
  <c r="R198" i="32"/>
  <c r="S198" i="32"/>
  <c r="T198" i="32"/>
  <c r="U198" i="32"/>
  <c r="V198" i="32"/>
  <c r="W198" i="32"/>
  <c r="X198" i="32"/>
  <c r="Y198" i="32"/>
  <c r="Z198" i="32"/>
  <c r="AA198" i="32"/>
  <c r="R199" i="32"/>
  <c r="S199" i="32"/>
  <c r="T199" i="32"/>
  <c r="U199" i="32"/>
  <c r="V199" i="32"/>
  <c r="W199" i="32"/>
  <c r="X199" i="32"/>
  <c r="Y199" i="32"/>
  <c r="Z199" i="32"/>
  <c r="AA199" i="32"/>
  <c r="R200" i="32"/>
  <c r="S200" i="32"/>
  <c r="T200" i="32"/>
  <c r="U200" i="32"/>
  <c r="V200" i="32"/>
  <c r="W200" i="32"/>
  <c r="X200" i="32"/>
  <c r="Y200" i="32"/>
  <c r="Z200" i="32"/>
  <c r="AA200" i="32"/>
  <c r="R201" i="32"/>
  <c r="S201" i="32"/>
  <c r="T201" i="32"/>
  <c r="U201" i="32"/>
  <c r="V201" i="32"/>
  <c r="W201" i="32"/>
  <c r="X201" i="32"/>
  <c r="Y201" i="32"/>
  <c r="Z201" i="32"/>
  <c r="AA201" i="32"/>
  <c r="R202" i="32"/>
  <c r="S202" i="32"/>
  <c r="T202" i="32"/>
  <c r="U202" i="32"/>
  <c r="V202" i="32"/>
  <c r="W202" i="32"/>
  <c r="X202" i="32"/>
  <c r="Y202" i="32"/>
  <c r="Z202" i="32"/>
  <c r="AA202" i="32"/>
  <c r="R203" i="32"/>
  <c r="S203" i="32"/>
  <c r="T203" i="32"/>
  <c r="U203" i="32"/>
  <c r="V203" i="32"/>
  <c r="W203" i="32"/>
  <c r="X203" i="32"/>
  <c r="Y203" i="32"/>
  <c r="Z203" i="32"/>
  <c r="AA203" i="32"/>
  <c r="R204" i="32"/>
  <c r="S204" i="32"/>
  <c r="T204" i="32"/>
  <c r="U204" i="32"/>
  <c r="V204" i="32"/>
  <c r="W204" i="32"/>
  <c r="X204" i="32"/>
  <c r="Y204" i="32"/>
  <c r="Z204" i="32"/>
  <c r="AA204" i="32"/>
  <c r="R205" i="32"/>
  <c r="S205" i="32"/>
  <c r="T205" i="32"/>
  <c r="U205" i="32"/>
  <c r="V205" i="32"/>
  <c r="W205" i="32"/>
  <c r="X205" i="32"/>
  <c r="Y205" i="32"/>
  <c r="Z205" i="32"/>
  <c r="AA205" i="32"/>
  <c r="R206" i="32"/>
  <c r="S206" i="32"/>
  <c r="T206" i="32"/>
  <c r="U206" i="32"/>
  <c r="V206" i="32"/>
  <c r="W206" i="32"/>
  <c r="X206" i="32"/>
  <c r="Y206" i="32"/>
  <c r="Z206" i="32"/>
  <c r="AA206" i="32"/>
  <c r="R207" i="32"/>
  <c r="S207" i="32"/>
  <c r="T207" i="32"/>
  <c r="U207" i="32"/>
  <c r="V207" i="32"/>
  <c r="W207" i="32"/>
  <c r="X207" i="32"/>
  <c r="Y207" i="32"/>
  <c r="Z207" i="32"/>
  <c r="AA207" i="32"/>
  <c r="R208" i="32"/>
  <c r="S208" i="32"/>
  <c r="T208" i="32"/>
  <c r="U208" i="32"/>
  <c r="V208" i="32"/>
  <c r="W208" i="32"/>
  <c r="X208" i="32"/>
  <c r="Y208" i="32"/>
  <c r="Z208" i="32"/>
  <c r="AA208" i="32"/>
  <c r="R209" i="32"/>
  <c r="S209" i="32"/>
  <c r="T209" i="32"/>
  <c r="U209" i="32"/>
  <c r="V209" i="32"/>
  <c r="W209" i="32"/>
  <c r="X209" i="32"/>
  <c r="Y209" i="32"/>
  <c r="Z209" i="32"/>
  <c r="AA209" i="32"/>
  <c r="R210" i="32"/>
  <c r="S210" i="32"/>
  <c r="T210" i="32"/>
  <c r="U210" i="32"/>
  <c r="V210" i="32"/>
  <c r="W210" i="32"/>
  <c r="X210" i="32"/>
  <c r="Y210" i="32"/>
  <c r="Z210" i="32"/>
  <c r="AA210" i="32"/>
  <c r="R211" i="32"/>
  <c r="S211" i="32"/>
  <c r="T211" i="32"/>
  <c r="U211" i="32"/>
  <c r="V211" i="32"/>
  <c r="W211" i="32"/>
  <c r="X211" i="32"/>
  <c r="Y211" i="32"/>
  <c r="Z211" i="32"/>
  <c r="AA211" i="32"/>
  <c r="R212" i="32"/>
  <c r="S212" i="32"/>
  <c r="T212" i="32"/>
  <c r="U212" i="32"/>
  <c r="V212" i="32"/>
  <c r="W212" i="32"/>
  <c r="X212" i="32"/>
  <c r="Y212" i="32"/>
  <c r="Z212" i="32"/>
  <c r="AA212" i="32"/>
  <c r="R213" i="32"/>
  <c r="S213" i="32"/>
  <c r="T213" i="32"/>
  <c r="U213" i="32"/>
  <c r="V213" i="32"/>
  <c r="W213" i="32"/>
  <c r="X213" i="32"/>
  <c r="Y213" i="32"/>
  <c r="Z213" i="32"/>
  <c r="AA213" i="32"/>
  <c r="R214" i="32"/>
  <c r="S214" i="32"/>
  <c r="T214" i="32"/>
  <c r="U214" i="32"/>
  <c r="V214" i="32"/>
  <c r="W214" i="32"/>
  <c r="X214" i="32"/>
  <c r="Y214" i="32"/>
  <c r="Z214" i="32"/>
  <c r="AA214" i="32"/>
  <c r="R215" i="32"/>
  <c r="S215" i="32"/>
  <c r="T215" i="32"/>
  <c r="U215" i="32"/>
  <c r="V215" i="32"/>
  <c r="W215" i="32"/>
  <c r="X215" i="32"/>
  <c r="Y215" i="32"/>
  <c r="Z215" i="32"/>
  <c r="AA215" i="32"/>
  <c r="R216" i="32"/>
  <c r="S216" i="32"/>
  <c r="T216" i="32"/>
  <c r="U216" i="32"/>
  <c r="V216" i="32"/>
  <c r="W216" i="32"/>
  <c r="X216" i="32"/>
  <c r="Y216" i="32"/>
  <c r="Z216" i="32"/>
  <c r="AA216" i="32"/>
  <c r="R217" i="32"/>
  <c r="S217" i="32"/>
  <c r="T217" i="32"/>
  <c r="U217" i="32"/>
  <c r="V217" i="32"/>
  <c r="W217" i="32"/>
  <c r="X217" i="32"/>
  <c r="Y217" i="32"/>
  <c r="Z217" i="32"/>
  <c r="AA217" i="32"/>
  <c r="R218" i="32"/>
  <c r="S218" i="32"/>
  <c r="T218" i="32"/>
  <c r="U218" i="32"/>
  <c r="V218" i="32"/>
  <c r="W218" i="32"/>
  <c r="X218" i="32"/>
  <c r="Y218" i="32"/>
  <c r="Z218" i="32"/>
  <c r="AA218" i="32"/>
  <c r="R219" i="32"/>
  <c r="S219" i="32"/>
  <c r="T219" i="32"/>
  <c r="U219" i="32"/>
  <c r="V219" i="32"/>
  <c r="W219" i="32"/>
  <c r="X219" i="32"/>
  <c r="Y219" i="32"/>
  <c r="Z219" i="32"/>
  <c r="AA219" i="32"/>
  <c r="R220" i="32"/>
  <c r="S220" i="32"/>
  <c r="T220" i="32"/>
  <c r="U220" i="32"/>
  <c r="V220" i="32"/>
  <c r="W220" i="32"/>
  <c r="X220" i="32"/>
  <c r="Y220" i="32"/>
  <c r="Z220" i="32"/>
  <c r="AA220" i="32"/>
  <c r="R221" i="32"/>
  <c r="S221" i="32"/>
  <c r="T221" i="32"/>
  <c r="U221" i="32"/>
  <c r="V221" i="32"/>
  <c r="W221" i="32"/>
  <c r="X221" i="32"/>
  <c r="Y221" i="32"/>
  <c r="Z221" i="32"/>
  <c r="AA221" i="32"/>
  <c r="AA167" i="32"/>
  <c r="Z167" i="32"/>
  <c r="Y167" i="32"/>
  <c r="X167" i="32"/>
  <c r="W167" i="32"/>
  <c r="V167" i="32"/>
  <c r="U167" i="32"/>
  <c r="T167" i="32"/>
  <c r="S167" i="32"/>
  <c r="R167" i="32"/>
  <c r="C168" i="32"/>
  <c r="D168" i="32"/>
  <c r="E168" i="32"/>
  <c r="G168" i="32"/>
  <c r="H168" i="32"/>
  <c r="I168" i="32"/>
  <c r="K168" i="32"/>
  <c r="C169" i="32"/>
  <c r="D169" i="32"/>
  <c r="E169" i="32"/>
  <c r="G169" i="32"/>
  <c r="H169" i="32"/>
  <c r="I169" i="32"/>
  <c r="K169" i="32"/>
  <c r="C170" i="32"/>
  <c r="D170" i="32"/>
  <c r="E170" i="32"/>
  <c r="G170" i="32"/>
  <c r="H170" i="32"/>
  <c r="I170" i="32"/>
  <c r="K170" i="32"/>
  <c r="C171" i="32"/>
  <c r="D171" i="32"/>
  <c r="E171" i="32"/>
  <c r="G171" i="32"/>
  <c r="H171" i="32"/>
  <c r="I171" i="32"/>
  <c r="K171" i="32"/>
  <c r="C172" i="32"/>
  <c r="D172" i="32"/>
  <c r="E172" i="32"/>
  <c r="G172" i="32"/>
  <c r="H172" i="32"/>
  <c r="I172" i="32"/>
  <c r="K172" i="32"/>
  <c r="C173" i="32"/>
  <c r="D173" i="32"/>
  <c r="E173" i="32"/>
  <c r="G173" i="32"/>
  <c r="H173" i="32"/>
  <c r="I173" i="32"/>
  <c r="K173" i="32"/>
  <c r="C174" i="32"/>
  <c r="D174" i="32"/>
  <c r="E174" i="32"/>
  <c r="G174" i="32"/>
  <c r="H174" i="32"/>
  <c r="I174" i="32"/>
  <c r="K174" i="32"/>
  <c r="C175" i="32"/>
  <c r="D175" i="32"/>
  <c r="E175" i="32"/>
  <c r="G175" i="32"/>
  <c r="H175" i="32"/>
  <c r="I175" i="32"/>
  <c r="K175" i="32"/>
  <c r="C176" i="32"/>
  <c r="D176" i="32"/>
  <c r="E176" i="32"/>
  <c r="G176" i="32"/>
  <c r="H176" i="32"/>
  <c r="I176" i="32"/>
  <c r="K176" i="32"/>
  <c r="C177" i="32"/>
  <c r="D177" i="32"/>
  <c r="E177" i="32"/>
  <c r="G177" i="32"/>
  <c r="H177" i="32"/>
  <c r="I177" i="32"/>
  <c r="K177" i="32"/>
  <c r="C178" i="32"/>
  <c r="D178" i="32"/>
  <c r="E178" i="32"/>
  <c r="F178" i="32"/>
  <c r="G178" i="32"/>
  <c r="H178" i="32"/>
  <c r="I178" i="32"/>
  <c r="K178" i="32"/>
  <c r="C179" i="32"/>
  <c r="D179" i="32"/>
  <c r="E179" i="32"/>
  <c r="G179" i="32"/>
  <c r="H179" i="32"/>
  <c r="I179" i="32"/>
  <c r="K179" i="32"/>
  <c r="C180" i="32"/>
  <c r="D180" i="32"/>
  <c r="E180" i="32"/>
  <c r="G180" i="32"/>
  <c r="H180" i="32"/>
  <c r="I180" i="32"/>
  <c r="K180" i="32"/>
  <c r="C181" i="32"/>
  <c r="D181" i="32"/>
  <c r="E181" i="32"/>
  <c r="G181" i="32"/>
  <c r="H181" i="32"/>
  <c r="I181" i="32"/>
  <c r="K181" i="32"/>
  <c r="C182" i="32"/>
  <c r="D182" i="32"/>
  <c r="E182" i="32"/>
  <c r="G182" i="32"/>
  <c r="H182" i="32"/>
  <c r="I182" i="32"/>
  <c r="K182" i="32"/>
  <c r="C183" i="32"/>
  <c r="D183" i="32"/>
  <c r="E183" i="32"/>
  <c r="G183" i="32"/>
  <c r="H183" i="32"/>
  <c r="I183" i="32"/>
  <c r="K183" i="32"/>
  <c r="C184" i="32"/>
  <c r="D184" i="32"/>
  <c r="E184" i="32"/>
  <c r="G184" i="32"/>
  <c r="H184" i="32"/>
  <c r="I184" i="32"/>
  <c r="K184" i="32"/>
  <c r="C185" i="32"/>
  <c r="D185" i="32"/>
  <c r="E185" i="32"/>
  <c r="G185" i="32"/>
  <c r="H185" i="32"/>
  <c r="I185" i="32"/>
  <c r="K185" i="32"/>
  <c r="C186" i="32"/>
  <c r="D186" i="32"/>
  <c r="E186" i="32"/>
  <c r="G186" i="32"/>
  <c r="H186" i="32"/>
  <c r="I186" i="32"/>
  <c r="K186" i="32"/>
  <c r="C187" i="32"/>
  <c r="D187" i="32"/>
  <c r="E187" i="32"/>
  <c r="G187" i="32"/>
  <c r="H187" i="32"/>
  <c r="I187" i="32"/>
  <c r="K187" i="32"/>
  <c r="C188" i="32"/>
  <c r="D188" i="32"/>
  <c r="E188" i="32"/>
  <c r="G188" i="32"/>
  <c r="H188" i="32"/>
  <c r="I188" i="32"/>
  <c r="K188" i="32"/>
  <c r="C189" i="32"/>
  <c r="D189" i="32"/>
  <c r="E189" i="32"/>
  <c r="G189" i="32"/>
  <c r="H189" i="32"/>
  <c r="I189" i="32"/>
  <c r="K189" i="32"/>
  <c r="C190" i="32"/>
  <c r="D190" i="32"/>
  <c r="E190" i="32"/>
  <c r="G190" i="32"/>
  <c r="H190" i="32"/>
  <c r="I190" i="32"/>
  <c r="K190" i="32"/>
  <c r="C191" i="32"/>
  <c r="D191" i="32"/>
  <c r="E191" i="32"/>
  <c r="G191" i="32"/>
  <c r="H191" i="32"/>
  <c r="I191" i="32"/>
  <c r="K191" i="32"/>
  <c r="C192" i="32"/>
  <c r="D192" i="32"/>
  <c r="E192" i="32"/>
  <c r="G192" i="32"/>
  <c r="H192" i="32"/>
  <c r="I192" i="32"/>
  <c r="K192" i="32"/>
  <c r="C193" i="32"/>
  <c r="D193" i="32"/>
  <c r="E193" i="32"/>
  <c r="G193" i="32"/>
  <c r="H193" i="32"/>
  <c r="I193" i="32"/>
  <c r="K193" i="32"/>
  <c r="C194" i="32"/>
  <c r="D194" i="32"/>
  <c r="E194" i="32"/>
  <c r="G194" i="32"/>
  <c r="H194" i="32"/>
  <c r="I194" i="32"/>
  <c r="K194" i="32"/>
  <c r="C195" i="32"/>
  <c r="D195" i="32"/>
  <c r="E195" i="32"/>
  <c r="G195" i="32"/>
  <c r="H195" i="32"/>
  <c r="I195" i="32"/>
  <c r="K195" i="32"/>
  <c r="C196" i="32"/>
  <c r="D196" i="32"/>
  <c r="E196" i="32"/>
  <c r="G196" i="32"/>
  <c r="H196" i="32"/>
  <c r="I196" i="32"/>
  <c r="K196" i="32"/>
  <c r="C197" i="32"/>
  <c r="D197" i="32"/>
  <c r="E197" i="32"/>
  <c r="F197" i="32"/>
  <c r="G197" i="32"/>
  <c r="H197" i="32"/>
  <c r="I197" i="32"/>
  <c r="K197" i="32"/>
  <c r="L197" i="32"/>
  <c r="N197" i="32"/>
  <c r="C198" i="32"/>
  <c r="D198" i="32"/>
  <c r="E198" i="32"/>
  <c r="F198" i="32"/>
  <c r="G198" i="32"/>
  <c r="H198" i="32"/>
  <c r="I198" i="32"/>
  <c r="K198" i="32"/>
  <c r="L198" i="32"/>
  <c r="N198" i="32"/>
  <c r="C199" i="32"/>
  <c r="D199" i="32"/>
  <c r="E199" i="32"/>
  <c r="F199" i="32"/>
  <c r="G199" i="32"/>
  <c r="H199" i="32"/>
  <c r="I199" i="32"/>
  <c r="K199" i="32"/>
  <c r="L199" i="32"/>
  <c r="N199" i="32"/>
  <c r="C200" i="32"/>
  <c r="D200" i="32"/>
  <c r="E200" i="32"/>
  <c r="F200" i="32"/>
  <c r="G200" i="32"/>
  <c r="H200" i="32"/>
  <c r="I200" i="32"/>
  <c r="K200" i="32"/>
  <c r="L200" i="32"/>
  <c r="N200" i="32"/>
  <c r="C201" i="32"/>
  <c r="D201" i="32"/>
  <c r="E201" i="32"/>
  <c r="F201" i="32"/>
  <c r="G201" i="32"/>
  <c r="H201" i="32"/>
  <c r="I201" i="32"/>
  <c r="K201" i="32"/>
  <c r="L201" i="32"/>
  <c r="N201" i="32"/>
  <c r="C202" i="32"/>
  <c r="D202" i="32"/>
  <c r="E202" i="32"/>
  <c r="F202" i="32"/>
  <c r="G202" i="32"/>
  <c r="H202" i="32"/>
  <c r="I202" i="32"/>
  <c r="K202" i="32"/>
  <c r="L202" i="32"/>
  <c r="N202" i="32"/>
  <c r="C203" i="32"/>
  <c r="D203" i="32"/>
  <c r="E203" i="32"/>
  <c r="F203" i="32"/>
  <c r="G203" i="32"/>
  <c r="H203" i="32"/>
  <c r="I203" i="32"/>
  <c r="K203" i="32"/>
  <c r="L203" i="32"/>
  <c r="N203" i="32"/>
  <c r="C204" i="32"/>
  <c r="D204" i="32"/>
  <c r="E204" i="32"/>
  <c r="F204" i="32"/>
  <c r="G204" i="32"/>
  <c r="H204" i="32"/>
  <c r="I204" i="32"/>
  <c r="K204" i="32"/>
  <c r="L204" i="32"/>
  <c r="N204" i="32"/>
  <c r="C205" i="32"/>
  <c r="D205" i="32"/>
  <c r="E205" i="32"/>
  <c r="F205" i="32"/>
  <c r="G205" i="32"/>
  <c r="H205" i="32"/>
  <c r="I205" i="32"/>
  <c r="K205" i="32"/>
  <c r="L205" i="32"/>
  <c r="N205" i="32"/>
  <c r="C206" i="32"/>
  <c r="D206" i="32"/>
  <c r="E206" i="32"/>
  <c r="F206" i="32"/>
  <c r="G206" i="32"/>
  <c r="H206" i="32"/>
  <c r="I206" i="32"/>
  <c r="K206" i="32"/>
  <c r="L206" i="32"/>
  <c r="N206" i="32"/>
  <c r="C207" i="32"/>
  <c r="D207" i="32"/>
  <c r="E207" i="32"/>
  <c r="F207" i="32"/>
  <c r="G207" i="32"/>
  <c r="H207" i="32"/>
  <c r="I207" i="32"/>
  <c r="K207" i="32"/>
  <c r="L207" i="32"/>
  <c r="N207" i="32"/>
  <c r="C208" i="32"/>
  <c r="D208" i="32"/>
  <c r="E208" i="32"/>
  <c r="F208" i="32"/>
  <c r="G208" i="32"/>
  <c r="H208" i="32"/>
  <c r="I208" i="32"/>
  <c r="K208" i="32"/>
  <c r="L208" i="32"/>
  <c r="N208" i="32"/>
  <c r="C209" i="32"/>
  <c r="D209" i="32"/>
  <c r="E209" i="32"/>
  <c r="F209" i="32"/>
  <c r="G209" i="32"/>
  <c r="H209" i="32"/>
  <c r="I209" i="32"/>
  <c r="K209" i="32"/>
  <c r="L209" i="32"/>
  <c r="N209" i="32"/>
  <c r="C210" i="32"/>
  <c r="D210" i="32"/>
  <c r="E210" i="32"/>
  <c r="F210" i="32"/>
  <c r="G210" i="32"/>
  <c r="H210" i="32"/>
  <c r="I210" i="32"/>
  <c r="K210" i="32"/>
  <c r="L210" i="32"/>
  <c r="N210" i="32"/>
  <c r="C211" i="32"/>
  <c r="D211" i="32"/>
  <c r="E211" i="32"/>
  <c r="F211" i="32"/>
  <c r="G211" i="32"/>
  <c r="H211" i="32"/>
  <c r="I211" i="32"/>
  <c r="K211" i="32"/>
  <c r="L211" i="32"/>
  <c r="N211" i="32"/>
  <c r="C212" i="32"/>
  <c r="D212" i="32"/>
  <c r="E212" i="32"/>
  <c r="F212" i="32"/>
  <c r="G212" i="32"/>
  <c r="H212" i="32"/>
  <c r="I212" i="32"/>
  <c r="K212" i="32"/>
  <c r="L212" i="32"/>
  <c r="N212" i="32"/>
  <c r="C213" i="32"/>
  <c r="D213" i="32"/>
  <c r="E213" i="32"/>
  <c r="F213" i="32"/>
  <c r="G213" i="32"/>
  <c r="H213" i="32"/>
  <c r="I213" i="32"/>
  <c r="K213" i="32"/>
  <c r="L213" i="32"/>
  <c r="N213" i="32"/>
  <c r="C214" i="32"/>
  <c r="D214" i="32"/>
  <c r="E214" i="32"/>
  <c r="F214" i="32"/>
  <c r="G214" i="32"/>
  <c r="H214" i="32"/>
  <c r="I214" i="32"/>
  <c r="K214" i="32"/>
  <c r="L214" i="32"/>
  <c r="N214" i="32"/>
  <c r="C215" i="32"/>
  <c r="D215" i="32"/>
  <c r="E215" i="32"/>
  <c r="F215" i="32"/>
  <c r="G215" i="32"/>
  <c r="H215" i="32"/>
  <c r="I215" i="32"/>
  <c r="K215" i="32"/>
  <c r="L215" i="32"/>
  <c r="N215" i="32"/>
  <c r="C216" i="32"/>
  <c r="D216" i="32"/>
  <c r="E216" i="32"/>
  <c r="F216" i="32"/>
  <c r="G216" i="32"/>
  <c r="H216" i="32"/>
  <c r="I216" i="32"/>
  <c r="K216" i="32"/>
  <c r="L216" i="32"/>
  <c r="N216" i="32"/>
  <c r="C217" i="32"/>
  <c r="D217" i="32"/>
  <c r="E217" i="32"/>
  <c r="F217" i="32"/>
  <c r="G217" i="32"/>
  <c r="H217" i="32"/>
  <c r="I217" i="32"/>
  <c r="K217" i="32"/>
  <c r="L217" i="32"/>
  <c r="N217" i="32"/>
  <c r="C218" i="32"/>
  <c r="D218" i="32"/>
  <c r="E218" i="32"/>
  <c r="F218" i="32"/>
  <c r="G218" i="32"/>
  <c r="H218" i="32"/>
  <c r="I218" i="32"/>
  <c r="K218" i="32"/>
  <c r="L218" i="32"/>
  <c r="N218" i="32"/>
  <c r="C219" i="32"/>
  <c r="D219" i="32"/>
  <c r="E219" i="32"/>
  <c r="F219" i="32"/>
  <c r="G219" i="32"/>
  <c r="H219" i="32"/>
  <c r="I219" i="32"/>
  <c r="K219" i="32"/>
  <c r="L219" i="32"/>
  <c r="N219" i="32"/>
  <c r="C220" i="32"/>
  <c r="D220" i="32"/>
  <c r="E220" i="32"/>
  <c r="F220" i="32"/>
  <c r="G220" i="32"/>
  <c r="H220" i="32"/>
  <c r="I220" i="32"/>
  <c r="K220" i="32"/>
  <c r="L220" i="32"/>
  <c r="N220" i="32"/>
  <c r="C221" i="32"/>
  <c r="D221" i="32"/>
  <c r="E221" i="32"/>
  <c r="F221" i="32"/>
  <c r="G221" i="32"/>
  <c r="H221" i="32"/>
  <c r="I221" i="32"/>
  <c r="K221" i="32"/>
  <c r="L221" i="32"/>
  <c r="N221" i="32"/>
  <c r="K167" i="32"/>
  <c r="I167" i="32"/>
  <c r="H167" i="32"/>
  <c r="G167" i="32"/>
  <c r="E167" i="32"/>
  <c r="D167" i="32"/>
  <c r="C167" i="32"/>
  <c r="R113" i="32"/>
  <c r="S113" i="32"/>
  <c r="T113" i="32"/>
  <c r="U113" i="32"/>
  <c r="V113" i="32"/>
  <c r="W113" i="32"/>
  <c r="X113" i="32"/>
  <c r="Y113" i="32"/>
  <c r="Z113" i="32"/>
  <c r="AA113" i="32"/>
  <c r="R114" i="32"/>
  <c r="S114" i="32"/>
  <c r="T114" i="32"/>
  <c r="U114" i="32"/>
  <c r="V114" i="32"/>
  <c r="W114" i="32"/>
  <c r="X114" i="32"/>
  <c r="Y114" i="32"/>
  <c r="Z114" i="32"/>
  <c r="AA114" i="32"/>
  <c r="R115" i="32"/>
  <c r="S115" i="32"/>
  <c r="T115" i="32"/>
  <c r="U115" i="32"/>
  <c r="V115" i="32"/>
  <c r="W115" i="32"/>
  <c r="X115" i="32"/>
  <c r="Y115" i="32"/>
  <c r="Z115" i="32"/>
  <c r="AA115" i="32"/>
  <c r="R116" i="32"/>
  <c r="S116" i="32"/>
  <c r="T116" i="32"/>
  <c r="U116" i="32"/>
  <c r="V116" i="32"/>
  <c r="W116" i="32"/>
  <c r="X116" i="32"/>
  <c r="Y116" i="32"/>
  <c r="Z116" i="32"/>
  <c r="AA116" i="32"/>
  <c r="R117" i="32"/>
  <c r="S117" i="32"/>
  <c r="T117" i="32"/>
  <c r="U117" i="32"/>
  <c r="V117" i="32"/>
  <c r="W117" i="32"/>
  <c r="X117" i="32"/>
  <c r="Y117" i="32"/>
  <c r="Z117" i="32"/>
  <c r="AA117" i="32"/>
  <c r="R118" i="32"/>
  <c r="S118" i="32"/>
  <c r="T118" i="32"/>
  <c r="U118" i="32"/>
  <c r="V118" i="32"/>
  <c r="W118" i="32"/>
  <c r="X118" i="32"/>
  <c r="Y118" i="32"/>
  <c r="Z118" i="32"/>
  <c r="AA118" i="32"/>
  <c r="R119" i="32"/>
  <c r="S119" i="32"/>
  <c r="T119" i="32"/>
  <c r="U119" i="32"/>
  <c r="V119" i="32"/>
  <c r="W119" i="32"/>
  <c r="X119" i="32"/>
  <c r="Y119" i="32"/>
  <c r="Z119" i="32"/>
  <c r="AA119" i="32"/>
  <c r="R120" i="32"/>
  <c r="S120" i="32"/>
  <c r="T120" i="32"/>
  <c r="U120" i="32"/>
  <c r="V120" i="32"/>
  <c r="W120" i="32"/>
  <c r="X120" i="32"/>
  <c r="Y120" i="32"/>
  <c r="Z120" i="32"/>
  <c r="AA120" i="32"/>
  <c r="R121" i="32"/>
  <c r="S121" i="32"/>
  <c r="T121" i="32"/>
  <c r="U121" i="32"/>
  <c r="V121" i="32"/>
  <c r="W121" i="32"/>
  <c r="X121" i="32"/>
  <c r="Y121" i="32"/>
  <c r="Z121" i="32"/>
  <c r="AA121" i="32"/>
  <c r="R122" i="32"/>
  <c r="S122" i="32"/>
  <c r="T122" i="32"/>
  <c r="U122" i="32"/>
  <c r="V122" i="32"/>
  <c r="W122" i="32"/>
  <c r="X122" i="32"/>
  <c r="Y122" i="32"/>
  <c r="Z122" i="32"/>
  <c r="AA122" i="32"/>
  <c r="R123" i="32"/>
  <c r="S123" i="32"/>
  <c r="T123" i="32"/>
  <c r="U123" i="32"/>
  <c r="V123" i="32"/>
  <c r="W123" i="32"/>
  <c r="X123" i="32"/>
  <c r="Y123" i="32"/>
  <c r="Z123" i="32"/>
  <c r="AA123" i="32"/>
  <c r="R124" i="32"/>
  <c r="S124" i="32"/>
  <c r="T124" i="32"/>
  <c r="U124" i="32"/>
  <c r="V124" i="32"/>
  <c r="W124" i="32"/>
  <c r="X124" i="32"/>
  <c r="Y124" i="32"/>
  <c r="Z124" i="32"/>
  <c r="AA124" i="32"/>
  <c r="R125" i="32"/>
  <c r="S125" i="32"/>
  <c r="T125" i="32"/>
  <c r="U125" i="32"/>
  <c r="V125" i="32"/>
  <c r="W125" i="32"/>
  <c r="X125" i="32"/>
  <c r="Y125" i="32"/>
  <c r="Z125" i="32"/>
  <c r="AA125" i="32"/>
  <c r="R126" i="32"/>
  <c r="S126" i="32"/>
  <c r="T126" i="32"/>
  <c r="U126" i="32"/>
  <c r="V126" i="32"/>
  <c r="W126" i="32"/>
  <c r="X126" i="32"/>
  <c r="Y126" i="32"/>
  <c r="Z126" i="32"/>
  <c r="AA126" i="32"/>
  <c r="R127" i="32"/>
  <c r="S127" i="32"/>
  <c r="T127" i="32"/>
  <c r="U127" i="32"/>
  <c r="V127" i="32"/>
  <c r="W127" i="32"/>
  <c r="X127" i="32"/>
  <c r="Y127" i="32"/>
  <c r="Z127" i="32"/>
  <c r="AA127" i="32"/>
  <c r="R128" i="32"/>
  <c r="S128" i="32"/>
  <c r="T128" i="32"/>
  <c r="U128" i="32"/>
  <c r="V128" i="32"/>
  <c r="W128" i="32"/>
  <c r="X128" i="32"/>
  <c r="Y128" i="32"/>
  <c r="Z128" i="32"/>
  <c r="AA128" i="32"/>
  <c r="R129" i="32"/>
  <c r="S129" i="32"/>
  <c r="T129" i="32"/>
  <c r="U129" i="32"/>
  <c r="V129" i="32"/>
  <c r="W129" i="32"/>
  <c r="X129" i="32"/>
  <c r="Y129" i="32"/>
  <c r="Z129" i="32"/>
  <c r="AA129" i="32"/>
  <c r="R130" i="32"/>
  <c r="S130" i="32"/>
  <c r="T130" i="32"/>
  <c r="U130" i="32"/>
  <c r="V130" i="32"/>
  <c r="W130" i="32"/>
  <c r="X130" i="32"/>
  <c r="Y130" i="32"/>
  <c r="Z130" i="32"/>
  <c r="AA130" i="32"/>
  <c r="R131" i="32"/>
  <c r="S131" i="32"/>
  <c r="T131" i="32"/>
  <c r="U131" i="32"/>
  <c r="V131" i="32"/>
  <c r="W131" i="32"/>
  <c r="X131" i="32"/>
  <c r="Y131" i="32"/>
  <c r="Z131" i="32"/>
  <c r="AA131" i="32"/>
  <c r="R132" i="32"/>
  <c r="S132" i="32"/>
  <c r="T132" i="32"/>
  <c r="U132" i="32"/>
  <c r="V132" i="32"/>
  <c r="W132" i="32"/>
  <c r="X132" i="32"/>
  <c r="Y132" i="32"/>
  <c r="Z132" i="32"/>
  <c r="AA132" i="32"/>
  <c r="R133" i="32"/>
  <c r="S133" i="32"/>
  <c r="T133" i="32"/>
  <c r="U133" i="32"/>
  <c r="V133" i="32"/>
  <c r="W133" i="32"/>
  <c r="X133" i="32"/>
  <c r="Y133" i="32"/>
  <c r="Z133" i="32"/>
  <c r="AA133" i="32"/>
  <c r="R134" i="32"/>
  <c r="S134" i="32"/>
  <c r="T134" i="32"/>
  <c r="U134" i="32"/>
  <c r="V134" i="32"/>
  <c r="W134" i="32"/>
  <c r="X134" i="32"/>
  <c r="Y134" i="32"/>
  <c r="Z134" i="32"/>
  <c r="AA134" i="32"/>
  <c r="R135" i="32"/>
  <c r="S135" i="32"/>
  <c r="T135" i="32"/>
  <c r="U135" i="32"/>
  <c r="V135" i="32"/>
  <c r="W135" i="32"/>
  <c r="X135" i="32"/>
  <c r="Y135" i="32"/>
  <c r="Z135" i="32"/>
  <c r="AA135" i="32"/>
  <c r="R136" i="32"/>
  <c r="S136" i="32"/>
  <c r="T136" i="32"/>
  <c r="U136" i="32"/>
  <c r="V136" i="32"/>
  <c r="W136" i="32"/>
  <c r="X136" i="32"/>
  <c r="Y136" i="32"/>
  <c r="Z136" i="32"/>
  <c r="AA136" i="32"/>
  <c r="R137" i="32"/>
  <c r="S137" i="32"/>
  <c r="T137" i="32"/>
  <c r="U137" i="32"/>
  <c r="V137" i="32"/>
  <c r="W137" i="32"/>
  <c r="X137" i="32"/>
  <c r="Y137" i="32"/>
  <c r="Z137" i="32"/>
  <c r="AA137" i="32"/>
  <c r="R138" i="32"/>
  <c r="S138" i="32"/>
  <c r="T138" i="32"/>
  <c r="U138" i="32"/>
  <c r="V138" i="32"/>
  <c r="W138" i="32"/>
  <c r="X138" i="32"/>
  <c r="Y138" i="32"/>
  <c r="Z138" i="32"/>
  <c r="AA138" i="32"/>
  <c r="R139" i="32"/>
  <c r="S139" i="32"/>
  <c r="T139" i="32"/>
  <c r="U139" i="32"/>
  <c r="V139" i="32"/>
  <c r="W139" i="32"/>
  <c r="X139" i="32"/>
  <c r="Y139" i="32"/>
  <c r="Z139" i="32"/>
  <c r="AA139" i="32"/>
  <c r="R140" i="32"/>
  <c r="S140" i="32"/>
  <c r="T140" i="32"/>
  <c r="U140" i="32"/>
  <c r="V140" i="32"/>
  <c r="W140" i="32"/>
  <c r="X140" i="32"/>
  <c r="Y140" i="32"/>
  <c r="Z140" i="32"/>
  <c r="AA140" i="32"/>
  <c r="R141" i="32"/>
  <c r="S141" i="32"/>
  <c r="T141" i="32"/>
  <c r="U141" i="32"/>
  <c r="V141" i="32"/>
  <c r="W141" i="32"/>
  <c r="X141" i="32"/>
  <c r="Y141" i="32"/>
  <c r="Z141" i="32"/>
  <c r="AA141" i="32"/>
  <c r="R142" i="32"/>
  <c r="S142" i="32"/>
  <c r="T142" i="32"/>
  <c r="U142" i="32"/>
  <c r="V142" i="32"/>
  <c r="W142" i="32"/>
  <c r="X142" i="32"/>
  <c r="Y142" i="32"/>
  <c r="Z142" i="32"/>
  <c r="AA142" i="32"/>
  <c r="R143" i="32"/>
  <c r="S143" i="32"/>
  <c r="T143" i="32"/>
  <c r="U143" i="32"/>
  <c r="V143" i="32"/>
  <c r="W143" i="32"/>
  <c r="X143" i="32"/>
  <c r="Y143" i="32"/>
  <c r="Z143" i="32"/>
  <c r="AA143" i="32"/>
  <c r="R144" i="32"/>
  <c r="S144" i="32"/>
  <c r="T144" i="32"/>
  <c r="U144" i="32"/>
  <c r="V144" i="32"/>
  <c r="W144" i="32"/>
  <c r="X144" i="32"/>
  <c r="Y144" i="32"/>
  <c r="Z144" i="32"/>
  <c r="AA144" i="32"/>
  <c r="R145" i="32"/>
  <c r="S145" i="32"/>
  <c r="T145" i="32"/>
  <c r="U145" i="32"/>
  <c r="V145" i="32"/>
  <c r="W145" i="32"/>
  <c r="X145" i="32"/>
  <c r="Y145" i="32"/>
  <c r="Z145" i="32"/>
  <c r="AA145" i="32"/>
  <c r="R146" i="32"/>
  <c r="S146" i="32"/>
  <c r="T146" i="32"/>
  <c r="U146" i="32"/>
  <c r="V146" i="32"/>
  <c r="W146" i="32"/>
  <c r="X146" i="32"/>
  <c r="Y146" i="32"/>
  <c r="Z146" i="32"/>
  <c r="AA146" i="32"/>
  <c r="R147" i="32"/>
  <c r="S147" i="32"/>
  <c r="T147" i="32"/>
  <c r="U147" i="32"/>
  <c r="V147" i="32"/>
  <c r="W147" i="32"/>
  <c r="X147" i="32"/>
  <c r="Y147" i="32"/>
  <c r="Z147" i="32"/>
  <c r="AA147" i="32"/>
  <c r="R148" i="32"/>
  <c r="S148" i="32"/>
  <c r="T148" i="32"/>
  <c r="U148" i="32"/>
  <c r="V148" i="32"/>
  <c r="W148" i="32"/>
  <c r="X148" i="32"/>
  <c r="Y148" i="32"/>
  <c r="Z148" i="32"/>
  <c r="AA148" i="32"/>
  <c r="R149" i="32"/>
  <c r="S149" i="32"/>
  <c r="T149" i="32"/>
  <c r="U149" i="32"/>
  <c r="V149" i="32"/>
  <c r="W149" i="32"/>
  <c r="X149" i="32"/>
  <c r="Y149" i="32"/>
  <c r="Z149" i="32"/>
  <c r="AA149" i="32"/>
  <c r="R150" i="32"/>
  <c r="S150" i="32"/>
  <c r="T150" i="32"/>
  <c r="U150" i="32"/>
  <c r="V150" i="32"/>
  <c r="W150" i="32"/>
  <c r="X150" i="32"/>
  <c r="Y150" i="32"/>
  <c r="Z150" i="32"/>
  <c r="AA150" i="32"/>
  <c r="R151" i="32"/>
  <c r="S151" i="32"/>
  <c r="T151" i="32"/>
  <c r="U151" i="32"/>
  <c r="V151" i="32"/>
  <c r="W151" i="32"/>
  <c r="X151" i="32"/>
  <c r="Y151" i="32"/>
  <c r="Z151" i="32"/>
  <c r="AA151" i="32"/>
  <c r="R152" i="32"/>
  <c r="S152" i="32"/>
  <c r="T152" i="32"/>
  <c r="U152" i="32"/>
  <c r="V152" i="32"/>
  <c r="W152" i="32"/>
  <c r="X152" i="32"/>
  <c r="Y152" i="32"/>
  <c r="Z152" i="32"/>
  <c r="AA152" i="32"/>
  <c r="R153" i="32"/>
  <c r="S153" i="32"/>
  <c r="T153" i="32"/>
  <c r="U153" i="32"/>
  <c r="V153" i="32"/>
  <c r="W153" i="32"/>
  <c r="X153" i="32"/>
  <c r="Y153" i="32"/>
  <c r="Z153" i="32"/>
  <c r="AA153" i="32"/>
  <c r="R154" i="32"/>
  <c r="S154" i="32"/>
  <c r="T154" i="32"/>
  <c r="U154" i="32"/>
  <c r="V154" i="32"/>
  <c r="W154" i="32"/>
  <c r="X154" i="32"/>
  <c r="Y154" i="32"/>
  <c r="Z154" i="32"/>
  <c r="AA154" i="32"/>
  <c r="R155" i="32"/>
  <c r="S155" i="32"/>
  <c r="T155" i="32"/>
  <c r="U155" i="32"/>
  <c r="V155" i="32"/>
  <c r="W155" i="32"/>
  <c r="X155" i="32"/>
  <c r="Y155" i="32"/>
  <c r="Z155" i="32"/>
  <c r="AA155" i="32"/>
  <c r="R156" i="32"/>
  <c r="S156" i="32"/>
  <c r="T156" i="32"/>
  <c r="U156" i="32"/>
  <c r="V156" i="32"/>
  <c r="W156" i="32"/>
  <c r="X156" i="32"/>
  <c r="Y156" i="32"/>
  <c r="Z156" i="32"/>
  <c r="AA156" i="32"/>
  <c r="R157" i="32"/>
  <c r="S157" i="32"/>
  <c r="T157" i="32"/>
  <c r="U157" i="32"/>
  <c r="V157" i="32"/>
  <c r="W157" i="32"/>
  <c r="X157" i="32"/>
  <c r="Y157" i="32"/>
  <c r="Z157" i="32"/>
  <c r="AA157" i="32"/>
  <c r="R158" i="32"/>
  <c r="S158" i="32"/>
  <c r="T158" i="32"/>
  <c r="U158" i="32"/>
  <c r="V158" i="32"/>
  <c r="W158" i="32"/>
  <c r="X158" i="32"/>
  <c r="Y158" i="32"/>
  <c r="Z158" i="32"/>
  <c r="AA158" i="32"/>
  <c r="R159" i="32"/>
  <c r="S159" i="32"/>
  <c r="T159" i="32"/>
  <c r="U159" i="32"/>
  <c r="V159" i="32"/>
  <c r="W159" i="32"/>
  <c r="X159" i="32"/>
  <c r="Y159" i="32"/>
  <c r="Z159" i="32"/>
  <c r="AA159" i="32"/>
  <c r="R160" i="32"/>
  <c r="S160" i="32"/>
  <c r="T160" i="32"/>
  <c r="U160" i="32"/>
  <c r="V160" i="32"/>
  <c r="W160" i="32"/>
  <c r="X160" i="32"/>
  <c r="Y160" i="32"/>
  <c r="Z160" i="32"/>
  <c r="AA160" i="32"/>
  <c r="R161" i="32"/>
  <c r="S161" i="32"/>
  <c r="T161" i="32"/>
  <c r="U161" i="32"/>
  <c r="V161" i="32"/>
  <c r="W161" i="32"/>
  <c r="X161" i="32"/>
  <c r="Y161" i="32"/>
  <c r="Z161" i="32"/>
  <c r="AA161" i="32"/>
  <c r="R162" i="32"/>
  <c r="S162" i="32"/>
  <c r="T162" i="32"/>
  <c r="U162" i="32"/>
  <c r="V162" i="32"/>
  <c r="W162" i="32"/>
  <c r="X162" i="32"/>
  <c r="Y162" i="32"/>
  <c r="Z162" i="32"/>
  <c r="AA162" i="32"/>
  <c r="R163" i="32"/>
  <c r="S163" i="32"/>
  <c r="T163" i="32"/>
  <c r="U163" i="32"/>
  <c r="V163" i="32"/>
  <c r="W163" i="32"/>
  <c r="X163" i="32"/>
  <c r="Y163" i="32"/>
  <c r="Z163" i="32"/>
  <c r="AA163" i="32"/>
  <c r="R164" i="32"/>
  <c r="S164" i="32"/>
  <c r="T164" i="32"/>
  <c r="U164" i="32"/>
  <c r="V164" i="32"/>
  <c r="W164" i="32"/>
  <c r="X164" i="32"/>
  <c r="Y164" i="32"/>
  <c r="Z164" i="32"/>
  <c r="AA164" i="32"/>
  <c r="R165" i="32"/>
  <c r="S165" i="32"/>
  <c r="T165" i="32"/>
  <c r="U165" i="32"/>
  <c r="V165" i="32"/>
  <c r="W165" i="32"/>
  <c r="X165" i="32"/>
  <c r="Y165" i="32"/>
  <c r="Z165" i="32"/>
  <c r="AA165" i="32"/>
  <c r="R166" i="32"/>
  <c r="S166" i="32"/>
  <c r="T166" i="32"/>
  <c r="U166" i="32"/>
  <c r="V166" i="32"/>
  <c r="W166" i="32"/>
  <c r="X166" i="32"/>
  <c r="Y166" i="32"/>
  <c r="Z166" i="32"/>
  <c r="AA166" i="32"/>
  <c r="C113" i="32"/>
  <c r="D113" i="32"/>
  <c r="E113" i="32"/>
  <c r="F113" i="32"/>
  <c r="G113" i="32"/>
  <c r="H113" i="32"/>
  <c r="I113" i="32"/>
  <c r="K113" i="32"/>
  <c r="C114" i="32"/>
  <c r="D114" i="32"/>
  <c r="E114" i="32"/>
  <c r="G114" i="32"/>
  <c r="H114" i="32"/>
  <c r="I114" i="32"/>
  <c r="K114" i="32"/>
  <c r="C115" i="32"/>
  <c r="D115" i="32"/>
  <c r="E115" i="32"/>
  <c r="F115" i="32"/>
  <c r="G115" i="32"/>
  <c r="H115" i="32"/>
  <c r="I115" i="32"/>
  <c r="K115" i="32"/>
  <c r="C116" i="32"/>
  <c r="D116" i="32"/>
  <c r="E116" i="32"/>
  <c r="G116" i="32"/>
  <c r="H116" i="32"/>
  <c r="I116" i="32"/>
  <c r="K116" i="32"/>
  <c r="C117" i="32"/>
  <c r="D117" i="32"/>
  <c r="E117" i="32"/>
  <c r="F117" i="32"/>
  <c r="G117" i="32"/>
  <c r="H117" i="32"/>
  <c r="I117" i="32"/>
  <c r="K117" i="32"/>
  <c r="C118" i="32"/>
  <c r="D118" i="32"/>
  <c r="E118" i="32"/>
  <c r="F118" i="32"/>
  <c r="G118" i="32"/>
  <c r="H118" i="32"/>
  <c r="I118" i="32"/>
  <c r="K118" i="32"/>
  <c r="C119" i="32"/>
  <c r="D119" i="32"/>
  <c r="E119" i="32"/>
  <c r="F119" i="32"/>
  <c r="G119" i="32"/>
  <c r="H119" i="32"/>
  <c r="I119" i="32"/>
  <c r="K119" i="32"/>
  <c r="C120" i="32"/>
  <c r="D120" i="32"/>
  <c r="E120" i="32"/>
  <c r="F120" i="32"/>
  <c r="G120" i="32"/>
  <c r="H120" i="32"/>
  <c r="I120" i="32"/>
  <c r="K120" i="32"/>
  <c r="C121" i="32"/>
  <c r="D121" i="32"/>
  <c r="E121" i="32"/>
  <c r="F121" i="32"/>
  <c r="G121" i="32"/>
  <c r="H121" i="32"/>
  <c r="I121" i="32"/>
  <c r="K121" i="32"/>
  <c r="C122" i="32"/>
  <c r="D122" i="32"/>
  <c r="E122" i="32"/>
  <c r="F122" i="32"/>
  <c r="G122" i="32"/>
  <c r="H122" i="32"/>
  <c r="I122" i="32"/>
  <c r="K122" i="32"/>
  <c r="C123" i="32"/>
  <c r="D123" i="32"/>
  <c r="E123" i="32"/>
  <c r="F123" i="32"/>
  <c r="G123" i="32"/>
  <c r="H123" i="32"/>
  <c r="I123" i="32"/>
  <c r="K123" i="32"/>
  <c r="C124" i="32"/>
  <c r="D124" i="32"/>
  <c r="E124" i="32"/>
  <c r="F124" i="32"/>
  <c r="G124" i="32"/>
  <c r="H124" i="32"/>
  <c r="I124" i="32"/>
  <c r="K124" i="32"/>
  <c r="C125" i="32"/>
  <c r="D125" i="32"/>
  <c r="E125" i="32"/>
  <c r="F125" i="32"/>
  <c r="G125" i="32"/>
  <c r="H125" i="32"/>
  <c r="I125" i="32"/>
  <c r="K125" i="32"/>
  <c r="C126" i="32"/>
  <c r="D126" i="32"/>
  <c r="E126" i="32"/>
  <c r="F126" i="32"/>
  <c r="G126" i="32"/>
  <c r="H126" i="32"/>
  <c r="I126" i="32"/>
  <c r="K126" i="32"/>
  <c r="C127" i="32"/>
  <c r="D127" i="32"/>
  <c r="E127" i="32"/>
  <c r="F127" i="32"/>
  <c r="G127" i="32"/>
  <c r="H127" i="32"/>
  <c r="I127" i="32"/>
  <c r="K127" i="32"/>
  <c r="C128" i="32"/>
  <c r="D128" i="32"/>
  <c r="E128" i="32"/>
  <c r="F128" i="32"/>
  <c r="G128" i="32"/>
  <c r="H128" i="32"/>
  <c r="I128" i="32"/>
  <c r="K128" i="32"/>
  <c r="C129" i="32"/>
  <c r="D129" i="32"/>
  <c r="E129" i="32"/>
  <c r="F129" i="32"/>
  <c r="G129" i="32"/>
  <c r="H129" i="32"/>
  <c r="I129" i="32"/>
  <c r="K129" i="32"/>
  <c r="C130" i="32"/>
  <c r="D130" i="32"/>
  <c r="E130" i="32"/>
  <c r="F130" i="32"/>
  <c r="G130" i="32"/>
  <c r="H130" i="32"/>
  <c r="I130" i="32"/>
  <c r="K130" i="32"/>
  <c r="C131" i="32"/>
  <c r="D131" i="32"/>
  <c r="E131" i="32"/>
  <c r="F131" i="32"/>
  <c r="G131" i="32"/>
  <c r="H131" i="32"/>
  <c r="I131" i="32"/>
  <c r="K131" i="32"/>
  <c r="C132" i="32"/>
  <c r="D132" i="32"/>
  <c r="E132" i="32"/>
  <c r="F132" i="32"/>
  <c r="G132" i="32"/>
  <c r="H132" i="32"/>
  <c r="I132" i="32"/>
  <c r="K132" i="32"/>
  <c r="C133" i="32"/>
  <c r="D133" i="32"/>
  <c r="E133" i="32"/>
  <c r="F133" i="32"/>
  <c r="G133" i="32"/>
  <c r="H133" i="32"/>
  <c r="I133" i="32"/>
  <c r="K133" i="32"/>
  <c r="C134" i="32"/>
  <c r="D134" i="32"/>
  <c r="E134" i="32"/>
  <c r="F134" i="32"/>
  <c r="G134" i="32"/>
  <c r="H134" i="32"/>
  <c r="I134" i="32"/>
  <c r="K134" i="32"/>
  <c r="C135" i="32"/>
  <c r="D135" i="32"/>
  <c r="E135" i="32"/>
  <c r="F135" i="32"/>
  <c r="G135" i="32"/>
  <c r="H135" i="32"/>
  <c r="I135" i="32"/>
  <c r="K135" i="32"/>
  <c r="C136" i="32"/>
  <c r="D136" i="32"/>
  <c r="E136" i="32"/>
  <c r="F136" i="32"/>
  <c r="G136" i="32"/>
  <c r="H136" i="32"/>
  <c r="I136" i="32"/>
  <c r="K136" i="32"/>
  <c r="C137" i="32"/>
  <c r="D137" i="32"/>
  <c r="E137" i="32"/>
  <c r="F137" i="32"/>
  <c r="G137" i="32"/>
  <c r="H137" i="32"/>
  <c r="I137" i="32"/>
  <c r="K137" i="32"/>
  <c r="C138" i="32"/>
  <c r="D138" i="32"/>
  <c r="E138" i="32"/>
  <c r="F138" i="32"/>
  <c r="G138" i="32"/>
  <c r="H138" i="32"/>
  <c r="I138" i="32"/>
  <c r="K138" i="32"/>
  <c r="C139" i="32"/>
  <c r="D139" i="32"/>
  <c r="E139" i="32"/>
  <c r="F139" i="32"/>
  <c r="G139" i="32"/>
  <c r="H139" i="32"/>
  <c r="I139" i="32"/>
  <c r="K139" i="32"/>
  <c r="C140" i="32"/>
  <c r="D140" i="32"/>
  <c r="E140" i="32"/>
  <c r="F140" i="32"/>
  <c r="G140" i="32"/>
  <c r="H140" i="32"/>
  <c r="I140" i="32"/>
  <c r="K140" i="32"/>
  <c r="C141" i="32"/>
  <c r="D141" i="32"/>
  <c r="E141" i="32"/>
  <c r="F141" i="32"/>
  <c r="G141" i="32"/>
  <c r="H141" i="32"/>
  <c r="I141" i="32"/>
  <c r="K141" i="32"/>
  <c r="C142" i="32"/>
  <c r="D142" i="32"/>
  <c r="E142" i="32"/>
  <c r="F142" i="32"/>
  <c r="G142" i="32"/>
  <c r="H142" i="32"/>
  <c r="I142" i="32"/>
  <c r="K142" i="32"/>
  <c r="N142" i="32"/>
  <c r="C143" i="32"/>
  <c r="D143" i="32"/>
  <c r="E143" i="32"/>
  <c r="F143" i="32"/>
  <c r="G143" i="32"/>
  <c r="H143" i="32"/>
  <c r="I143" i="32"/>
  <c r="K143" i="32"/>
  <c r="N143" i="32"/>
  <c r="C144" i="32"/>
  <c r="D144" i="32"/>
  <c r="E144" i="32"/>
  <c r="F144" i="32"/>
  <c r="G144" i="32"/>
  <c r="H144" i="32"/>
  <c r="I144" i="32"/>
  <c r="K144" i="32"/>
  <c r="N144" i="32"/>
  <c r="C145" i="32"/>
  <c r="D145" i="32"/>
  <c r="E145" i="32"/>
  <c r="F145" i="32"/>
  <c r="G145" i="32"/>
  <c r="H145" i="32"/>
  <c r="I145" i="32"/>
  <c r="K145" i="32"/>
  <c r="N145" i="32"/>
  <c r="C146" i="32"/>
  <c r="D146" i="32"/>
  <c r="E146" i="32"/>
  <c r="F146" i="32"/>
  <c r="G146" i="32"/>
  <c r="H146" i="32"/>
  <c r="I146" i="32"/>
  <c r="K146" i="32"/>
  <c r="N146" i="32"/>
  <c r="C147" i="32"/>
  <c r="D147" i="32"/>
  <c r="E147" i="32"/>
  <c r="F147" i="32"/>
  <c r="G147" i="32"/>
  <c r="H147" i="32"/>
  <c r="I147" i="32"/>
  <c r="K147" i="32"/>
  <c r="N147" i="32"/>
  <c r="C148" i="32"/>
  <c r="D148" i="32"/>
  <c r="E148" i="32"/>
  <c r="F148" i="32"/>
  <c r="G148" i="32"/>
  <c r="H148" i="32"/>
  <c r="I148" i="32"/>
  <c r="K148" i="32"/>
  <c r="N148" i="32"/>
  <c r="C149" i="32"/>
  <c r="D149" i="32"/>
  <c r="E149" i="32"/>
  <c r="F149" i="32"/>
  <c r="G149" i="32"/>
  <c r="H149" i="32"/>
  <c r="I149" i="32"/>
  <c r="K149" i="32"/>
  <c r="N149" i="32"/>
  <c r="C150" i="32"/>
  <c r="D150" i="32"/>
  <c r="E150" i="32"/>
  <c r="F150" i="32"/>
  <c r="G150" i="32"/>
  <c r="H150" i="32"/>
  <c r="I150" i="32"/>
  <c r="K150" i="32"/>
  <c r="N150" i="32"/>
  <c r="C151" i="32"/>
  <c r="D151" i="32"/>
  <c r="E151" i="32"/>
  <c r="F151" i="32"/>
  <c r="G151" i="32"/>
  <c r="H151" i="32"/>
  <c r="I151" i="32"/>
  <c r="K151" i="32"/>
  <c r="N151" i="32"/>
  <c r="C152" i="32"/>
  <c r="D152" i="32"/>
  <c r="E152" i="32"/>
  <c r="F152" i="32"/>
  <c r="G152" i="32"/>
  <c r="H152" i="32"/>
  <c r="I152" i="32"/>
  <c r="K152" i="32"/>
  <c r="N152" i="32"/>
  <c r="C153" i="32"/>
  <c r="D153" i="32"/>
  <c r="E153" i="32"/>
  <c r="F153" i="32"/>
  <c r="G153" i="32"/>
  <c r="H153" i="32"/>
  <c r="I153" i="32"/>
  <c r="K153" i="32"/>
  <c r="N153" i="32"/>
  <c r="C154" i="32"/>
  <c r="D154" i="32"/>
  <c r="E154" i="32"/>
  <c r="F154" i="32"/>
  <c r="G154" i="32"/>
  <c r="H154" i="32"/>
  <c r="I154" i="32"/>
  <c r="K154" i="32"/>
  <c r="N154" i="32"/>
  <c r="C155" i="32"/>
  <c r="D155" i="32"/>
  <c r="E155" i="32"/>
  <c r="F155" i="32"/>
  <c r="G155" i="32"/>
  <c r="H155" i="32"/>
  <c r="I155" i="32"/>
  <c r="K155" i="32"/>
  <c r="N155" i="32"/>
  <c r="C156" i="32"/>
  <c r="D156" i="32"/>
  <c r="E156" i="32"/>
  <c r="F156" i="32"/>
  <c r="G156" i="32"/>
  <c r="H156" i="32"/>
  <c r="I156" i="32"/>
  <c r="K156" i="32"/>
  <c r="N156" i="32"/>
  <c r="C157" i="32"/>
  <c r="D157" i="32"/>
  <c r="E157" i="32"/>
  <c r="F157" i="32"/>
  <c r="G157" i="32"/>
  <c r="H157" i="32"/>
  <c r="I157" i="32"/>
  <c r="K157" i="32"/>
  <c r="N157" i="32"/>
  <c r="C158" i="32"/>
  <c r="D158" i="32"/>
  <c r="E158" i="32"/>
  <c r="F158" i="32"/>
  <c r="G158" i="32"/>
  <c r="H158" i="32"/>
  <c r="I158" i="32"/>
  <c r="K158" i="32"/>
  <c r="N158" i="32"/>
  <c r="C159" i="32"/>
  <c r="D159" i="32"/>
  <c r="E159" i="32"/>
  <c r="F159" i="32"/>
  <c r="G159" i="32"/>
  <c r="H159" i="32"/>
  <c r="I159" i="32"/>
  <c r="K159" i="32"/>
  <c r="N159" i="32"/>
  <c r="C160" i="32"/>
  <c r="D160" i="32"/>
  <c r="E160" i="32"/>
  <c r="F160" i="32"/>
  <c r="G160" i="32"/>
  <c r="H160" i="32"/>
  <c r="I160" i="32"/>
  <c r="K160" i="32"/>
  <c r="N160" i="32"/>
  <c r="C161" i="32"/>
  <c r="D161" i="32"/>
  <c r="E161" i="32"/>
  <c r="F161" i="32"/>
  <c r="G161" i="32"/>
  <c r="H161" i="32"/>
  <c r="I161" i="32"/>
  <c r="K161" i="32"/>
  <c r="N161" i="32"/>
  <c r="C162" i="32"/>
  <c r="D162" i="32"/>
  <c r="E162" i="32"/>
  <c r="F162" i="32"/>
  <c r="G162" i="32"/>
  <c r="H162" i="32"/>
  <c r="I162" i="32"/>
  <c r="K162" i="32"/>
  <c r="N162" i="32"/>
  <c r="C163" i="32"/>
  <c r="D163" i="32"/>
  <c r="E163" i="32"/>
  <c r="F163" i="32"/>
  <c r="G163" i="32"/>
  <c r="H163" i="32"/>
  <c r="I163" i="32"/>
  <c r="K163" i="32"/>
  <c r="N163" i="32"/>
  <c r="C164" i="32"/>
  <c r="D164" i="32"/>
  <c r="E164" i="32"/>
  <c r="F164" i="32"/>
  <c r="G164" i="32"/>
  <c r="H164" i="32"/>
  <c r="I164" i="32"/>
  <c r="K164" i="32"/>
  <c r="N164" i="32"/>
  <c r="C165" i="32"/>
  <c r="D165" i="32"/>
  <c r="E165" i="32"/>
  <c r="F165" i="32"/>
  <c r="G165" i="32"/>
  <c r="H165" i="32"/>
  <c r="I165" i="32"/>
  <c r="K165" i="32"/>
  <c r="N165" i="32"/>
  <c r="C166" i="32"/>
  <c r="D166" i="32"/>
  <c r="E166" i="32"/>
  <c r="F166" i="32"/>
  <c r="G166" i="32"/>
  <c r="H166" i="32"/>
  <c r="I166" i="32"/>
  <c r="K166" i="32"/>
  <c r="N166" i="32"/>
  <c r="AA112" i="32"/>
  <c r="Z112" i="32"/>
  <c r="Y112" i="32"/>
  <c r="X112" i="32"/>
  <c r="W112" i="32"/>
  <c r="V112" i="32"/>
  <c r="U112" i="32"/>
  <c r="T112" i="32"/>
  <c r="S112" i="32"/>
  <c r="R112" i="32"/>
  <c r="K112" i="32"/>
  <c r="I112" i="32"/>
  <c r="H112" i="32"/>
  <c r="G112" i="32"/>
  <c r="F112" i="32"/>
  <c r="E112" i="32"/>
  <c r="D112" i="32"/>
  <c r="C112" i="32"/>
  <c r="R58" i="32"/>
  <c r="S58" i="32"/>
  <c r="T58" i="32"/>
  <c r="U58" i="32"/>
  <c r="V58" i="32"/>
  <c r="W58" i="32"/>
  <c r="X58" i="32"/>
  <c r="Y58" i="32"/>
  <c r="Z58" i="32"/>
  <c r="AA58" i="32"/>
  <c r="R59" i="32"/>
  <c r="S59" i="32"/>
  <c r="T59" i="32"/>
  <c r="U59" i="32"/>
  <c r="V59" i="32"/>
  <c r="W59" i="32"/>
  <c r="X59" i="32"/>
  <c r="Y59" i="32"/>
  <c r="Z59" i="32"/>
  <c r="AA59" i="32"/>
  <c r="R60" i="32"/>
  <c r="S60" i="32"/>
  <c r="T60" i="32"/>
  <c r="U60" i="32"/>
  <c r="V60" i="32"/>
  <c r="W60" i="32"/>
  <c r="X60" i="32"/>
  <c r="Y60" i="32"/>
  <c r="Z60" i="32"/>
  <c r="AA60" i="32"/>
  <c r="R61" i="32"/>
  <c r="S61" i="32"/>
  <c r="T61" i="32"/>
  <c r="U61" i="32"/>
  <c r="V61" i="32"/>
  <c r="W61" i="32"/>
  <c r="X61" i="32"/>
  <c r="Y61" i="32"/>
  <c r="Z61" i="32"/>
  <c r="AA61" i="32"/>
  <c r="R62" i="32"/>
  <c r="S62" i="32"/>
  <c r="T62" i="32"/>
  <c r="U62" i="32"/>
  <c r="V62" i="32"/>
  <c r="W62" i="32"/>
  <c r="X62" i="32"/>
  <c r="Y62" i="32"/>
  <c r="Z62" i="32"/>
  <c r="AA62" i="32"/>
  <c r="R63" i="32"/>
  <c r="S63" i="32"/>
  <c r="T63" i="32"/>
  <c r="U63" i="32"/>
  <c r="V63" i="32"/>
  <c r="W63" i="32"/>
  <c r="X63" i="32"/>
  <c r="Y63" i="32"/>
  <c r="Z63" i="32"/>
  <c r="AA63" i="32"/>
  <c r="R64" i="32"/>
  <c r="S64" i="32"/>
  <c r="T64" i="32"/>
  <c r="U64" i="32"/>
  <c r="V64" i="32"/>
  <c r="W64" i="32"/>
  <c r="X64" i="32"/>
  <c r="Y64" i="32"/>
  <c r="Z64" i="32"/>
  <c r="AA64" i="32"/>
  <c r="R65" i="32"/>
  <c r="S65" i="32"/>
  <c r="T65" i="32"/>
  <c r="U65" i="32"/>
  <c r="V65" i="32"/>
  <c r="W65" i="32"/>
  <c r="X65" i="32"/>
  <c r="Y65" i="32"/>
  <c r="Z65" i="32"/>
  <c r="AA65" i="32"/>
  <c r="R66" i="32"/>
  <c r="S66" i="32"/>
  <c r="T66" i="32"/>
  <c r="U66" i="32"/>
  <c r="V66" i="32"/>
  <c r="W66" i="32"/>
  <c r="X66" i="32"/>
  <c r="Y66" i="32"/>
  <c r="Z66" i="32"/>
  <c r="AA66" i="32"/>
  <c r="R67" i="32"/>
  <c r="S67" i="32"/>
  <c r="T67" i="32"/>
  <c r="U67" i="32"/>
  <c r="V67" i="32"/>
  <c r="W67" i="32"/>
  <c r="X67" i="32"/>
  <c r="Y67" i="32"/>
  <c r="Z67" i="32"/>
  <c r="AA67" i="32"/>
  <c r="R68" i="32"/>
  <c r="S68" i="32"/>
  <c r="T68" i="32"/>
  <c r="U68" i="32"/>
  <c r="V68" i="32"/>
  <c r="W68" i="32"/>
  <c r="X68" i="32"/>
  <c r="Y68" i="32"/>
  <c r="Z68" i="32"/>
  <c r="AA68" i="32"/>
  <c r="R69" i="32"/>
  <c r="S69" i="32"/>
  <c r="T69" i="32"/>
  <c r="U69" i="32"/>
  <c r="V69" i="32"/>
  <c r="W69" i="32"/>
  <c r="X69" i="32"/>
  <c r="Y69" i="32"/>
  <c r="Z69" i="32"/>
  <c r="AA69" i="32"/>
  <c r="R70" i="32"/>
  <c r="S70" i="32"/>
  <c r="T70" i="32"/>
  <c r="U70" i="32"/>
  <c r="V70" i="32"/>
  <c r="W70" i="32"/>
  <c r="X70" i="32"/>
  <c r="Y70" i="32"/>
  <c r="Z70" i="32"/>
  <c r="AA70" i="32"/>
  <c r="R71" i="32"/>
  <c r="S71" i="32"/>
  <c r="T71" i="32"/>
  <c r="U71" i="32"/>
  <c r="V71" i="32"/>
  <c r="W71" i="32"/>
  <c r="X71" i="32"/>
  <c r="Y71" i="32"/>
  <c r="Z71" i="32"/>
  <c r="AA71" i="32"/>
  <c r="R72" i="32"/>
  <c r="S72" i="32"/>
  <c r="T72" i="32"/>
  <c r="U72" i="32"/>
  <c r="V72" i="32"/>
  <c r="W72" i="32"/>
  <c r="X72" i="32"/>
  <c r="Y72" i="32"/>
  <c r="Z72" i="32"/>
  <c r="AA72" i="32"/>
  <c r="R73" i="32"/>
  <c r="S73" i="32"/>
  <c r="T73" i="32"/>
  <c r="U73" i="32"/>
  <c r="V73" i="32"/>
  <c r="W73" i="32"/>
  <c r="X73" i="32"/>
  <c r="Y73" i="32"/>
  <c r="Z73" i="32"/>
  <c r="AA73" i="32"/>
  <c r="R74" i="32"/>
  <c r="S74" i="32"/>
  <c r="T74" i="32"/>
  <c r="U74" i="32"/>
  <c r="V74" i="32"/>
  <c r="W74" i="32"/>
  <c r="X74" i="32"/>
  <c r="Y74" i="32"/>
  <c r="Z74" i="32"/>
  <c r="AA74" i="32"/>
  <c r="R75" i="32"/>
  <c r="S75" i="32"/>
  <c r="T75" i="32"/>
  <c r="U75" i="32"/>
  <c r="V75" i="32"/>
  <c r="W75" i="32"/>
  <c r="X75" i="32"/>
  <c r="Y75" i="32"/>
  <c r="Z75" i="32"/>
  <c r="AA75" i="32"/>
  <c r="R76" i="32"/>
  <c r="S76" i="32"/>
  <c r="T76" i="32"/>
  <c r="U76" i="32"/>
  <c r="V76" i="32"/>
  <c r="W76" i="32"/>
  <c r="X76" i="32"/>
  <c r="Y76" i="32"/>
  <c r="Z76" i="32"/>
  <c r="AA76" i="32"/>
  <c r="R77" i="32"/>
  <c r="S77" i="32"/>
  <c r="T77" i="32"/>
  <c r="U77" i="32"/>
  <c r="V77" i="32"/>
  <c r="W77" i="32"/>
  <c r="X77" i="32"/>
  <c r="Y77" i="32"/>
  <c r="Z77" i="32"/>
  <c r="AA77" i="32"/>
  <c r="R78" i="32"/>
  <c r="S78" i="32"/>
  <c r="T78" i="32"/>
  <c r="U78" i="32"/>
  <c r="V78" i="32"/>
  <c r="W78" i="32"/>
  <c r="X78" i="32"/>
  <c r="Y78" i="32"/>
  <c r="Z78" i="32"/>
  <c r="AA78" i="32"/>
  <c r="R79" i="32"/>
  <c r="S79" i="32"/>
  <c r="T79" i="32"/>
  <c r="U79" i="32"/>
  <c r="V79" i="32"/>
  <c r="W79" i="32"/>
  <c r="X79" i="32"/>
  <c r="Y79" i="32"/>
  <c r="Z79" i="32"/>
  <c r="AA79" i="32"/>
  <c r="R80" i="32"/>
  <c r="S80" i="32"/>
  <c r="T80" i="32"/>
  <c r="U80" i="32"/>
  <c r="V80" i="32"/>
  <c r="W80" i="32"/>
  <c r="X80" i="32"/>
  <c r="Y80" i="32"/>
  <c r="Z80" i="32"/>
  <c r="AA80" i="32"/>
  <c r="R81" i="32"/>
  <c r="S81" i="32"/>
  <c r="T81" i="32"/>
  <c r="U81" i="32"/>
  <c r="V81" i="32"/>
  <c r="W81" i="32"/>
  <c r="X81" i="32"/>
  <c r="Y81" i="32"/>
  <c r="Z81" i="32"/>
  <c r="AA81" i="32"/>
  <c r="R82" i="32"/>
  <c r="S82" i="32"/>
  <c r="T82" i="32"/>
  <c r="U82" i="32"/>
  <c r="V82" i="32"/>
  <c r="W82" i="32"/>
  <c r="X82" i="32"/>
  <c r="Y82" i="32"/>
  <c r="Z82" i="32"/>
  <c r="AA82" i="32"/>
  <c r="R83" i="32"/>
  <c r="S83" i="32"/>
  <c r="T83" i="32"/>
  <c r="U83" i="32"/>
  <c r="V83" i="32"/>
  <c r="W83" i="32"/>
  <c r="X83" i="32"/>
  <c r="Y83" i="32"/>
  <c r="Z83" i="32"/>
  <c r="AA83" i="32"/>
  <c r="R84" i="32"/>
  <c r="S84" i="32"/>
  <c r="T84" i="32"/>
  <c r="U84" i="32"/>
  <c r="V84" i="32"/>
  <c r="W84" i="32"/>
  <c r="X84" i="32"/>
  <c r="Y84" i="32"/>
  <c r="Z84" i="32"/>
  <c r="AA84" i="32"/>
  <c r="R85" i="32"/>
  <c r="S85" i="32"/>
  <c r="T85" i="32"/>
  <c r="U85" i="32"/>
  <c r="V85" i="32"/>
  <c r="W85" i="32"/>
  <c r="X85" i="32"/>
  <c r="Y85" i="32"/>
  <c r="Z85" i="32"/>
  <c r="AA85" i="32"/>
  <c r="R86" i="32"/>
  <c r="S86" i="32"/>
  <c r="T86" i="32"/>
  <c r="U86" i="32"/>
  <c r="V86" i="32"/>
  <c r="W86" i="32"/>
  <c r="X86" i="32"/>
  <c r="Y86" i="32"/>
  <c r="Z86" i="32"/>
  <c r="AA86" i="32"/>
  <c r="R87" i="32"/>
  <c r="S87" i="32"/>
  <c r="T87" i="32"/>
  <c r="U87" i="32"/>
  <c r="V87" i="32"/>
  <c r="W87" i="32"/>
  <c r="X87" i="32"/>
  <c r="Y87" i="32"/>
  <c r="Z87" i="32"/>
  <c r="AA87" i="32"/>
  <c r="R88" i="32"/>
  <c r="S88" i="32"/>
  <c r="T88" i="32"/>
  <c r="U88" i="32"/>
  <c r="V88" i="32"/>
  <c r="W88" i="32"/>
  <c r="X88" i="32"/>
  <c r="Y88" i="32"/>
  <c r="Z88" i="32"/>
  <c r="AA88" i="32"/>
  <c r="R89" i="32"/>
  <c r="S89" i="32"/>
  <c r="T89" i="32"/>
  <c r="U89" i="32"/>
  <c r="V89" i="32"/>
  <c r="W89" i="32"/>
  <c r="X89" i="32"/>
  <c r="Y89" i="32"/>
  <c r="Z89" i="32"/>
  <c r="AA89" i="32"/>
  <c r="R90" i="32"/>
  <c r="S90" i="32"/>
  <c r="T90" i="32"/>
  <c r="U90" i="32"/>
  <c r="V90" i="32"/>
  <c r="W90" i="32"/>
  <c r="X90" i="32"/>
  <c r="Y90" i="32"/>
  <c r="Z90" i="32"/>
  <c r="AA90" i="32"/>
  <c r="R91" i="32"/>
  <c r="S91" i="32"/>
  <c r="T91" i="32"/>
  <c r="U91" i="32"/>
  <c r="V91" i="32"/>
  <c r="W91" i="32"/>
  <c r="X91" i="32"/>
  <c r="Y91" i="32"/>
  <c r="Z91" i="32"/>
  <c r="AA91" i="32"/>
  <c r="R92" i="32"/>
  <c r="S92" i="32"/>
  <c r="T92" i="32"/>
  <c r="U92" i="32"/>
  <c r="V92" i="32"/>
  <c r="W92" i="32"/>
  <c r="X92" i="32"/>
  <c r="Y92" i="32"/>
  <c r="Z92" i="32"/>
  <c r="AA92" i="32"/>
  <c r="R93" i="32"/>
  <c r="S93" i="32"/>
  <c r="T93" i="32"/>
  <c r="U93" i="32"/>
  <c r="V93" i="32"/>
  <c r="W93" i="32"/>
  <c r="X93" i="32"/>
  <c r="Y93" i="32"/>
  <c r="Z93" i="32"/>
  <c r="AA93" i="32"/>
  <c r="R94" i="32"/>
  <c r="S94" i="32"/>
  <c r="T94" i="32"/>
  <c r="U94" i="32"/>
  <c r="V94" i="32"/>
  <c r="W94" i="32"/>
  <c r="X94" i="32"/>
  <c r="Y94" i="32"/>
  <c r="Z94" i="32"/>
  <c r="AA94" i="32"/>
  <c r="R95" i="32"/>
  <c r="S95" i="32"/>
  <c r="T95" i="32"/>
  <c r="U95" i="32"/>
  <c r="V95" i="32"/>
  <c r="W95" i="32"/>
  <c r="X95" i="32"/>
  <c r="Y95" i="32"/>
  <c r="Z95" i="32"/>
  <c r="AA95" i="32"/>
  <c r="R96" i="32"/>
  <c r="S96" i="32"/>
  <c r="T96" i="32"/>
  <c r="U96" i="32"/>
  <c r="V96" i="32"/>
  <c r="W96" i="32"/>
  <c r="X96" i="32"/>
  <c r="Y96" i="32"/>
  <c r="Z96" i="32"/>
  <c r="AA96" i="32"/>
  <c r="R97" i="32"/>
  <c r="S97" i="32"/>
  <c r="T97" i="32"/>
  <c r="U97" i="32"/>
  <c r="V97" i="32"/>
  <c r="W97" i="32"/>
  <c r="X97" i="32"/>
  <c r="Y97" i="32"/>
  <c r="Z97" i="32"/>
  <c r="AA97" i="32"/>
  <c r="R98" i="32"/>
  <c r="S98" i="32"/>
  <c r="T98" i="32"/>
  <c r="U98" i="32"/>
  <c r="V98" i="32"/>
  <c r="W98" i="32"/>
  <c r="X98" i="32"/>
  <c r="Y98" i="32"/>
  <c r="Z98" i="32"/>
  <c r="AA98" i="32"/>
  <c r="R99" i="32"/>
  <c r="S99" i="32"/>
  <c r="T99" i="32"/>
  <c r="U99" i="32"/>
  <c r="V99" i="32"/>
  <c r="W99" i="32"/>
  <c r="X99" i="32"/>
  <c r="Y99" i="32"/>
  <c r="Z99" i="32"/>
  <c r="AA99" i="32"/>
  <c r="R100" i="32"/>
  <c r="S100" i="32"/>
  <c r="T100" i="32"/>
  <c r="U100" i="32"/>
  <c r="V100" i="32"/>
  <c r="W100" i="32"/>
  <c r="X100" i="32"/>
  <c r="Y100" i="32"/>
  <c r="Z100" i="32"/>
  <c r="AA100" i="32"/>
  <c r="R101" i="32"/>
  <c r="S101" i="32"/>
  <c r="T101" i="32"/>
  <c r="U101" i="32"/>
  <c r="V101" i="32"/>
  <c r="W101" i="32"/>
  <c r="X101" i="32"/>
  <c r="Y101" i="32"/>
  <c r="Z101" i="32"/>
  <c r="AA101" i="32"/>
  <c r="R102" i="32"/>
  <c r="S102" i="32"/>
  <c r="T102" i="32"/>
  <c r="U102" i="32"/>
  <c r="V102" i="32"/>
  <c r="W102" i="32"/>
  <c r="X102" i="32"/>
  <c r="Y102" i="32"/>
  <c r="Z102" i="32"/>
  <c r="AA102" i="32"/>
  <c r="R103" i="32"/>
  <c r="S103" i="32"/>
  <c r="T103" i="32"/>
  <c r="U103" i="32"/>
  <c r="V103" i="32"/>
  <c r="W103" i="32"/>
  <c r="X103" i="32"/>
  <c r="Y103" i="32"/>
  <c r="Z103" i="32"/>
  <c r="AA103" i="32"/>
  <c r="R104" i="32"/>
  <c r="S104" i="32"/>
  <c r="T104" i="32"/>
  <c r="U104" i="32"/>
  <c r="V104" i="32"/>
  <c r="W104" i="32"/>
  <c r="X104" i="32"/>
  <c r="Y104" i="32"/>
  <c r="Z104" i="32"/>
  <c r="AA104" i="32"/>
  <c r="R105" i="32"/>
  <c r="S105" i="32"/>
  <c r="T105" i="32"/>
  <c r="U105" i="32"/>
  <c r="V105" i="32"/>
  <c r="W105" i="32"/>
  <c r="X105" i="32"/>
  <c r="Y105" i="32"/>
  <c r="Z105" i="32"/>
  <c r="AA105" i="32"/>
  <c r="R106" i="32"/>
  <c r="S106" i="32"/>
  <c r="T106" i="32"/>
  <c r="U106" i="32"/>
  <c r="V106" i="32"/>
  <c r="W106" i="32"/>
  <c r="X106" i="32"/>
  <c r="Y106" i="32"/>
  <c r="Z106" i="32"/>
  <c r="AA106" i="32"/>
  <c r="R107" i="32"/>
  <c r="S107" i="32"/>
  <c r="T107" i="32"/>
  <c r="U107" i="32"/>
  <c r="V107" i="32"/>
  <c r="W107" i="32"/>
  <c r="X107" i="32"/>
  <c r="Y107" i="32"/>
  <c r="Z107" i="32"/>
  <c r="AA107" i="32"/>
  <c r="R108" i="32"/>
  <c r="S108" i="32"/>
  <c r="T108" i="32"/>
  <c r="U108" i="32"/>
  <c r="V108" i="32"/>
  <c r="W108" i="32"/>
  <c r="X108" i="32"/>
  <c r="Y108" i="32"/>
  <c r="Z108" i="32"/>
  <c r="AA108" i="32"/>
  <c r="R109" i="32"/>
  <c r="S109" i="32"/>
  <c r="T109" i="32"/>
  <c r="U109" i="32"/>
  <c r="V109" i="32"/>
  <c r="W109" i="32"/>
  <c r="X109" i="32"/>
  <c r="Y109" i="32"/>
  <c r="Z109" i="32"/>
  <c r="AA109" i="32"/>
  <c r="R110" i="32"/>
  <c r="S110" i="32"/>
  <c r="T110" i="32"/>
  <c r="U110" i="32"/>
  <c r="V110" i="32"/>
  <c r="W110" i="32"/>
  <c r="X110" i="32"/>
  <c r="Y110" i="32"/>
  <c r="Z110" i="32"/>
  <c r="AA110" i="32"/>
  <c r="R111" i="32"/>
  <c r="S111" i="32"/>
  <c r="T111" i="32"/>
  <c r="U111" i="32"/>
  <c r="V111" i="32"/>
  <c r="W111" i="32"/>
  <c r="X111" i="32"/>
  <c r="Y111" i="32"/>
  <c r="Z111" i="32"/>
  <c r="AA111" i="32"/>
  <c r="C58" i="32"/>
  <c r="D58" i="32"/>
  <c r="E58" i="32"/>
  <c r="G58" i="32"/>
  <c r="H58" i="32"/>
  <c r="I58" i="32"/>
  <c r="K58" i="32"/>
  <c r="C59" i="32"/>
  <c r="D59" i="32"/>
  <c r="E59" i="32"/>
  <c r="G59" i="32"/>
  <c r="H59" i="32"/>
  <c r="I59" i="32"/>
  <c r="K59" i="32"/>
  <c r="C60" i="32"/>
  <c r="D60" i="32"/>
  <c r="E60" i="32"/>
  <c r="G60" i="32"/>
  <c r="H60" i="32"/>
  <c r="I60" i="32"/>
  <c r="K60" i="32"/>
  <c r="C61" i="32"/>
  <c r="D61" i="32"/>
  <c r="E61" i="32"/>
  <c r="G61" i="32"/>
  <c r="H61" i="32"/>
  <c r="I61" i="32"/>
  <c r="K61" i="32"/>
  <c r="C62" i="32"/>
  <c r="D62" i="32"/>
  <c r="E62" i="32"/>
  <c r="G62" i="32"/>
  <c r="H62" i="32"/>
  <c r="I62" i="32"/>
  <c r="K62" i="32"/>
  <c r="C63" i="32"/>
  <c r="D63" i="32"/>
  <c r="E63" i="32"/>
  <c r="G63" i="32"/>
  <c r="H63" i="32"/>
  <c r="I63" i="32"/>
  <c r="K63" i="32"/>
  <c r="C64" i="32"/>
  <c r="D64" i="32"/>
  <c r="E64" i="32"/>
  <c r="G64" i="32"/>
  <c r="H64" i="32"/>
  <c r="I64" i="32"/>
  <c r="K64" i="32"/>
  <c r="C65" i="32"/>
  <c r="D65" i="32"/>
  <c r="E65" i="32"/>
  <c r="G65" i="32"/>
  <c r="H65" i="32"/>
  <c r="I65" i="32"/>
  <c r="K65" i="32"/>
  <c r="C66" i="32"/>
  <c r="D66" i="32"/>
  <c r="E66" i="32"/>
  <c r="G66" i="32"/>
  <c r="H66" i="32"/>
  <c r="I66" i="32"/>
  <c r="K66" i="32"/>
  <c r="C67" i="32"/>
  <c r="D67" i="32"/>
  <c r="E67" i="32"/>
  <c r="G67" i="32"/>
  <c r="H67" i="32"/>
  <c r="I67" i="32"/>
  <c r="K67" i="32"/>
  <c r="C68" i="32"/>
  <c r="D68" i="32"/>
  <c r="E68" i="32"/>
  <c r="G68" i="32"/>
  <c r="H68" i="32"/>
  <c r="I68" i="32"/>
  <c r="K68" i="32"/>
  <c r="C69" i="32"/>
  <c r="D69" i="32"/>
  <c r="E69" i="32"/>
  <c r="G69" i="32"/>
  <c r="H69" i="32"/>
  <c r="I69" i="32"/>
  <c r="K69" i="32"/>
  <c r="C70" i="32"/>
  <c r="D70" i="32"/>
  <c r="E70" i="32"/>
  <c r="G70" i="32"/>
  <c r="H70" i="32"/>
  <c r="I70" i="32"/>
  <c r="K70" i="32"/>
  <c r="C71" i="32"/>
  <c r="D71" i="32"/>
  <c r="E71" i="32"/>
  <c r="G71" i="32"/>
  <c r="H71" i="32"/>
  <c r="I71" i="32"/>
  <c r="K71" i="32"/>
  <c r="C72" i="32"/>
  <c r="D72" i="32"/>
  <c r="E72" i="32"/>
  <c r="G72" i="32"/>
  <c r="H72" i="32"/>
  <c r="I72" i="32"/>
  <c r="K72" i="32"/>
  <c r="C73" i="32"/>
  <c r="D73" i="32"/>
  <c r="E73" i="32"/>
  <c r="G73" i="32"/>
  <c r="H73" i="32"/>
  <c r="I73" i="32"/>
  <c r="K73" i="32"/>
  <c r="C74" i="32"/>
  <c r="D74" i="32"/>
  <c r="E74" i="32"/>
  <c r="G74" i="32"/>
  <c r="H74" i="32"/>
  <c r="I74" i="32"/>
  <c r="K74" i="32"/>
  <c r="C75" i="32"/>
  <c r="D75" i="32"/>
  <c r="E75" i="32"/>
  <c r="G75" i="32"/>
  <c r="H75" i="32"/>
  <c r="I75" i="32"/>
  <c r="K75" i="32"/>
  <c r="C76" i="32"/>
  <c r="D76" i="32"/>
  <c r="E76" i="32"/>
  <c r="G76" i="32"/>
  <c r="H76" i="32"/>
  <c r="I76" i="32"/>
  <c r="K76" i="32"/>
  <c r="C77" i="32"/>
  <c r="D77" i="32"/>
  <c r="E77" i="32"/>
  <c r="G77" i="32"/>
  <c r="H77" i="32"/>
  <c r="I77" i="32"/>
  <c r="K77" i="32"/>
  <c r="C78" i="32"/>
  <c r="D78" i="32"/>
  <c r="E78" i="32"/>
  <c r="G78" i="32"/>
  <c r="H78" i="32"/>
  <c r="I78" i="32"/>
  <c r="K78" i="32"/>
  <c r="C79" i="32"/>
  <c r="D79" i="32"/>
  <c r="E79" i="32"/>
  <c r="G79" i="32"/>
  <c r="H79" i="32"/>
  <c r="I79" i="32"/>
  <c r="K79" i="32"/>
  <c r="C80" i="32"/>
  <c r="D80" i="32"/>
  <c r="E80" i="32"/>
  <c r="G80" i="32"/>
  <c r="H80" i="32"/>
  <c r="I80" i="32"/>
  <c r="K80" i="32"/>
  <c r="C81" i="32"/>
  <c r="D81" i="32"/>
  <c r="E81" i="32"/>
  <c r="G81" i="32"/>
  <c r="H81" i="32"/>
  <c r="I81" i="32"/>
  <c r="K81" i="32"/>
  <c r="C82" i="32"/>
  <c r="D82" i="32"/>
  <c r="E82" i="32"/>
  <c r="G82" i="32"/>
  <c r="H82" i="32"/>
  <c r="I82" i="32"/>
  <c r="K82" i="32"/>
  <c r="C83" i="32"/>
  <c r="D83" i="32"/>
  <c r="E83" i="32"/>
  <c r="G83" i="32"/>
  <c r="H83" i="32"/>
  <c r="I83" i="32"/>
  <c r="K83" i="32"/>
  <c r="C84" i="32"/>
  <c r="D84" i="32"/>
  <c r="E84" i="32"/>
  <c r="F84" i="32"/>
  <c r="G84" i="32"/>
  <c r="H84" i="32"/>
  <c r="I84" i="32"/>
  <c r="K84" i="32"/>
  <c r="L84" i="32"/>
  <c r="N84" i="32"/>
  <c r="C85" i="32"/>
  <c r="D85" i="32"/>
  <c r="E85" i="32"/>
  <c r="F85" i="32"/>
  <c r="G85" i="32"/>
  <c r="H85" i="32"/>
  <c r="I85" i="32"/>
  <c r="K85" i="32"/>
  <c r="L85" i="32"/>
  <c r="N85" i="32"/>
  <c r="C86" i="32"/>
  <c r="D86" i="32"/>
  <c r="E86" i="32"/>
  <c r="F86" i="32"/>
  <c r="G86" i="32"/>
  <c r="H86" i="32"/>
  <c r="I86" i="32"/>
  <c r="K86" i="32"/>
  <c r="L86" i="32"/>
  <c r="N86" i="32"/>
  <c r="C87" i="32"/>
  <c r="D87" i="32"/>
  <c r="E87" i="32"/>
  <c r="F87" i="32"/>
  <c r="G87" i="32"/>
  <c r="H87" i="32"/>
  <c r="I87" i="32"/>
  <c r="K87" i="32"/>
  <c r="L87" i="32"/>
  <c r="N87" i="32"/>
  <c r="C88" i="32"/>
  <c r="D88" i="32"/>
  <c r="E88" i="32"/>
  <c r="F88" i="32"/>
  <c r="G88" i="32"/>
  <c r="H88" i="32"/>
  <c r="I88" i="32"/>
  <c r="K88" i="32"/>
  <c r="L88" i="32"/>
  <c r="N88" i="32"/>
  <c r="C89" i="32"/>
  <c r="D89" i="32"/>
  <c r="E89" i="32"/>
  <c r="F89" i="32"/>
  <c r="G89" i="32"/>
  <c r="H89" i="32"/>
  <c r="I89" i="32"/>
  <c r="K89" i="32"/>
  <c r="L89" i="32"/>
  <c r="N89" i="32"/>
  <c r="C90" i="32"/>
  <c r="D90" i="32"/>
  <c r="E90" i="32"/>
  <c r="F90" i="32"/>
  <c r="G90" i="32"/>
  <c r="H90" i="32"/>
  <c r="I90" i="32"/>
  <c r="K90" i="32"/>
  <c r="L90" i="32"/>
  <c r="N90" i="32"/>
  <c r="C91" i="32"/>
  <c r="D91" i="32"/>
  <c r="E91" i="32"/>
  <c r="F91" i="32"/>
  <c r="G91" i="32"/>
  <c r="H91" i="32"/>
  <c r="I91" i="32"/>
  <c r="K91" i="32"/>
  <c r="L91" i="32"/>
  <c r="N91" i="32"/>
  <c r="C92" i="32"/>
  <c r="D92" i="32"/>
  <c r="E92" i="32"/>
  <c r="F92" i="32"/>
  <c r="G92" i="32"/>
  <c r="H92" i="32"/>
  <c r="I92" i="32"/>
  <c r="K92" i="32"/>
  <c r="L92" i="32"/>
  <c r="N92" i="32"/>
  <c r="C93" i="32"/>
  <c r="D93" i="32"/>
  <c r="E93" i="32"/>
  <c r="F93" i="32"/>
  <c r="G93" i="32"/>
  <c r="H93" i="32"/>
  <c r="I93" i="32"/>
  <c r="K93" i="32"/>
  <c r="L93" i="32"/>
  <c r="N93" i="32"/>
  <c r="C94" i="32"/>
  <c r="D94" i="32"/>
  <c r="E94" i="32"/>
  <c r="F94" i="32"/>
  <c r="G94" i="32"/>
  <c r="H94" i="32"/>
  <c r="I94" i="32"/>
  <c r="K94" i="32"/>
  <c r="L94" i="32"/>
  <c r="N94" i="32"/>
  <c r="C95" i="32"/>
  <c r="D95" i="32"/>
  <c r="E95" i="32"/>
  <c r="F95" i="32"/>
  <c r="G95" i="32"/>
  <c r="H95" i="32"/>
  <c r="I95" i="32"/>
  <c r="K95" i="32"/>
  <c r="L95" i="32"/>
  <c r="N95" i="32"/>
  <c r="C96" i="32"/>
  <c r="D96" i="32"/>
  <c r="E96" i="32"/>
  <c r="F96" i="32"/>
  <c r="G96" i="32"/>
  <c r="H96" i="32"/>
  <c r="I96" i="32"/>
  <c r="K96" i="32"/>
  <c r="L96" i="32"/>
  <c r="N96" i="32"/>
  <c r="C97" i="32"/>
  <c r="D97" i="32"/>
  <c r="E97" i="32"/>
  <c r="F97" i="32"/>
  <c r="G97" i="32"/>
  <c r="H97" i="32"/>
  <c r="I97" i="32"/>
  <c r="K97" i="32"/>
  <c r="L97" i="32"/>
  <c r="N97" i="32"/>
  <c r="C98" i="32"/>
  <c r="D98" i="32"/>
  <c r="E98" i="32"/>
  <c r="F98" i="32"/>
  <c r="G98" i="32"/>
  <c r="H98" i="32"/>
  <c r="I98" i="32"/>
  <c r="K98" i="32"/>
  <c r="L98" i="32"/>
  <c r="N98" i="32"/>
  <c r="C99" i="32"/>
  <c r="D99" i="32"/>
  <c r="E99" i="32"/>
  <c r="F99" i="32"/>
  <c r="G99" i="32"/>
  <c r="H99" i="32"/>
  <c r="I99" i="32"/>
  <c r="K99" i="32"/>
  <c r="L99" i="32"/>
  <c r="N99" i="32"/>
  <c r="C100" i="32"/>
  <c r="D100" i="32"/>
  <c r="E100" i="32"/>
  <c r="F100" i="32"/>
  <c r="G100" i="32"/>
  <c r="H100" i="32"/>
  <c r="I100" i="32"/>
  <c r="K100" i="32"/>
  <c r="L100" i="32"/>
  <c r="N100" i="32"/>
  <c r="C101" i="32"/>
  <c r="D101" i="32"/>
  <c r="E101" i="32"/>
  <c r="F101" i="32"/>
  <c r="G101" i="32"/>
  <c r="H101" i="32"/>
  <c r="I101" i="32"/>
  <c r="K101" i="32"/>
  <c r="L101" i="32"/>
  <c r="N101" i="32"/>
  <c r="C102" i="32"/>
  <c r="D102" i="32"/>
  <c r="E102" i="32"/>
  <c r="F102" i="32"/>
  <c r="G102" i="32"/>
  <c r="H102" i="32"/>
  <c r="I102" i="32"/>
  <c r="K102" i="32"/>
  <c r="L102" i="32"/>
  <c r="N102" i="32"/>
  <c r="C103" i="32"/>
  <c r="D103" i="32"/>
  <c r="E103" i="32"/>
  <c r="F103" i="32"/>
  <c r="G103" i="32"/>
  <c r="H103" i="32"/>
  <c r="I103" i="32"/>
  <c r="K103" i="32"/>
  <c r="L103" i="32"/>
  <c r="N103" i="32"/>
  <c r="C104" i="32"/>
  <c r="D104" i="32"/>
  <c r="E104" i="32"/>
  <c r="F104" i="32"/>
  <c r="G104" i="32"/>
  <c r="H104" i="32"/>
  <c r="I104" i="32"/>
  <c r="K104" i="32"/>
  <c r="L104" i="32"/>
  <c r="N104" i="32"/>
  <c r="C105" i="32"/>
  <c r="D105" i="32"/>
  <c r="E105" i="32"/>
  <c r="F105" i="32"/>
  <c r="G105" i="32"/>
  <c r="H105" i="32"/>
  <c r="I105" i="32"/>
  <c r="K105" i="32"/>
  <c r="L105" i="32"/>
  <c r="N105" i="32"/>
  <c r="C106" i="32"/>
  <c r="D106" i="32"/>
  <c r="E106" i="32"/>
  <c r="F106" i="32"/>
  <c r="G106" i="32"/>
  <c r="H106" i="32"/>
  <c r="I106" i="32"/>
  <c r="K106" i="32"/>
  <c r="L106" i="32"/>
  <c r="N106" i="32"/>
  <c r="C107" i="32"/>
  <c r="D107" i="32"/>
  <c r="E107" i="32"/>
  <c r="F107" i="32"/>
  <c r="G107" i="32"/>
  <c r="H107" i="32"/>
  <c r="I107" i="32"/>
  <c r="K107" i="32"/>
  <c r="L107" i="32"/>
  <c r="N107" i="32"/>
  <c r="C108" i="32"/>
  <c r="D108" i="32"/>
  <c r="E108" i="32"/>
  <c r="F108" i="32"/>
  <c r="G108" i="32"/>
  <c r="H108" i="32"/>
  <c r="I108" i="32"/>
  <c r="K108" i="32"/>
  <c r="L108" i="32"/>
  <c r="N108" i="32"/>
  <c r="C109" i="32"/>
  <c r="D109" i="32"/>
  <c r="E109" i="32"/>
  <c r="F109" i="32"/>
  <c r="G109" i="32"/>
  <c r="H109" i="32"/>
  <c r="I109" i="32"/>
  <c r="K109" i="32"/>
  <c r="L109" i="32"/>
  <c r="N109" i="32"/>
  <c r="C110" i="32"/>
  <c r="D110" i="32"/>
  <c r="E110" i="32"/>
  <c r="F110" i="32"/>
  <c r="G110" i="32"/>
  <c r="H110" i="32"/>
  <c r="I110" i="32"/>
  <c r="K110" i="32"/>
  <c r="L110" i="32"/>
  <c r="N110" i="32"/>
  <c r="C111" i="32"/>
  <c r="D111" i="32"/>
  <c r="E111" i="32"/>
  <c r="F111" i="32"/>
  <c r="G111" i="32"/>
  <c r="H111" i="32"/>
  <c r="I111" i="32"/>
  <c r="K111" i="32"/>
  <c r="L111" i="32"/>
  <c r="N111" i="32"/>
  <c r="R3" i="32" l="1"/>
  <c r="S3" i="32"/>
  <c r="T3" i="32"/>
  <c r="U3" i="32"/>
  <c r="V3" i="32"/>
  <c r="W3" i="32"/>
  <c r="X3" i="32"/>
  <c r="Y3" i="32"/>
  <c r="Z3" i="32"/>
  <c r="AA3" i="32"/>
  <c r="R4" i="32"/>
  <c r="S4" i="32"/>
  <c r="T4" i="32"/>
  <c r="U4" i="32"/>
  <c r="V4" i="32"/>
  <c r="W4" i="32"/>
  <c r="X4" i="32"/>
  <c r="Y4" i="32"/>
  <c r="Z4" i="32"/>
  <c r="AA4" i="32"/>
  <c r="R5" i="32"/>
  <c r="S5" i="32"/>
  <c r="T5" i="32"/>
  <c r="U5" i="32"/>
  <c r="V5" i="32"/>
  <c r="W5" i="32"/>
  <c r="X5" i="32"/>
  <c r="Y5" i="32"/>
  <c r="Z5" i="32"/>
  <c r="AA5" i="32"/>
  <c r="R6" i="32"/>
  <c r="S6" i="32"/>
  <c r="T6" i="32"/>
  <c r="U6" i="32"/>
  <c r="V6" i="32"/>
  <c r="W6" i="32"/>
  <c r="X6" i="32"/>
  <c r="Y6" i="32"/>
  <c r="Z6" i="32"/>
  <c r="AA6" i="32"/>
  <c r="R7" i="32"/>
  <c r="S7" i="32"/>
  <c r="T7" i="32"/>
  <c r="U7" i="32"/>
  <c r="V7" i="32"/>
  <c r="W7" i="32"/>
  <c r="X7" i="32"/>
  <c r="Y7" i="32"/>
  <c r="Z7" i="32"/>
  <c r="AA7" i="32"/>
  <c r="R8" i="32"/>
  <c r="S8" i="32"/>
  <c r="T8" i="32"/>
  <c r="U8" i="32"/>
  <c r="V8" i="32"/>
  <c r="W8" i="32"/>
  <c r="X8" i="32"/>
  <c r="Y8" i="32"/>
  <c r="Z8" i="32"/>
  <c r="AA8" i="32"/>
  <c r="R9" i="32"/>
  <c r="S9" i="32"/>
  <c r="T9" i="32"/>
  <c r="U9" i="32"/>
  <c r="V9" i="32"/>
  <c r="W9" i="32"/>
  <c r="X9" i="32"/>
  <c r="Y9" i="32"/>
  <c r="Z9" i="32"/>
  <c r="AA9" i="32"/>
  <c r="R10" i="32"/>
  <c r="S10" i="32"/>
  <c r="T10" i="32"/>
  <c r="U10" i="32"/>
  <c r="V10" i="32"/>
  <c r="W10" i="32"/>
  <c r="X10" i="32"/>
  <c r="Y10" i="32"/>
  <c r="Z10" i="32"/>
  <c r="AA10" i="32"/>
  <c r="R11" i="32"/>
  <c r="S11" i="32"/>
  <c r="T11" i="32"/>
  <c r="U11" i="32"/>
  <c r="V11" i="32"/>
  <c r="W11" i="32"/>
  <c r="X11" i="32"/>
  <c r="Y11" i="32"/>
  <c r="Z11" i="32"/>
  <c r="AA11" i="32"/>
  <c r="R12" i="32"/>
  <c r="S12" i="32"/>
  <c r="T12" i="32"/>
  <c r="U12" i="32"/>
  <c r="V12" i="32"/>
  <c r="W12" i="32"/>
  <c r="X12" i="32"/>
  <c r="Y12" i="32"/>
  <c r="Z12" i="32"/>
  <c r="AA12" i="32"/>
  <c r="R13" i="32"/>
  <c r="S13" i="32"/>
  <c r="T13" i="32"/>
  <c r="U13" i="32"/>
  <c r="V13" i="32"/>
  <c r="W13" i="32"/>
  <c r="X13" i="32"/>
  <c r="Y13" i="32"/>
  <c r="Z13" i="32"/>
  <c r="AA13" i="32"/>
  <c r="R14" i="32"/>
  <c r="S14" i="32"/>
  <c r="T14" i="32"/>
  <c r="U14" i="32"/>
  <c r="V14" i="32"/>
  <c r="W14" i="32"/>
  <c r="X14" i="32"/>
  <c r="Y14" i="32"/>
  <c r="Z14" i="32"/>
  <c r="AA14" i="32"/>
  <c r="R15" i="32"/>
  <c r="S15" i="32"/>
  <c r="T15" i="32"/>
  <c r="U15" i="32"/>
  <c r="V15" i="32"/>
  <c r="W15" i="32"/>
  <c r="X15" i="32"/>
  <c r="Y15" i="32"/>
  <c r="Z15" i="32"/>
  <c r="AA15" i="32"/>
  <c r="R16" i="32"/>
  <c r="S16" i="32"/>
  <c r="T16" i="32"/>
  <c r="U16" i="32"/>
  <c r="V16" i="32"/>
  <c r="W16" i="32"/>
  <c r="X16" i="32"/>
  <c r="Y16" i="32"/>
  <c r="Z16" i="32"/>
  <c r="AA16" i="32"/>
  <c r="R17" i="32"/>
  <c r="S17" i="32"/>
  <c r="T17" i="32"/>
  <c r="U17" i="32"/>
  <c r="V17" i="32"/>
  <c r="W17" i="32"/>
  <c r="X17" i="32"/>
  <c r="Y17" i="32"/>
  <c r="Z17" i="32"/>
  <c r="AA17" i="32"/>
  <c r="R18" i="32"/>
  <c r="S18" i="32"/>
  <c r="T18" i="32"/>
  <c r="U18" i="32"/>
  <c r="V18" i="32"/>
  <c r="W18" i="32"/>
  <c r="X18" i="32"/>
  <c r="Y18" i="32"/>
  <c r="Z18" i="32"/>
  <c r="AA18" i="32"/>
  <c r="R19" i="32"/>
  <c r="S19" i="32"/>
  <c r="T19" i="32"/>
  <c r="U19" i="32"/>
  <c r="V19" i="32"/>
  <c r="W19" i="32"/>
  <c r="X19" i="32"/>
  <c r="Y19" i="32"/>
  <c r="Z19" i="32"/>
  <c r="AA19" i="32"/>
  <c r="R20" i="32"/>
  <c r="S20" i="32"/>
  <c r="T20" i="32"/>
  <c r="U20" i="32"/>
  <c r="V20" i="32"/>
  <c r="W20" i="32"/>
  <c r="X20" i="32"/>
  <c r="Y20" i="32"/>
  <c r="Z20" i="32"/>
  <c r="AA20" i="32"/>
  <c r="R21" i="32"/>
  <c r="S21" i="32"/>
  <c r="T21" i="32"/>
  <c r="U21" i="32"/>
  <c r="V21" i="32"/>
  <c r="W21" i="32"/>
  <c r="X21" i="32"/>
  <c r="Y21" i="32"/>
  <c r="Z21" i="32"/>
  <c r="AA21" i="32"/>
  <c r="R22" i="32"/>
  <c r="S22" i="32"/>
  <c r="T22" i="32"/>
  <c r="U22" i="32"/>
  <c r="V22" i="32"/>
  <c r="W22" i="32"/>
  <c r="X22" i="32"/>
  <c r="Y22" i="32"/>
  <c r="Z22" i="32"/>
  <c r="AA22" i="32"/>
  <c r="R23" i="32"/>
  <c r="S23" i="32"/>
  <c r="T23" i="32"/>
  <c r="U23" i="32"/>
  <c r="V23" i="32"/>
  <c r="W23" i="32"/>
  <c r="X23" i="32"/>
  <c r="Y23" i="32"/>
  <c r="Z23" i="32"/>
  <c r="AA23" i="32"/>
  <c r="R24" i="32"/>
  <c r="S24" i="32"/>
  <c r="T24" i="32"/>
  <c r="U24" i="32"/>
  <c r="V24" i="32"/>
  <c r="W24" i="32"/>
  <c r="X24" i="32"/>
  <c r="Y24" i="32"/>
  <c r="Z24" i="32"/>
  <c r="AA24" i="32"/>
  <c r="R25" i="32"/>
  <c r="S25" i="32"/>
  <c r="T25" i="32"/>
  <c r="U25" i="32"/>
  <c r="V25" i="32"/>
  <c r="W25" i="32"/>
  <c r="X25" i="32"/>
  <c r="Y25" i="32"/>
  <c r="Z25" i="32"/>
  <c r="AA25" i="32"/>
  <c r="R26" i="32"/>
  <c r="S26" i="32"/>
  <c r="T26" i="32"/>
  <c r="U26" i="32"/>
  <c r="V26" i="32"/>
  <c r="W26" i="32"/>
  <c r="X26" i="32"/>
  <c r="Y26" i="32"/>
  <c r="Z26" i="32"/>
  <c r="AA26" i="32"/>
  <c r="R27" i="32"/>
  <c r="S27" i="32"/>
  <c r="T27" i="32"/>
  <c r="U27" i="32"/>
  <c r="V27" i="32"/>
  <c r="W27" i="32"/>
  <c r="X27" i="32"/>
  <c r="Y27" i="32"/>
  <c r="Z27" i="32"/>
  <c r="AA27" i="32"/>
  <c r="R28" i="32"/>
  <c r="S28" i="32"/>
  <c r="T28" i="32"/>
  <c r="U28" i="32"/>
  <c r="V28" i="32"/>
  <c r="W28" i="32"/>
  <c r="X28" i="32"/>
  <c r="Y28" i="32"/>
  <c r="Z28" i="32"/>
  <c r="AA28" i="32"/>
  <c r="R29" i="32"/>
  <c r="S29" i="32"/>
  <c r="T29" i="32"/>
  <c r="U29" i="32"/>
  <c r="V29" i="32"/>
  <c r="W29" i="32"/>
  <c r="X29" i="32"/>
  <c r="Y29" i="32"/>
  <c r="Z29" i="32"/>
  <c r="AA29" i="32"/>
  <c r="R30" i="32"/>
  <c r="S30" i="32"/>
  <c r="T30" i="32"/>
  <c r="U30" i="32"/>
  <c r="V30" i="32"/>
  <c r="W30" i="32"/>
  <c r="X30" i="32"/>
  <c r="Y30" i="32"/>
  <c r="Z30" i="32"/>
  <c r="AA30" i="32"/>
  <c r="R31" i="32"/>
  <c r="S31" i="32"/>
  <c r="T31" i="32"/>
  <c r="U31" i="32"/>
  <c r="V31" i="32"/>
  <c r="W31" i="32"/>
  <c r="X31" i="32"/>
  <c r="Y31" i="32"/>
  <c r="Z31" i="32"/>
  <c r="AA31" i="32"/>
  <c r="R32" i="32"/>
  <c r="S32" i="32"/>
  <c r="T32" i="32"/>
  <c r="U32" i="32"/>
  <c r="V32" i="32"/>
  <c r="W32" i="32"/>
  <c r="X32" i="32"/>
  <c r="Y32" i="32"/>
  <c r="Z32" i="32"/>
  <c r="AA32" i="32"/>
  <c r="R33" i="32"/>
  <c r="S33" i="32"/>
  <c r="T33" i="32"/>
  <c r="U33" i="32"/>
  <c r="V33" i="32"/>
  <c r="W33" i="32"/>
  <c r="X33" i="32"/>
  <c r="Y33" i="32"/>
  <c r="Z33" i="32"/>
  <c r="AA33" i="32"/>
  <c r="R34" i="32"/>
  <c r="S34" i="32"/>
  <c r="T34" i="32"/>
  <c r="U34" i="32"/>
  <c r="V34" i="32"/>
  <c r="W34" i="32"/>
  <c r="X34" i="32"/>
  <c r="Y34" i="32"/>
  <c r="Z34" i="32"/>
  <c r="AA34" i="32"/>
  <c r="R35" i="32"/>
  <c r="S35" i="32"/>
  <c r="T35" i="32"/>
  <c r="U35" i="32"/>
  <c r="V35" i="32"/>
  <c r="W35" i="32"/>
  <c r="X35" i="32"/>
  <c r="Y35" i="32"/>
  <c r="Z35" i="32"/>
  <c r="AA35" i="32"/>
  <c r="R36" i="32"/>
  <c r="S36" i="32"/>
  <c r="T36" i="32"/>
  <c r="U36" i="32"/>
  <c r="V36" i="32"/>
  <c r="W36" i="32"/>
  <c r="X36" i="32"/>
  <c r="Y36" i="32"/>
  <c r="Z36" i="32"/>
  <c r="AA36" i="32"/>
  <c r="R37" i="32"/>
  <c r="S37" i="32"/>
  <c r="T37" i="32"/>
  <c r="U37" i="32"/>
  <c r="V37" i="32"/>
  <c r="W37" i="32"/>
  <c r="X37" i="32"/>
  <c r="Y37" i="32"/>
  <c r="Z37" i="32"/>
  <c r="AA37" i="32"/>
  <c r="R38" i="32"/>
  <c r="S38" i="32"/>
  <c r="T38" i="32"/>
  <c r="U38" i="32"/>
  <c r="V38" i="32"/>
  <c r="W38" i="32"/>
  <c r="X38" i="32"/>
  <c r="Y38" i="32"/>
  <c r="Z38" i="32"/>
  <c r="AA38" i="32"/>
  <c r="R39" i="32"/>
  <c r="S39" i="32"/>
  <c r="T39" i="32"/>
  <c r="U39" i="32"/>
  <c r="V39" i="32"/>
  <c r="W39" i="32"/>
  <c r="X39" i="32"/>
  <c r="Y39" i="32"/>
  <c r="Z39" i="32"/>
  <c r="AA39" i="32"/>
  <c r="R40" i="32"/>
  <c r="S40" i="32"/>
  <c r="T40" i="32"/>
  <c r="U40" i="32"/>
  <c r="V40" i="32"/>
  <c r="W40" i="32"/>
  <c r="X40" i="32"/>
  <c r="Y40" i="32"/>
  <c r="Z40" i="32"/>
  <c r="AA40" i="32"/>
  <c r="R41" i="32"/>
  <c r="S41" i="32"/>
  <c r="T41" i="32"/>
  <c r="U41" i="32"/>
  <c r="V41" i="32"/>
  <c r="W41" i="32"/>
  <c r="X41" i="32"/>
  <c r="Y41" i="32"/>
  <c r="Z41" i="32"/>
  <c r="AA41" i="32"/>
  <c r="R42" i="32"/>
  <c r="S42" i="32"/>
  <c r="T42" i="32"/>
  <c r="U42" i="32"/>
  <c r="V42" i="32"/>
  <c r="W42" i="32"/>
  <c r="X42" i="32"/>
  <c r="Y42" i="32"/>
  <c r="Z42" i="32"/>
  <c r="AA42" i="32"/>
  <c r="R43" i="32"/>
  <c r="S43" i="32"/>
  <c r="T43" i="32"/>
  <c r="U43" i="32"/>
  <c r="V43" i="32"/>
  <c r="W43" i="32"/>
  <c r="X43" i="32"/>
  <c r="Y43" i="32"/>
  <c r="Z43" i="32"/>
  <c r="AA43" i="32"/>
  <c r="R44" i="32"/>
  <c r="S44" i="32"/>
  <c r="T44" i="32"/>
  <c r="U44" i="32"/>
  <c r="V44" i="32"/>
  <c r="W44" i="32"/>
  <c r="X44" i="32"/>
  <c r="Y44" i="32"/>
  <c r="Z44" i="32"/>
  <c r="AA44" i="32"/>
  <c r="R45" i="32"/>
  <c r="S45" i="32"/>
  <c r="T45" i="32"/>
  <c r="U45" i="32"/>
  <c r="V45" i="32"/>
  <c r="W45" i="32"/>
  <c r="X45" i="32"/>
  <c r="Y45" i="32"/>
  <c r="Z45" i="32"/>
  <c r="AA45" i="32"/>
  <c r="R46" i="32"/>
  <c r="S46" i="32"/>
  <c r="T46" i="32"/>
  <c r="U46" i="32"/>
  <c r="V46" i="32"/>
  <c r="W46" i="32"/>
  <c r="X46" i="32"/>
  <c r="Y46" i="32"/>
  <c r="Z46" i="32"/>
  <c r="AA46" i="32"/>
  <c r="R47" i="32"/>
  <c r="S47" i="32"/>
  <c r="T47" i="32"/>
  <c r="U47" i="32"/>
  <c r="V47" i="32"/>
  <c r="W47" i="32"/>
  <c r="X47" i="32"/>
  <c r="Y47" i="32"/>
  <c r="Z47" i="32"/>
  <c r="AA47" i="32"/>
  <c r="R48" i="32"/>
  <c r="S48" i="32"/>
  <c r="T48" i="32"/>
  <c r="U48" i="32"/>
  <c r="V48" i="32"/>
  <c r="W48" i="32"/>
  <c r="X48" i="32"/>
  <c r="Y48" i="32"/>
  <c r="Z48" i="32"/>
  <c r="AA48" i="32"/>
  <c r="R49" i="32"/>
  <c r="S49" i="32"/>
  <c r="T49" i="32"/>
  <c r="U49" i="32"/>
  <c r="V49" i="32"/>
  <c r="W49" i="32"/>
  <c r="X49" i="32"/>
  <c r="Y49" i="32"/>
  <c r="Z49" i="32"/>
  <c r="AA49" i="32"/>
  <c r="R50" i="32"/>
  <c r="S50" i="32"/>
  <c r="T50" i="32"/>
  <c r="U50" i="32"/>
  <c r="V50" i="32"/>
  <c r="W50" i="32"/>
  <c r="X50" i="32"/>
  <c r="Y50" i="32"/>
  <c r="Z50" i="32"/>
  <c r="AA50" i="32"/>
  <c r="R51" i="32"/>
  <c r="S51" i="32"/>
  <c r="T51" i="32"/>
  <c r="U51" i="32"/>
  <c r="V51" i="32"/>
  <c r="W51" i="32"/>
  <c r="X51" i="32"/>
  <c r="Y51" i="32"/>
  <c r="Z51" i="32"/>
  <c r="AA51" i="32"/>
  <c r="R52" i="32"/>
  <c r="S52" i="32"/>
  <c r="T52" i="32"/>
  <c r="U52" i="32"/>
  <c r="V52" i="32"/>
  <c r="W52" i="32"/>
  <c r="X52" i="32"/>
  <c r="Y52" i="32"/>
  <c r="Z52" i="32"/>
  <c r="AA52" i="32"/>
  <c r="R53" i="32"/>
  <c r="S53" i="32"/>
  <c r="T53" i="32"/>
  <c r="U53" i="32"/>
  <c r="V53" i="32"/>
  <c r="W53" i="32"/>
  <c r="X53" i="32"/>
  <c r="Y53" i="32"/>
  <c r="Z53" i="32"/>
  <c r="AA53" i="32"/>
  <c r="R54" i="32"/>
  <c r="S54" i="32"/>
  <c r="T54" i="32"/>
  <c r="U54" i="32"/>
  <c r="V54" i="32"/>
  <c r="W54" i="32"/>
  <c r="X54" i="32"/>
  <c r="Y54" i="32"/>
  <c r="Z54" i="32"/>
  <c r="AA54" i="32"/>
  <c r="R55" i="32"/>
  <c r="S55" i="32"/>
  <c r="T55" i="32"/>
  <c r="U55" i="32"/>
  <c r="V55" i="32"/>
  <c r="W55" i="32"/>
  <c r="X55" i="32"/>
  <c r="Y55" i="32"/>
  <c r="Z55" i="32"/>
  <c r="AA55" i="32"/>
  <c r="R56" i="32"/>
  <c r="S56" i="32"/>
  <c r="T56" i="32"/>
  <c r="U56" i="32"/>
  <c r="V56" i="32"/>
  <c r="W56" i="32"/>
  <c r="X56" i="32"/>
  <c r="Y56" i="32"/>
  <c r="Z56" i="32"/>
  <c r="AA56" i="32"/>
  <c r="A3" i="32"/>
  <c r="C3" i="32"/>
  <c r="D3" i="32"/>
  <c r="E3" i="32"/>
  <c r="G3" i="32"/>
  <c r="H3" i="32"/>
  <c r="I3" i="32"/>
  <c r="K3" i="32"/>
  <c r="A4" i="32"/>
  <c r="C4" i="32"/>
  <c r="D4" i="32"/>
  <c r="E4" i="32"/>
  <c r="G4" i="32"/>
  <c r="H4" i="32"/>
  <c r="I4" i="32"/>
  <c r="K4" i="32"/>
  <c r="A5" i="32"/>
  <c r="C5" i="32"/>
  <c r="D5" i="32"/>
  <c r="E5" i="32"/>
  <c r="G5" i="32"/>
  <c r="H5" i="32"/>
  <c r="I5" i="32"/>
  <c r="K5" i="32"/>
  <c r="A6" i="32"/>
  <c r="C6" i="32"/>
  <c r="D6" i="32"/>
  <c r="E6" i="32"/>
  <c r="G6" i="32"/>
  <c r="H6" i="32"/>
  <c r="I6" i="32"/>
  <c r="K6" i="32"/>
  <c r="A7" i="32"/>
  <c r="C7" i="32"/>
  <c r="D7" i="32"/>
  <c r="E7" i="32"/>
  <c r="G7" i="32"/>
  <c r="H7" i="32"/>
  <c r="I7" i="32"/>
  <c r="K7" i="32"/>
  <c r="A8" i="32"/>
  <c r="C8" i="32"/>
  <c r="D8" i="32"/>
  <c r="E8" i="32"/>
  <c r="G8" i="32"/>
  <c r="H8" i="32"/>
  <c r="I8" i="32"/>
  <c r="K8" i="32"/>
  <c r="A9" i="32"/>
  <c r="C9" i="32"/>
  <c r="D9" i="32"/>
  <c r="E9" i="32"/>
  <c r="G9" i="32"/>
  <c r="H9" i="32"/>
  <c r="I9" i="32"/>
  <c r="K9" i="32"/>
  <c r="A10" i="32"/>
  <c r="C10" i="32"/>
  <c r="D10" i="32"/>
  <c r="E10" i="32"/>
  <c r="G10" i="32"/>
  <c r="H10" i="32"/>
  <c r="I10" i="32"/>
  <c r="K10" i="32"/>
  <c r="A11" i="32"/>
  <c r="C11" i="32"/>
  <c r="D11" i="32"/>
  <c r="E11" i="32"/>
  <c r="G11" i="32"/>
  <c r="H11" i="32"/>
  <c r="I11" i="32"/>
  <c r="K11" i="32"/>
  <c r="A12" i="32"/>
  <c r="C12" i="32"/>
  <c r="D12" i="32"/>
  <c r="E12" i="32"/>
  <c r="G12" i="32"/>
  <c r="H12" i="32"/>
  <c r="I12" i="32"/>
  <c r="K12" i="32"/>
  <c r="A13" i="32"/>
  <c r="C13" i="32"/>
  <c r="D13" i="32"/>
  <c r="E13" i="32"/>
  <c r="G13" i="32"/>
  <c r="H13" i="32"/>
  <c r="I13" i="32"/>
  <c r="K13" i="32"/>
  <c r="A14" i="32"/>
  <c r="C14" i="32"/>
  <c r="D14" i="32"/>
  <c r="E14" i="32"/>
  <c r="G14" i="32"/>
  <c r="H14" i="32"/>
  <c r="I14" i="32"/>
  <c r="K14" i="32"/>
  <c r="A15" i="32"/>
  <c r="C15" i="32"/>
  <c r="D15" i="32"/>
  <c r="E15" i="32"/>
  <c r="G15" i="32"/>
  <c r="H15" i="32"/>
  <c r="I15" i="32"/>
  <c r="K15" i="32"/>
  <c r="A16" i="32"/>
  <c r="C16" i="32"/>
  <c r="D16" i="32"/>
  <c r="E16" i="32"/>
  <c r="G16" i="32"/>
  <c r="H16" i="32"/>
  <c r="I16" i="32"/>
  <c r="K16" i="32"/>
  <c r="A17" i="32"/>
  <c r="C17" i="32"/>
  <c r="D17" i="32"/>
  <c r="E17" i="32"/>
  <c r="G17" i="32"/>
  <c r="H17" i="32"/>
  <c r="I17" i="32"/>
  <c r="K17" i="32"/>
  <c r="A18" i="32"/>
  <c r="C18" i="32"/>
  <c r="D18" i="32"/>
  <c r="E18" i="32"/>
  <c r="G18" i="32"/>
  <c r="H18" i="32"/>
  <c r="I18" i="32"/>
  <c r="K18" i="32"/>
  <c r="A19" i="32"/>
  <c r="C19" i="32"/>
  <c r="D19" i="32"/>
  <c r="E19" i="32"/>
  <c r="G19" i="32"/>
  <c r="H19" i="32"/>
  <c r="I19" i="32"/>
  <c r="K19" i="32"/>
  <c r="A20" i="32"/>
  <c r="C20" i="32"/>
  <c r="D20" i="32"/>
  <c r="E20" i="32"/>
  <c r="G20" i="32"/>
  <c r="H20" i="32"/>
  <c r="I20" i="32"/>
  <c r="K20" i="32"/>
  <c r="A21" i="32"/>
  <c r="C21" i="32"/>
  <c r="D21" i="32"/>
  <c r="E21" i="32"/>
  <c r="G21" i="32"/>
  <c r="H21" i="32"/>
  <c r="I21" i="32"/>
  <c r="K21" i="32"/>
  <c r="A22" i="32"/>
  <c r="C22" i="32"/>
  <c r="D22" i="32"/>
  <c r="E22" i="32"/>
  <c r="G22" i="32"/>
  <c r="H22" i="32"/>
  <c r="I22" i="32"/>
  <c r="K22" i="32"/>
  <c r="A23" i="32"/>
  <c r="C23" i="32"/>
  <c r="D23" i="32"/>
  <c r="E23" i="32"/>
  <c r="G23" i="32"/>
  <c r="H23" i="32"/>
  <c r="I23" i="32"/>
  <c r="K23" i="32"/>
  <c r="A24" i="32"/>
  <c r="C24" i="32"/>
  <c r="D24" i="32"/>
  <c r="E24" i="32"/>
  <c r="G24" i="32"/>
  <c r="H24" i="32"/>
  <c r="I24" i="32"/>
  <c r="K24" i="32"/>
  <c r="A25" i="32"/>
  <c r="C25" i="32"/>
  <c r="D25" i="32"/>
  <c r="E25" i="32"/>
  <c r="G25" i="32"/>
  <c r="H25" i="32"/>
  <c r="I25" i="32"/>
  <c r="K25" i="32"/>
  <c r="A26" i="32"/>
  <c r="C26" i="32"/>
  <c r="D26" i="32"/>
  <c r="E26" i="32"/>
  <c r="G26" i="32"/>
  <c r="H26" i="32"/>
  <c r="I26" i="32"/>
  <c r="K26" i="32"/>
  <c r="A27" i="32"/>
  <c r="C27" i="32"/>
  <c r="D27" i="32"/>
  <c r="E27" i="32"/>
  <c r="G27" i="32"/>
  <c r="H27" i="32"/>
  <c r="I27" i="32"/>
  <c r="K27" i="32"/>
  <c r="A28" i="32"/>
  <c r="C28" i="32"/>
  <c r="D28" i="32"/>
  <c r="E28" i="32"/>
  <c r="G28" i="32"/>
  <c r="H28" i="32"/>
  <c r="I28" i="32"/>
  <c r="K28" i="32"/>
  <c r="A29" i="32"/>
  <c r="C29" i="32"/>
  <c r="D29" i="32"/>
  <c r="E29" i="32"/>
  <c r="G29" i="32"/>
  <c r="H29" i="32"/>
  <c r="I29" i="32"/>
  <c r="K29" i="32"/>
  <c r="A30" i="32"/>
  <c r="C30" i="32"/>
  <c r="D30" i="32"/>
  <c r="E30" i="32"/>
  <c r="G30" i="32"/>
  <c r="H30" i="32"/>
  <c r="I30" i="32"/>
  <c r="K30" i="32"/>
  <c r="A31" i="32"/>
  <c r="C31" i="32"/>
  <c r="D31" i="32"/>
  <c r="E31" i="32"/>
  <c r="G31" i="32"/>
  <c r="H31" i="32"/>
  <c r="I31" i="32"/>
  <c r="K31" i="32"/>
  <c r="A32" i="32"/>
  <c r="C32" i="32"/>
  <c r="D32" i="32"/>
  <c r="E32" i="32"/>
  <c r="F32" i="32"/>
  <c r="G32" i="32"/>
  <c r="H32" i="32"/>
  <c r="I32" i="32"/>
  <c r="K32" i="32"/>
  <c r="L32" i="32"/>
  <c r="N32" i="32"/>
  <c r="A33" i="32"/>
  <c r="C33" i="32"/>
  <c r="D33" i="32"/>
  <c r="E33" i="32"/>
  <c r="F33" i="32"/>
  <c r="G33" i="32"/>
  <c r="H33" i="32"/>
  <c r="I33" i="32"/>
  <c r="K33" i="32"/>
  <c r="L33" i="32"/>
  <c r="N33" i="32"/>
  <c r="A34" i="32"/>
  <c r="C34" i="32"/>
  <c r="D34" i="32"/>
  <c r="E34" i="32"/>
  <c r="F34" i="32"/>
  <c r="G34" i="32"/>
  <c r="H34" i="32"/>
  <c r="I34" i="32"/>
  <c r="K34" i="32"/>
  <c r="L34" i="32"/>
  <c r="N34" i="32"/>
  <c r="A35" i="32"/>
  <c r="C35" i="32"/>
  <c r="D35" i="32"/>
  <c r="E35" i="32"/>
  <c r="F35" i="32"/>
  <c r="G35" i="32"/>
  <c r="H35" i="32"/>
  <c r="I35" i="32"/>
  <c r="K35" i="32"/>
  <c r="L35" i="32"/>
  <c r="N35" i="32"/>
  <c r="A36" i="32"/>
  <c r="C36" i="32"/>
  <c r="D36" i="32"/>
  <c r="E36" i="32"/>
  <c r="F36" i="32"/>
  <c r="G36" i="32"/>
  <c r="H36" i="32"/>
  <c r="I36" i="32"/>
  <c r="K36" i="32"/>
  <c r="L36" i="32"/>
  <c r="N36" i="32"/>
  <c r="A37" i="32"/>
  <c r="C37" i="32"/>
  <c r="D37" i="32"/>
  <c r="E37" i="32"/>
  <c r="F37" i="32"/>
  <c r="G37" i="32"/>
  <c r="H37" i="32"/>
  <c r="I37" i="32"/>
  <c r="K37" i="32"/>
  <c r="L37" i="32"/>
  <c r="N37" i="32"/>
  <c r="A38" i="32"/>
  <c r="C38" i="32"/>
  <c r="D38" i="32"/>
  <c r="E38" i="32"/>
  <c r="F38" i="32"/>
  <c r="G38" i="32"/>
  <c r="H38" i="32"/>
  <c r="I38" i="32"/>
  <c r="K38" i="32"/>
  <c r="L38" i="32"/>
  <c r="N38" i="32"/>
  <c r="A39" i="32"/>
  <c r="C39" i="32"/>
  <c r="D39" i="32"/>
  <c r="E39" i="32"/>
  <c r="F39" i="32"/>
  <c r="G39" i="32"/>
  <c r="H39" i="32"/>
  <c r="I39" i="32"/>
  <c r="K39" i="32"/>
  <c r="L39" i="32"/>
  <c r="N39" i="32"/>
  <c r="A40" i="32"/>
  <c r="C40" i="32"/>
  <c r="D40" i="32"/>
  <c r="E40" i="32"/>
  <c r="F40" i="32"/>
  <c r="G40" i="32"/>
  <c r="H40" i="32"/>
  <c r="I40" i="32"/>
  <c r="K40" i="32"/>
  <c r="L40" i="32"/>
  <c r="N40" i="32"/>
  <c r="A41" i="32"/>
  <c r="C41" i="32"/>
  <c r="D41" i="32"/>
  <c r="E41" i="32"/>
  <c r="F41" i="32"/>
  <c r="G41" i="32"/>
  <c r="H41" i="32"/>
  <c r="I41" i="32"/>
  <c r="K41" i="32"/>
  <c r="L41" i="32"/>
  <c r="N41" i="32"/>
  <c r="A42" i="32"/>
  <c r="C42" i="32"/>
  <c r="D42" i="32"/>
  <c r="E42" i="32"/>
  <c r="F42" i="32"/>
  <c r="G42" i="32"/>
  <c r="H42" i="32"/>
  <c r="I42" i="32"/>
  <c r="K42" i="32"/>
  <c r="L42" i="32"/>
  <c r="N42" i="32"/>
  <c r="A43" i="32"/>
  <c r="C43" i="32"/>
  <c r="D43" i="32"/>
  <c r="E43" i="32"/>
  <c r="F43" i="32"/>
  <c r="G43" i="32"/>
  <c r="H43" i="32"/>
  <c r="I43" i="32"/>
  <c r="K43" i="32"/>
  <c r="L43" i="32"/>
  <c r="N43" i="32"/>
  <c r="A44" i="32"/>
  <c r="C44" i="32"/>
  <c r="D44" i="32"/>
  <c r="E44" i="32"/>
  <c r="F44" i="32"/>
  <c r="G44" i="32"/>
  <c r="H44" i="32"/>
  <c r="I44" i="32"/>
  <c r="K44" i="32"/>
  <c r="L44" i="32"/>
  <c r="N44" i="32"/>
  <c r="A45" i="32"/>
  <c r="C45" i="32"/>
  <c r="D45" i="32"/>
  <c r="E45" i="32"/>
  <c r="F45" i="32"/>
  <c r="G45" i="32"/>
  <c r="H45" i="32"/>
  <c r="I45" i="32"/>
  <c r="K45" i="32"/>
  <c r="L45" i="32"/>
  <c r="N45" i="32"/>
  <c r="A46" i="32"/>
  <c r="C46" i="32"/>
  <c r="D46" i="32"/>
  <c r="E46" i="32"/>
  <c r="F46" i="32"/>
  <c r="G46" i="32"/>
  <c r="H46" i="32"/>
  <c r="I46" i="32"/>
  <c r="K46" i="32"/>
  <c r="L46" i="32"/>
  <c r="N46" i="32"/>
  <c r="A47" i="32"/>
  <c r="C47" i="32"/>
  <c r="D47" i="32"/>
  <c r="E47" i="32"/>
  <c r="F47" i="32"/>
  <c r="G47" i="32"/>
  <c r="H47" i="32"/>
  <c r="I47" i="32"/>
  <c r="K47" i="32"/>
  <c r="L47" i="32"/>
  <c r="N47" i="32"/>
  <c r="A48" i="32"/>
  <c r="C48" i="32"/>
  <c r="D48" i="32"/>
  <c r="E48" i="32"/>
  <c r="F48" i="32"/>
  <c r="G48" i="32"/>
  <c r="H48" i="32"/>
  <c r="I48" i="32"/>
  <c r="K48" i="32"/>
  <c r="L48" i="32"/>
  <c r="N48" i="32"/>
  <c r="A49" i="32"/>
  <c r="C49" i="32"/>
  <c r="D49" i="32"/>
  <c r="E49" i="32"/>
  <c r="F49" i="32"/>
  <c r="G49" i="32"/>
  <c r="H49" i="32"/>
  <c r="I49" i="32"/>
  <c r="K49" i="32"/>
  <c r="L49" i="32"/>
  <c r="N49" i="32"/>
  <c r="A50" i="32"/>
  <c r="C50" i="32"/>
  <c r="D50" i="32"/>
  <c r="E50" i="32"/>
  <c r="F50" i="32"/>
  <c r="G50" i="32"/>
  <c r="H50" i="32"/>
  <c r="I50" i="32"/>
  <c r="K50" i="32"/>
  <c r="L50" i="32"/>
  <c r="N50" i="32"/>
  <c r="A51" i="32"/>
  <c r="C51" i="32"/>
  <c r="D51" i="32"/>
  <c r="E51" i="32"/>
  <c r="F51" i="32"/>
  <c r="G51" i="32"/>
  <c r="H51" i="32"/>
  <c r="I51" i="32"/>
  <c r="K51" i="32"/>
  <c r="L51" i="32"/>
  <c r="N51" i="32"/>
  <c r="A52" i="32"/>
  <c r="C52" i="32"/>
  <c r="D52" i="32"/>
  <c r="E52" i="32"/>
  <c r="F52" i="32"/>
  <c r="G52" i="32"/>
  <c r="H52" i="32"/>
  <c r="I52" i="32"/>
  <c r="K52" i="32"/>
  <c r="L52" i="32"/>
  <c r="N52" i="32"/>
  <c r="A53" i="32"/>
  <c r="C53" i="32"/>
  <c r="D53" i="32"/>
  <c r="E53" i="32"/>
  <c r="F53" i="32"/>
  <c r="G53" i="32"/>
  <c r="H53" i="32"/>
  <c r="I53" i="32"/>
  <c r="K53" i="32"/>
  <c r="L53" i="32"/>
  <c r="N53" i="32"/>
  <c r="A54" i="32"/>
  <c r="C54" i="32"/>
  <c r="D54" i="32"/>
  <c r="E54" i="32"/>
  <c r="F54" i="32"/>
  <c r="G54" i="32"/>
  <c r="H54" i="32"/>
  <c r="I54" i="32"/>
  <c r="K54" i="32"/>
  <c r="L54" i="32"/>
  <c r="N54" i="32"/>
  <c r="A55" i="32"/>
  <c r="C55" i="32"/>
  <c r="D55" i="32"/>
  <c r="E55" i="32"/>
  <c r="F55" i="32"/>
  <c r="G55" i="32"/>
  <c r="H55" i="32"/>
  <c r="I55" i="32"/>
  <c r="K55" i="32"/>
  <c r="L55" i="32"/>
  <c r="N55" i="32"/>
  <c r="A56" i="32"/>
  <c r="C56" i="32"/>
  <c r="D56" i="32"/>
  <c r="E56" i="32"/>
  <c r="F56" i="32"/>
  <c r="G56" i="32"/>
  <c r="H56" i="32"/>
  <c r="I56" i="32"/>
  <c r="K56" i="32"/>
  <c r="L56" i="32"/>
  <c r="N56" i="32"/>
  <c r="K18" i="23" l="1"/>
  <c r="J18" i="23" s="1"/>
  <c r="F564" i="32"/>
  <c r="N564" i="32" l="1"/>
  <c r="E8" i="3"/>
  <c r="F168" i="32" s="1"/>
  <c r="L168" i="32" l="1"/>
  <c r="N168" i="32"/>
  <c r="N395" i="32"/>
  <c r="K10" i="23"/>
  <c r="J10" i="23" s="1"/>
  <c r="N555" i="32" l="1"/>
  <c r="N170" i="32"/>
  <c r="E10" i="23"/>
  <c r="F555" i="32" s="1"/>
  <c r="E10" i="8" l="1"/>
  <c r="F445" i="32" s="1"/>
  <c r="K24" i="23"/>
  <c r="N571" i="32" s="1"/>
  <c r="F571" i="32"/>
  <c r="N445" i="32" l="1"/>
  <c r="J10" i="8"/>
  <c r="K7" i="5"/>
  <c r="N277" i="32" s="1"/>
  <c r="K21" i="23"/>
  <c r="F568" i="32"/>
  <c r="K12" i="23"/>
  <c r="J12" i="23" s="1"/>
  <c r="E12" i="23"/>
  <c r="F557" i="32" s="1"/>
  <c r="N573" i="32"/>
  <c r="F573" i="32"/>
  <c r="E15" i="8"/>
  <c r="F451" i="32" s="1"/>
  <c r="K17" i="23"/>
  <c r="F563" i="32"/>
  <c r="E8" i="8"/>
  <c r="F443" i="32" s="1"/>
  <c r="E21" i="8"/>
  <c r="F457" i="32" s="1"/>
  <c r="E14" i="8"/>
  <c r="F450" i="32" s="1"/>
  <c r="N566" i="32"/>
  <c r="F566" i="32"/>
  <c r="K30" i="23"/>
  <c r="J30" i="23" s="1"/>
  <c r="N578" i="32" l="1"/>
  <c r="N568" i="32"/>
  <c r="N563" i="32"/>
  <c r="J17" i="23"/>
  <c r="N557" i="32"/>
  <c r="F578" i="32"/>
  <c r="K14" i="23"/>
  <c r="J14" i="23" s="1"/>
  <c r="F559" i="32"/>
  <c r="K11" i="23"/>
  <c r="J11" i="23" s="1"/>
  <c r="E10" i="5"/>
  <c r="F280" i="32" s="1"/>
  <c r="N556" i="32" l="1"/>
  <c r="N559" i="32"/>
  <c r="E16" i="8"/>
  <c r="F452" i="32" s="1"/>
  <c r="E25" i="8"/>
  <c r="F461" i="32" s="1"/>
  <c r="E13" i="9"/>
  <c r="F503" i="32" s="1"/>
  <c r="F565" i="32"/>
  <c r="F553" i="32"/>
  <c r="N511" i="32" l="1"/>
  <c r="J21" i="9"/>
  <c r="N503" i="32"/>
  <c r="N504" i="32" l="1"/>
  <c r="L504" i="32" l="1"/>
  <c r="L559" i="32"/>
  <c r="E14" i="9"/>
  <c r="F504" i="32" s="1"/>
  <c r="N448" i="32" l="1"/>
  <c r="N453" i="32"/>
  <c r="N455" i="32"/>
  <c r="N462" i="32" l="1"/>
  <c r="J26" i="8"/>
  <c r="N463" i="32"/>
  <c r="J27" i="8"/>
  <c r="N459" i="32"/>
  <c r="J23" i="8"/>
  <c r="N454" i="32"/>
  <c r="J18" i="8"/>
  <c r="N449" i="32"/>
  <c r="J13" i="8"/>
  <c r="N447" i="32"/>
  <c r="J12" i="8"/>
  <c r="N506" i="32"/>
  <c r="N509" i="32" l="1"/>
  <c r="J19" i="9"/>
  <c r="N508" i="32"/>
  <c r="J18" i="9"/>
  <c r="N507" i="32"/>
  <c r="J17" i="9"/>
  <c r="N510" i="32"/>
  <c r="J20" i="9"/>
  <c r="N502" i="32"/>
  <c r="N500" i="32"/>
  <c r="N499" i="32"/>
  <c r="N498" i="32"/>
  <c r="K29" i="23"/>
  <c r="J29" i="23" s="1"/>
  <c r="F577" i="32"/>
  <c r="K28" i="23"/>
  <c r="J28" i="23" s="1"/>
  <c r="F576" i="32"/>
  <c r="K27" i="23"/>
  <c r="J27" i="23" s="1"/>
  <c r="F575" i="32"/>
  <c r="K26" i="23"/>
  <c r="J26" i="23" s="1"/>
  <c r="F574" i="32"/>
  <c r="K25" i="23"/>
  <c r="F572" i="32"/>
  <c r="K23" i="23"/>
  <c r="J23" i="23" s="1"/>
  <c r="F570" i="32"/>
  <c r="K22" i="23"/>
  <c r="J22" i="23" s="1"/>
  <c r="F569" i="32"/>
  <c r="K20" i="23"/>
  <c r="J20" i="23" s="1"/>
  <c r="F567" i="32"/>
  <c r="K16" i="23"/>
  <c r="N562" i="32" s="1"/>
  <c r="F562" i="32"/>
  <c r="F561" i="32"/>
  <c r="K15" i="23"/>
  <c r="J15" i="23" s="1"/>
  <c r="F560" i="32"/>
  <c r="K13" i="23"/>
  <c r="J13" i="23" s="1"/>
  <c r="F558" i="32"/>
  <c r="K9" i="23"/>
  <c r="J9" i="23" s="1"/>
  <c r="F554" i="32"/>
  <c r="K7" i="23"/>
  <c r="F552" i="32"/>
  <c r="L463" i="32"/>
  <c r="E27" i="8"/>
  <c r="F463" i="32" s="1"/>
  <c r="L462" i="32"/>
  <c r="E26" i="8"/>
  <c r="F462" i="32" s="1"/>
  <c r="L459" i="32"/>
  <c r="E23" i="8"/>
  <c r="F459" i="32" s="1"/>
  <c r="J19" i="8"/>
  <c r="L455" i="32" s="1"/>
  <c r="E19" i="8"/>
  <c r="F455" i="32" s="1"/>
  <c r="L454" i="32"/>
  <c r="E18" i="8"/>
  <c r="F454" i="32" s="1"/>
  <c r="E17" i="8"/>
  <c r="F453" i="32" s="1"/>
  <c r="L449" i="32"/>
  <c r="E13" i="8"/>
  <c r="F449" i="32" s="1"/>
  <c r="L448" i="32"/>
  <c r="F448" i="32"/>
  <c r="L447" i="32"/>
  <c r="E12" i="8"/>
  <c r="F447" i="32" s="1"/>
  <c r="K7" i="8"/>
  <c r="J7" i="8" s="1"/>
  <c r="E7" i="8"/>
  <c r="F442" i="32" s="1"/>
  <c r="E21" i="9"/>
  <c r="F511" i="32" s="1"/>
  <c r="E20" i="9"/>
  <c r="F510" i="32" s="1"/>
  <c r="E19" i="9"/>
  <c r="F509" i="32" s="1"/>
  <c r="E18" i="9"/>
  <c r="F508" i="32" s="1"/>
  <c r="E17" i="9"/>
  <c r="F507" i="32" s="1"/>
  <c r="J16" i="9"/>
  <c r="E16" i="9"/>
  <c r="F506" i="32" s="1"/>
  <c r="E12" i="9"/>
  <c r="F502" i="32" s="1"/>
  <c r="E10" i="9"/>
  <c r="F500" i="32" s="1"/>
  <c r="E9" i="9"/>
  <c r="F499" i="32" s="1"/>
  <c r="E8" i="9"/>
  <c r="F498" i="32" s="1"/>
  <c r="K7" i="9"/>
  <c r="E7" i="9"/>
  <c r="F497" i="32" s="1"/>
  <c r="N401" i="32"/>
  <c r="E20" i="7"/>
  <c r="F401" i="32" s="1"/>
  <c r="N400" i="32"/>
  <c r="E19" i="7"/>
  <c r="F400" i="32" s="1"/>
  <c r="N399" i="32"/>
  <c r="E18" i="7"/>
  <c r="F399" i="32" s="1"/>
  <c r="N398" i="32"/>
  <c r="E17" i="7"/>
  <c r="F398" i="32" s="1"/>
  <c r="N396" i="32"/>
  <c r="E16" i="7"/>
  <c r="F396" i="32" s="1"/>
  <c r="N394" i="32"/>
  <c r="E14" i="7"/>
  <c r="F394" i="32" s="1"/>
  <c r="N393" i="32"/>
  <c r="E13" i="7"/>
  <c r="F393" i="32" s="1"/>
  <c r="N392" i="32"/>
  <c r="E12" i="7"/>
  <c r="F392" i="32" s="1"/>
  <c r="N391" i="32"/>
  <c r="E11" i="7"/>
  <c r="F391" i="32" s="1"/>
  <c r="N390" i="32"/>
  <c r="E10" i="7"/>
  <c r="F390" i="32" s="1"/>
  <c r="N388" i="32"/>
  <c r="E8" i="7"/>
  <c r="F388" i="32" s="1"/>
  <c r="K7" i="7"/>
  <c r="N387" i="32" s="1"/>
  <c r="E7" i="7"/>
  <c r="F387" i="32" s="1"/>
  <c r="N416" i="32"/>
  <c r="N415" i="32"/>
  <c r="N414" i="32"/>
  <c r="N413" i="32"/>
  <c r="N412" i="32"/>
  <c r="N411" i="32"/>
  <c r="N410" i="32"/>
  <c r="N409" i="32"/>
  <c r="N408" i="32"/>
  <c r="N406" i="32"/>
  <c r="N405" i="32"/>
  <c r="N404" i="32"/>
  <c r="F404" i="32"/>
  <c r="N403" i="32"/>
  <c r="E22" i="7"/>
  <c r="F403" i="32" s="1"/>
  <c r="N402" i="32"/>
  <c r="E21" i="7"/>
  <c r="F402" i="32" s="1"/>
  <c r="L395" i="32"/>
  <c r="E15" i="7"/>
  <c r="F395" i="32" s="1"/>
  <c r="N389" i="32"/>
  <c r="E9" i="7"/>
  <c r="F389" i="32" s="1"/>
  <c r="N397" i="32"/>
  <c r="F397" i="32"/>
  <c r="H5" i="7"/>
  <c r="F336" i="32"/>
  <c r="F334" i="32"/>
  <c r="K7" i="6"/>
  <c r="F332" i="32"/>
  <c r="E14" i="5"/>
  <c r="F285" i="32" s="1"/>
  <c r="E13" i="5"/>
  <c r="F284" i="32" s="1"/>
  <c r="F283" i="32"/>
  <c r="E12" i="5"/>
  <c r="F282" i="32" s="1"/>
  <c r="E9" i="5"/>
  <c r="F279" i="32" s="1"/>
  <c r="E8" i="5"/>
  <c r="F278" i="32" s="1"/>
  <c r="E11" i="4"/>
  <c r="F227" i="32" s="1"/>
  <c r="E10" i="4"/>
  <c r="F226" i="32" s="1"/>
  <c r="E8" i="4"/>
  <c r="F223" i="32" s="1"/>
  <c r="K7" i="4"/>
  <c r="E7" i="4"/>
  <c r="F222" i="32" s="1"/>
  <c r="E18" i="3"/>
  <c r="E15" i="3"/>
  <c r="E12" i="3"/>
  <c r="F172" i="32" s="1"/>
  <c r="K7" i="3"/>
  <c r="E7" i="3"/>
  <c r="F167" i="32" s="1"/>
  <c r="N407" i="32" l="1"/>
  <c r="F225" i="32"/>
  <c r="L507" i="32"/>
  <c r="L562" i="32"/>
  <c r="N558" i="32"/>
  <c r="N561" i="32"/>
  <c r="N567" i="32"/>
  <c r="N570" i="32"/>
  <c r="N574" i="32"/>
  <c r="N576" i="32"/>
  <c r="L499" i="32"/>
  <c r="L554" i="32"/>
  <c r="L509" i="32"/>
  <c r="L564" i="32"/>
  <c r="L498" i="32"/>
  <c r="L553" i="32"/>
  <c r="L500" i="32"/>
  <c r="L555" i="32"/>
  <c r="L506" i="32"/>
  <c r="L561" i="32"/>
  <c r="L508" i="32"/>
  <c r="L563" i="32"/>
  <c r="L510" i="32"/>
  <c r="L565" i="32"/>
  <c r="L502" i="32"/>
  <c r="L557" i="32"/>
  <c r="L511" i="32"/>
  <c r="L566" i="32"/>
  <c r="N554" i="32"/>
  <c r="N560" i="32"/>
  <c r="N569" i="32"/>
  <c r="J25" i="23"/>
  <c r="N572" i="32"/>
  <c r="N575" i="32"/>
  <c r="N577" i="32"/>
  <c r="L552" i="32"/>
  <c r="N552" i="32"/>
  <c r="N497" i="32"/>
  <c r="L442" i="32"/>
  <c r="N442" i="32"/>
  <c r="L397" i="32"/>
  <c r="L403" i="32"/>
  <c r="L406" i="32"/>
  <c r="L410" i="32"/>
  <c r="J33" i="7"/>
  <c r="L414" i="32" s="1"/>
  <c r="L390" i="32"/>
  <c r="L392" i="32"/>
  <c r="L394" i="32"/>
  <c r="L398" i="32"/>
  <c r="L400" i="32"/>
  <c r="L407" i="32"/>
  <c r="L411" i="32"/>
  <c r="J34" i="7"/>
  <c r="L415" i="32" s="1"/>
  <c r="L389" i="32"/>
  <c r="L402" i="32"/>
  <c r="L404" i="32"/>
  <c r="L408" i="32"/>
  <c r="J31" i="7"/>
  <c r="L412" i="32" s="1"/>
  <c r="J35" i="7"/>
  <c r="L416" i="32" s="1"/>
  <c r="L388" i="32"/>
  <c r="L391" i="32"/>
  <c r="L393" i="32"/>
  <c r="L396" i="32"/>
  <c r="L399" i="32"/>
  <c r="L401" i="32"/>
  <c r="L405" i="32"/>
  <c r="L409" i="32"/>
  <c r="J32" i="7"/>
  <c r="L413" i="32" s="1"/>
  <c r="J7" i="7"/>
  <c r="L336" i="32"/>
  <c r="N336" i="32"/>
  <c r="L334" i="32"/>
  <c r="N334" i="32"/>
  <c r="J7" i="6"/>
  <c r="L332" i="32" s="1"/>
  <c r="N332" i="32"/>
  <c r="L279" i="32"/>
  <c r="N279" i="32"/>
  <c r="L283" i="32"/>
  <c r="N283" i="32"/>
  <c r="L285" i="32"/>
  <c r="N285" i="32"/>
  <c r="L278" i="32"/>
  <c r="N278" i="32"/>
  <c r="L282" i="32"/>
  <c r="N282" i="32"/>
  <c r="L284" i="32"/>
  <c r="N284" i="32"/>
  <c r="L286" i="32"/>
  <c r="N286" i="32"/>
  <c r="N225" i="32"/>
  <c r="L227" i="32"/>
  <c r="N227" i="32"/>
  <c r="L223" i="32"/>
  <c r="N223" i="32"/>
  <c r="L226" i="32"/>
  <c r="N226" i="32"/>
  <c r="J7" i="4"/>
  <c r="L222" i="32" s="1"/>
  <c r="N222" i="32"/>
  <c r="L172" i="32"/>
  <c r="N172" i="32"/>
  <c r="L225" i="32"/>
  <c r="J7" i="3"/>
  <c r="L167" i="32" s="1"/>
  <c r="N167" i="32"/>
  <c r="E12" i="2"/>
  <c r="E10" i="2"/>
  <c r="K7" i="2"/>
  <c r="E7" i="2"/>
  <c r="L497" i="32" l="1"/>
  <c r="L387" i="32"/>
  <c r="L115" i="32"/>
  <c r="N115" i="32"/>
  <c r="L117" i="32"/>
  <c r="N117" i="32"/>
  <c r="J7" i="2"/>
  <c r="L112" i="32" s="1"/>
  <c r="N112" i="32"/>
  <c r="F58" i="32"/>
  <c r="E7" i="14"/>
  <c r="AA57" i="32" l="1"/>
  <c r="Z57" i="32"/>
  <c r="AA2" i="32"/>
  <c r="Z2" i="32"/>
  <c r="A334" i="32"/>
  <c r="A335" i="32"/>
  <c r="A336" i="32"/>
  <c r="A337" i="32"/>
  <c r="A338" i="32"/>
  <c r="A339" i="32"/>
  <c r="A340" i="32"/>
  <c r="A341" i="32"/>
  <c r="A342" i="32"/>
  <c r="A343" i="32"/>
  <c r="A344" i="32"/>
  <c r="A345" i="32"/>
  <c r="A346" i="32"/>
  <c r="A347" i="32"/>
  <c r="A348" i="32"/>
  <c r="A349" i="32"/>
  <c r="A350" i="32"/>
  <c r="A351" i="32"/>
  <c r="A352" i="32"/>
  <c r="A353" i="32"/>
  <c r="A354" i="32"/>
  <c r="A355" i="32"/>
  <c r="A356" i="32"/>
  <c r="A357" i="32"/>
  <c r="A358" i="32"/>
  <c r="A359" i="32"/>
  <c r="A360" i="32"/>
  <c r="A361" i="32"/>
  <c r="A362" i="32"/>
  <c r="A363" i="32"/>
  <c r="A364" i="32"/>
  <c r="A365" i="32"/>
  <c r="A366" i="32"/>
  <c r="A367" i="32"/>
  <c r="A368" i="32"/>
  <c r="A369" i="32"/>
  <c r="A370" i="32"/>
  <c r="A371" i="32"/>
  <c r="A372" i="32"/>
  <c r="A373" i="32"/>
  <c r="A374" i="32"/>
  <c r="A375" i="32"/>
  <c r="A376" i="32"/>
  <c r="A377" i="32"/>
  <c r="A378" i="32"/>
  <c r="A379" i="32"/>
  <c r="A380" i="32"/>
  <c r="A381" i="32"/>
  <c r="A382" i="32"/>
  <c r="A383" i="32"/>
  <c r="A384" i="32"/>
  <c r="A385" i="32"/>
  <c r="A386" i="32"/>
  <c r="A332" i="32"/>
  <c r="E9" i="3" l="1"/>
  <c r="F169" i="32" s="1"/>
  <c r="E11" i="3"/>
  <c r="F171" i="32" s="1"/>
  <c r="E8" i="2"/>
  <c r="E9" i="2"/>
  <c r="F114" i="32" s="1"/>
  <c r="E8" i="31"/>
  <c r="E11" i="2"/>
  <c r="F116" i="32" s="1"/>
  <c r="F3" i="32"/>
  <c r="E9" i="1"/>
  <c r="F6" i="32" s="1"/>
  <c r="E6" i="31"/>
  <c r="H6" i="31" l="1"/>
  <c r="E18" i="31"/>
  <c r="E14" i="31"/>
  <c r="I14" i="31"/>
  <c r="H8" i="31"/>
  <c r="E7" i="31"/>
  <c r="H7" i="31"/>
  <c r="H18" i="31"/>
  <c r="H14" i="31"/>
  <c r="F14" i="31"/>
  <c r="S57" i="32" l="1"/>
  <c r="T57" i="32"/>
  <c r="U57" i="32"/>
  <c r="V57" i="32"/>
  <c r="W57" i="32"/>
  <c r="X57" i="32"/>
  <c r="Y57" i="32"/>
  <c r="R57" i="32"/>
  <c r="S2" i="32"/>
  <c r="T2" i="32"/>
  <c r="U2" i="32"/>
  <c r="V2" i="32"/>
  <c r="W2" i="32"/>
  <c r="X2" i="32"/>
  <c r="Y2" i="32"/>
  <c r="R2" i="32"/>
  <c r="H2" i="32"/>
  <c r="J33" i="9" l="1"/>
  <c r="J32" i="9"/>
  <c r="J31" i="9"/>
  <c r="J35" i="8"/>
  <c r="L471" i="32" s="1"/>
  <c r="J34" i="8"/>
  <c r="L470" i="32" s="1"/>
  <c r="L469" i="32"/>
  <c r="N8" i="32"/>
  <c r="L522" i="32" l="1"/>
  <c r="L577" i="32"/>
  <c r="L578" i="32"/>
  <c r="L523" i="32"/>
  <c r="L576" i="32"/>
  <c r="L521" i="32"/>
  <c r="L8" i="32"/>
  <c r="K29" i="9"/>
  <c r="N519" i="32" s="1"/>
  <c r="K28" i="9"/>
  <c r="N518" i="32" s="1"/>
  <c r="K27" i="9"/>
  <c r="N517" i="32" s="1"/>
  <c r="J24" i="9"/>
  <c r="N505" i="32"/>
  <c r="N443" i="32"/>
  <c r="J25" i="8"/>
  <c r="N452" i="32"/>
  <c r="J24" i="8"/>
  <c r="N361" i="32"/>
  <c r="N360" i="32"/>
  <c r="N359" i="32"/>
  <c r="N358" i="32"/>
  <c r="N357" i="32"/>
  <c r="N356" i="32"/>
  <c r="N355" i="32"/>
  <c r="N354" i="32"/>
  <c r="N353" i="32"/>
  <c r="N352" i="32"/>
  <c r="N351" i="32"/>
  <c r="N350" i="32"/>
  <c r="N349" i="32"/>
  <c r="N348" i="32"/>
  <c r="N347" i="32"/>
  <c r="N346" i="32"/>
  <c r="N341" i="32"/>
  <c r="N335" i="32"/>
  <c r="J7" i="5"/>
  <c r="L277" i="32" s="1"/>
  <c r="L170" i="32"/>
  <c r="N513" i="32" l="1"/>
  <c r="J23" i="9"/>
  <c r="N515" i="32"/>
  <c r="J25" i="9"/>
  <c r="N512" i="32"/>
  <c r="J22" i="9"/>
  <c r="N516" i="32"/>
  <c r="J26" i="9"/>
  <c r="N501" i="32"/>
  <c r="N464" i="32"/>
  <c r="J28" i="8"/>
  <c r="L464" i="32" s="1"/>
  <c r="N468" i="32"/>
  <c r="J32" i="8"/>
  <c r="L468" i="32" s="1"/>
  <c r="N465" i="32"/>
  <c r="J29" i="8"/>
  <c r="L465" i="32" s="1"/>
  <c r="N466" i="32"/>
  <c r="J30" i="8"/>
  <c r="L466" i="32" s="1"/>
  <c r="N467" i="32"/>
  <c r="J31" i="8"/>
  <c r="L467" i="32" s="1"/>
  <c r="N460" i="32"/>
  <c r="N457" i="32"/>
  <c r="J21" i="8"/>
  <c r="L457" i="32" s="1"/>
  <c r="N456" i="32"/>
  <c r="J20" i="8"/>
  <c r="L456" i="32" s="1"/>
  <c r="N458" i="32"/>
  <c r="J22" i="8"/>
  <c r="L458" i="32" s="1"/>
  <c r="N450" i="32"/>
  <c r="J14" i="8"/>
  <c r="L450" i="32" s="1"/>
  <c r="N444" i="32"/>
  <c r="J9" i="8"/>
  <c r="L444" i="32" s="1"/>
  <c r="N446" i="32"/>
  <c r="J11" i="8"/>
  <c r="L446" i="32" s="1"/>
  <c r="N451" i="32"/>
  <c r="J15" i="8"/>
  <c r="L451" i="32" s="1"/>
  <c r="N337" i="32"/>
  <c r="N342" i="32"/>
  <c r="N338" i="32"/>
  <c r="N343" i="32"/>
  <c r="N345" i="32"/>
  <c r="N339" i="32"/>
  <c r="N333" i="32"/>
  <c r="N340" i="32"/>
  <c r="N344" i="32"/>
  <c r="N174" i="32"/>
  <c r="N177" i="32"/>
  <c r="N514" i="32"/>
  <c r="N461" i="32"/>
  <c r="L461" i="32"/>
  <c r="L281" i="32"/>
  <c r="N281" i="32"/>
  <c r="L289" i="32"/>
  <c r="N289" i="32"/>
  <c r="L293" i="32"/>
  <c r="N293" i="32"/>
  <c r="L297" i="32"/>
  <c r="N297" i="32"/>
  <c r="L301" i="32"/>
  <c r="N301" i="32"/>
  <c r="L305" i="32"/>
  <c r="N305" i="32"/>
  <c r="L290" i="32"/>
  <c r="N290" i="32"/>
  <c r="L294" i="32"/>
  <c r="N294" i="32"/>
  <c r="L298" i="32"/>
  <c r="N298" i="32"/>
  <c r="L302" i="32"/>
  <c r="N302" i="32"/>
  <c r="L306" i="32"/>
  <c r="N306" i="32"/>
  <c r="L287" i="32"/>
  <c r="N287" i="32"/>
  <c r="L291" i="32"/>
  <c r="N291" i="32"/>
  <c r="L295" i="32"/>
  <c r="N295" i="32"/>
  <c r="L299" i="32"/>
  <c r="N299" i="32"/>
  <c r="L303" i="32"/>
  <c r="N303" i="32"/>
  <c r="L280" i="32"/>
  <c r="N280" i="32"/>
  <c r="L288" i="32"/>
  <c r="N288" i="32"/>
  <c r="L292" i="32"/>
  <c r="N292" i="32"/>
  <c r="L296" i="32"/>
  <c r="N296" i="32"/>
  <c r="L300" i="32"/>
  <c r="N300" i="32"/>
  <c r="L304" i="32"/>
  <c r="N304" i="32"/>
  <c r="L229" i="32"/>
  <c r="N229" i="32"/>
  <c r="L233" i="32"/>
  <c r="N233" i="32"/>
  <c r="L237" i="32"/>
  <c r="N237" i="32"/>
  <c r="L241" i="32"/>
  <c r="N241" i="32"/>
  <c r="L245" i="32"/>
  <c r="N245" i="32"/>
  <c r="L249" i="32"/>
  <c r="N249" i="32"/>
  <c r="L230" i="32"/>
  <c r="N230" i="32"/>
  <c r="L234" i="32"/>
  <c r="N234" i="32"/>
  <c r="L238" i="32"/>
  <c r="N238" i="32"/>
  <c r="L242" i="32"/>
  <c r="N242" i="32"/>
  <c r="L246" i="32"/>
  <c r="N246" i="32"/>
  <c r="L250" i="32"/>
  <c r="N250" i="32"/>
  <c r="L224" i="32"/>
  <c r="N224" i="32"/>
  <c r="L231" i="32"/>
  <c r="N231" i="32"/>
  <c r="L235" i="32"/>
  <c r="N235" i="32"/>
  <c r="L239" i="32"/>
  <c r="N239" i="32"/>
  <c r="L243" i="32"/>
  <c r="N243" i="32"/>
  <c r="L247" i="32"/>
  <c r="N247" i="32"/>
  <c r="L251" i="32"/>
  <c r="N251" i="32"/>
  <c r="L228" i="32"/>
  <c r="N228" i="32"/>
  <c r="L232" i="32"/>
  <c r="N232" i="32"/>
  <c r="L236" i="32"/>
  <c r="N236" i="32"/>
  <c r="L240" i="32"/>
  <c r="N240" i="32"/>
  <c r="L244" i="32"/>
  <c r="N244" i="32"/>
  <c r="L248" i="32"/>
  <c r="N248" i="32"/>
  <c r="L169" i="32"/>
  <c r="N169" i="32"/>
  <c r="L175" i="32"/>
  <c r="N175" i="32"/>
  <c r="L179" i="32"/>
  <c r="N179" i="32"/>
  <c r="L183" i="32"/>
  <c r="N183" i="32"/>
  <c r="L187" i="32"/>
  <c r="N187" i="32"/>
  <c r="L191" i="32"/>
  <c r="N191" i="32"/>
  <c r="L195" i="32"/>
  <c r="N195" i="32"/>
  <c r="L171" i="32"/>
  <c r="N171" i="32"/>
  <c r="N176" i="32"/>
  <c r="L180" i="32"/>
  <c r="N180" i="32"/>
  <c r="L184" i="32"/>
  <c r="N184" i="32"/>
  <c r="L188" i="32"/>
  <c r="N188" i="32"/>
  <c r="L192" i="32"/>
  <c r="N192" i="32"/>
  <c r="L196" i="32"/>
  <c r="N196" i="32"/>
  <c r="L189" i="32"/>
  <c r="N189" i="32"/>
  <c r="L193" i="32"/>
  <c r="N193" i="32"/>
  <c r="L181" i="32"/>
  <c r="N181" i="32"/>
  <c r="L185" i="32"/>
  <c r="N185" i="32"/>
  <c r="N173" i="32"/>
  <c r="L178" i="32"/>
  <c r="N178" i="32"/>
  <c r="L182" i="32"/>
  <c r="N182" i="32"/>
  <c r="L186" i="32"/>
  <c r="N186" i="32"/>
  <c r="L190" i="32"/>
  <c r="N190" i="32"/>
  <c r="L194" i="32"/>
  <c r="N194" i="32"/>
  <c r="L125" i="32"/>
  <c r="N125" i="32"/>
  <c r="L126" i="32"/>
  <c r="N126" i="32"/>
  <c r="L121" i="32"/>
  <c r="N121" i="32"/>
  <c r="L133" i="32"/>
  <c r="N133" i="32"/>
  <c r="L141" i="32"/>
  <c r="N141" i="32"/>
  <c r="L122" i="32"/>
  <c r="N122" i="32"/>
  <c r="L130" i="32"/>
  <c r="N130" i="32"/>
  <c r="L134" i="32"/>
  <c r="N134" i="32"/>
  <c r="L138" i="32"/>
  <c r="N138" i="32"/>
  <c r="L114" i="32"/>
  <c r="N114" i="32"/>
  <c r="L119" i="32"/>
  <c r="N119" i="32"/>
  <c r="L123" i="32"/>
  <c r="N123" i="32"/>
  <c r="L127" i="32"/>
  <c r="N127" i="32"/>
  <c r="L131" i="32"/>
  <c r="N131" i="32"/>
  <c r="L135" i="32"/>
  <c r="N135" i="32"/>
  <c r="L139" i="32"/>
  <c r="N139" i="32"/>
  <c r="L113" i="32"/>
  <c r="N113" i="32"/>
  <c r="L129" i="32"/>
  <c r="N129" i="32"/>
  <c r="L137" i="32"/>
  <c r="N137" i="32"/>
  <c r="L118" i="32"/>
  <c r="N118" i="32"/>
  <c r="L116" i="32"/>
  <c r="N116" i="32"/>
  <c r="L120" i="32"/>
  <c r="N120" i="32"/>
  <c r="L124" i="32"/>
  <c r="N124" i="32"/>
  <c r="L128" i="32"/>
  <c r="N128" i="32"/>
  <c r="L132" i="32"/>
  <c r="N132" i="32"/>
  <c r="L136" i="32"/>
  <c r="N136" i="32"/>
  <c r="L140" i="32"/>
  <c r="N140" i="32"/>
  <c r="J27" i="9"/>
  <c r="J28" i="9"/>
  <c r="J29" i="9"/>
  <c r="J8" i="8"/>
  <c r="L443" i="32" s="1"/>
  <c r="L445" i="32"/>
  <c r="L460" i="32"/>
  <c r="L452" i="32"/>
  <c r="N83" i="32"/>
  <c r="N82" i="32"/>
  <c r="N81" i="32"/>
  <c r="N80" i="32"/>
  <c r="N79" i="32"/>
  <c r="N78" i="32"/>
  <c r="N77" i="32"/>
  <c r="N76" i="32"/>
  <c r="N75" i="32"/>
  <c r="N74" i="32"/>
  <c r="N73" i="32"/>
  <c r="N72" i="32"/>
  <c r="N71" i="32"/>
  <c r="N70" i="32"/>
  <c r="N69" i="32"/>
  <c r="N68" i="32"/>
  <c r="N67" i="32"/>
  <c r="N66" i="32"/>
  <c r="N65" i="32"/>
  <c r="N64" i="32"/>
  <c r="N63" i="32"/>
  <c r="N62" i="32"/>
  <c r="N61" i="32"/>
  <c r="K8" i="14"/>
  <c r="N59" i="32" s="1"/>
  <c r="K9" i="14"/>
  <c r="N60" i="32" s="1"/>
  <c r="N58" i="32"/>
  <c r="K7" i="14"/>
  <c r="J7" i="14" s="1"/>
  <c r="N6" i="32"/>
  <c r="N4" i="32"/>
  <c r="N5" i="32"/>
  <c r="N7" i="32"/>
  <c r="N9" i="32"/>
  <c r="N10" i="32"/>
  <c r="N11" i="32"/>
  <c r="N12" i="32"/>
  <c r="N13" i="32"/>
  <c r="N14" i="32"/>
  <c r="N15" i="32"/>
  <c r="N16" i="32"/>
  <c r="N17" i="32"/>
  <c r="N18" i="32"/>
  <c r="N19" i="32"/>
  <c r="N20" i="32"/>
  <c r="N21" i="32"/>
  <c r="N22" i="32"/>
  <c r="N23" i="32"/>
  <c r="N24" i="32"/>
  <c r="N25" i="32"/>
  <c r="N26" i="32"/>
  <c r="N27" i="32"/>
  <c r="N28" i="32"/>
  <c r="N29" i="32"/>
  <c r="N30" i="32"/>
  <c r="N31" i="32"/>
  <c r="L176" i="32" l="1"/>
  <c r="L177" i="32"/>
  <c r="L173" i="32"/>
  <c r="L174" i="32"/>
  <c r="L514" i="32"/>
  <c r="L569" i="32"/>
  <c r="L517" i="32"/>
  <c r="L572" i="32"/>
  <c r="L513" i="32"/>
  <c r="L568" i="32"/>
  <c r="L501" i="32"/>
  <c r="L556" i="32"/>
  <c r="L516" i="32"/>
  <c r="L571" i="32"/>
  <c r="L503" i="32"/>
  <c r="L558" i="32"/>
  <c r="L518" i="32"/>
  <c r="L573" i="32"/>
  <c r="L519" i="32"/>
  <c r="L574" i="32"/>
  <c r="L515" i="32"/>
  <c r="L570" i="32"/>
  <c r="L512" i="32"/>
  <c r="L567" i="32"/>
  <c r="L340" i="32"/>
  <c r="L356" i="32"/>
  <c r="L343" i="32"/>
  <c r="L361" i="32"/>
  <c r="L345" i="32"/>
  <c r="L354" i="32"/>
  <c r="L352" i="32"/>
  <c r="L333" i="32"/>
  <c r="L355" i="32"/>
  <c r="L339" i="32"/>
  <c r="L349" i="32"/>
  <c r="L358" i="32"/>
  <c r="L359" i="32"/>
  <c r="L357" i="32"/>
  <c r="L341" i="32"/>
  <c r="L342" i="32"/>
  <c r="L348" i="32"/>
  <c r="L350" i="32"/>
  <c r="L351" i="32"/>
  <c r="L338" i="32"/>
  <c r="L353" i="32"/>
  <c r="L335" i="32"/>
  <c r="L360" i="32"/>
  <c r="L344" i="32"/>
  <c r="L337" i="32"/>
  <c r="L347" i="32"/>
  <c r="L346" i="32"/>
  <c r="L77" i="32"/>
  <c r="L58" i="32"/>
  <c r="L62" i="32"/>
  <c r="L66" i="32"/>
  <c r="L70" i="32"/>
  <c r="L74" i="32"/>
  <c r="L78" i="32"/>
  <c r="L82" i="32"/>
  <c r="L61" i="32"/>
  <c r="L69" i="32"/>
  <c r="L81" i="32"/>
  <c r="J9" i="14"/>
  <c r="L60" i="32" s="1"/>
  <c r="L63" i="32"/>
  <c r="L67" i="32"/>
  <c r="L71" i="32"/>
  <c r="L75" i="32"/>
  <c r="L79" i="32"/>
  <c r="L83" i="32"/>
  <c r="L65" i="32"/>
  <c r="L73" i="32"/>
  <c r="J8" i="14"/>
  <c r="L59" i="32" s="1"/>
  <c r="L64" i="32"/>
  <c r="L68" i="32"/>
  <c r="L72" i="32"/>
  <c r="L76" i="32"/>
  <c r="L80" i="32"/>
  <c r="L28" i="32"/>
  <c r="L20" i="32"/>
  <c r="L12" i="32"/>
  <c r="L27" i="32"/>
  <c r="L23" i="32"/>
  <c r="L19" i="32"/>
  <c r="L15" i="32"/>
  <c r="L11" i="32"/>
  <c r="J8" i="1"/>
  <c r="L5" i="32" s="1"/>
  <c r="L31" i="32"/>
  <c r="L30" i="32"/>
  <c r="L26" i="32"/>
  <c r="L22" i="32"/>
  <c r="L18" i="32"/>
  <c r="L14" i="32"/>
  <c r="L10" i="32"/>
  <c r="J7" i="1"/>
  <c r="L4" i="32" s="1"/>
  <c r="L24" i="32"/>
  <c r="L16" i="32"/>
  <c r="L7" i="32"/>
  <c r="L29" i="32"/>
  <c r="L25" i="32"/>
  <c r="L21" i="32"/>
  <c r="L17" i="32"/>
  <c r="L13" i="32"/>
  <c r="L9" i="32"/>
  <c r="J9" i="1"/>
  <c r="L6" i="32" s="1"/>
  <c r="I57" i="32" l="1"/>
  <c r="K57" i="32"/>
  <c r="H57" i="32"/>
  <c r="G57" i="32"/>
  <c r="E57" i="32"/>
  <c r="D57" i="32"/>
  <c r="C57" i="32"/>
  <c r="N2" i="32"/>
  <c r="L2" i="32"/>
  <c r="K2" i="32"/>
  <c r="I2" i="32"/>
  <c r="G2" i="32"/>
  <c r="E2" i="32"/>
  <c r="D2" i="32"/>
  <c r="C2" i="32"/>
  <c r="F57" i="32" l="1"/>
  <c r="L57" i="32"/>
  <c r="N57" i="32"/>
  <c r="L52" i="19"/>
  <c r="L51" i="19"/>
  <c r="L50" i="19"/>
  <c r="L49" i="19"/>
  <c r="L48" i="19"/>
  <c r="L47" i="19"/>
  <c r="L46" i="19"/>
  <c r="L45" i="19"/>
  <c r="L44" i="19"/>
  <c r="E60" i="30"/>
  <c r="E59" i="30"/>
  <c r="E58" i="30"/>
  <c r="L57" i="30"/>
  <c r="E57" i="30"/>
  <c r="L56" i="30"/>
  <c r="E56" i="30"/>
  <c r="L55" i="30"/>
  <c r="E55" i="30"/>
  <c r="L54" i="30"/>
  <c r="E54" i="30"/>
  <c r="L53" i="30"/>
  <c r="E53" i="30"/>
  <c r="L52" i="30"/>
  <c r="E52" i="30"/>
  <c r="L51" i="30"/>
  <c r="E51" i="30"/>
  <c r="L50" i="30"/>
  <c r="E50" i="30"/>
  <c r="L49" i="30"/>
  <c r="E49" i="30"/>
  <c r="L48" i="30"/>
  <c r="E48" i="30"/>
  <c r="L47" i="30"/>
  <c r="E47" i="30"/>
  <c r="L46" i="30"/>
  <c r="E46" i="30"/>
  <c r="L45" i="30"/>
  <c r="E45" i="30"/>
  <c r="L44" i="30"/>
  <c r="E44" i="30"/>
  <c r="L43" i="30"/>
  <c r="E43" i="30"/>
  <c r="L42" i="30"/>
  <c r="E42" i="30"/>
  <c r="L41" i="30"/>
  <c r="E41" i="30"/>
  <c r="L40" i="30"/>
  <c r="E40" i="30"/>
  <c r="L39" i="30"/>
  <c r="E39" i="30"/>
  <c r="L38" i="30"/>
  <c r="E38" i="30"/>
  <c r="L37" i="30"/>
  <c r="E37" i="30"/>
  <c r="L36" i="30"/>
  <c r="L35" i="30"/>
  <c r="L34" i="30"/>
  <c r="L33" i="30"/>
  <c r="L32" i="30"/>
  <c r="L31" i="30"/>
  <c r="E31" i="30"/>
  <c r="L30" i="30"/>
  <c r="E30" i="30"/>
  <c r="L29" i="30"/>
  <c r="E29" i="30"/>
  <c r="L28" i="30"/>
  <c r="E28" i="30"/>
  <c r="L27" i="30"/>
  <c r="E27" i="30"/>
  <c r="L26" i="30"/>
  <c r="E26" i="30"/>
  <c r="L25" i="30"/>
  <c r="E25" i="30"/>
  <c r="L24" i="30"/>
  <c r="E24" i="30"/>
  <c r="L23" i="30"/>
  <c r="E23" i="30"/>
  <c r="L22" i="30"/>
  <c r="E22" i="30"/>
  <c r="L21" i="30"/>
  <c r="E21" i="30"/>
  <c r="L20" i="30"/>
  <c r="E20" i="30"/>
  <c r="L19" i="30"/>
  <c r="E19" i="30"/>
  <c r="L18" i="30"/>
  <c r="E18" i="30"/>
  <c r="L17" i="30"/>
  <c r="E17" i="30"/>
  <c r="L16" i="30"/>
  <c r="E16" i="30"/>
  <c r="L15" i="30"/>
  <c r="E15" i="30"/>
  <c r="L14" i="30"/>
  <c r="E14" i="30"/>
  <c r="L13" i="30"/>
  <c r="E13" i="30"/>
  <c r="L12" i="30"/>
  <c r="E12" i="30"/>
  <c r="L11" i="30"/>
  <c r="E11" i="30"/>
  <c r="L10" i="30"/>
  <c r="E10" i="30"/>
  <c r="L9" i="30"/>
  <c r="E9" i="30"/>
  <c r="T6" i="30" s="1"/>
  <c r="T7" i="30" s="1"/>
  <c r="L8" i="30"/>
  <c r="E8" i="30"/>
  <c r="L7" i="30"/>
  <c r="E7" i="30"/>
  <c r="H5" i="30"/>
  <c r="F5" i="30"/>
  <c r="D5" i="29"/>
  <c r="E11" i="23"/>
  <c r="F556" i="32" s="1"/>
  <c r="K8" i="23"/>
  <c r="J8" i="23" s="1"/>
  <c r="K19" i="23"/>
  <c r="J19" i="23" s="1"/>
  <c r="H5" i="23"/>
  <c r="E31" i="9"/>
  <c r="F521" i="32" s="1"/>
  <c r="K30" i="9"/>
  <c r="N520" i="32" s="1"/>
  <c r="E30" i="9"/>
  <c r="F520" i="32" s="1"/>
  <c r="E29" i="9"/>
  <c r="F519" i="32" s="1"/>
  <c r="E28" i="9"/>
  <c r="F518" i="32" s="1"/>
  <c r="E27" i="9"/>
  <c r="F517" i="32" s="1"/>
  <c r="E26" i="9"/>
  <c r="F516" i="32" s="1"/>
  <c r="E25" i="9"/>
  <c r="F515" i="32" s="1"/>
  <c r="E24" i="9"/>
  <c r="F514" i="32" s="1"/>
  <c r="E23" i="9"/>
  <c r="F513" i="32" s="1"/>
  <c r="E22" i="9"/>
  <c r="F512" i="32" s="1"/>
  <c r="E11" i="9"/>
  <c r="F501" i="32" s="1"/>
  <c r="E15" i="9"/>
  <c r="F505" i="32" s="1"/>
  <c r="H5" i="9"/>
  <c r="E11" i="8"/>
  <c r="F446" i="32" s="1"/>
  <c r="E9" i="8"/>
  <c r="F444" i="32" s="1"/>
  <c r="E22" i="8"/>
  <c r="F458" i="32" s="1"/>
  <c r="E20" i="8"/>
  <c r="F456" i="32" s="1"/>
  <c r="E24" i="8"/>
  <c r="F460" i="32" s="1"/>
  <c r="H5" i="8"/>
  <c r="E25" i="6"/>
  <c r="F352" i="32" s="1"/>
  <c r="E24" i="6"/>
  <c r="F351" i="32" s="1"/>
  <c r="E23" i="6"/>
  <c r="F350" i="32" s="1"/>
  <c r="E22" i="6"/>
  <c r="F349" i="32" s="1"/>
  <c r="E21" i="6"/>
  <c r="F348" i="32" s="1"/>
  <c r="E20" i="6"/>
  <c r="F347" i="32" s="1"/>
  <c r="F346" i="32"/>
  <c r="E18" i="6"/>
  <c r="F345" i="32" s="1"/>
  <c r="E17" i="6"/>
  <c r="F344" i="32" s="1"/>
  <c r="E15" i="6"/>
  <c r="F343" i="32" s="1"/>
  <c r="F342" i="32"/>
  <c r="F341" i="32"/>
  <c r="F340" i="32"/>
  <c r="F339" i="32"/>
  <c r="F337" i="32"/>
  <c r="F335" i="32"/>
  <c r="F333" i="32"/>
  <c r="F338" i="32"/>
  <c r="H5" i="6"/>
  <c r="E35" i="5"/>
  <c r="F306" i="32" s="1"/>
  <c r="E34" i="5"/>
  <c r="F305" i="32" s="1"/>
  <c r="E33" i="5"/>
  <c r="F304" i="32" s="1"/>
  <c r="E32" i="5"/>
  <c r="F303" i="32" s="1"/>
  <c r="E31" i="5"/>
  <c r="F302" i="32" s="1"/>
  <c r="E30" i="5"/>
  <c r="F301" i="32" s="1"/>
  <c r="E29" i="5"/>
  <c r="F300" i="32" s="1"/>
  <c r="E28" i="5"/>
  <c r="F299" i="32" s="1"/>
  <c r="E27" i="5"/>
  <c r="F298" i="32" s="1"/>
  <c r="E26" i="5"/>
  <c r="F297" i="32" s="1"/>
  <c r="E25" i="5"/>
  <c r="F296" i="32" s="1"/>
  <c r="E24" i="5"/>
  <c r="F295" i="32" s="1"/>
  <c r="E23" i="5"/>
  <c r="F294" i="32" s="1"/>
  <c r="E22" i="5"/>
  <c r="F293" i="32" s="1"/>
  <c r="E21" i="5"/>
  <c r="F292" i="32" s="1"/>
  <c r="E20" i="5"/>
  <c r="F291" i="32" s="1"/>
  <c r="E19" i="5"/>
  <c r="F290" i="32" s="1"/>
  <c r="E18" i="5"/>
  <c r="F289" i="32" s="1"/>
  <c r="E17" i="5"/>
  <c r="F288" i="32" s="1"/>
  <c r="E16" i="5"/>
  <c r="F287" i="32" s="1"/>
  <c r="E7" i="5"/>
  <c r="F277" i="32" s="1"/>
  <c r="E11" i="5"/>
  <c r="F281" i="32" s="1"/>
  <c r="H5" i="5"/>
  <c r="E35" i="4"/>
  <c r="F251" i="32" s="1"/>
  <c r="E34" i="4"/>
  <c r="F250" i="32" s="1"/>
  <c r="E33" i="4"/>
  <c r="F249" i="32" s="1"/>
  <c r="E32" i="4"/>
  <c r="F248" i="32" s="1"/>
  <c r="E31" i="4"/>
  <c r="F247" i="32" s="1"/>
  <c r="E30" i="4"/>
  <c r="F246" i="32" s="1"/>
  <c r="E29" i="4"/>
  <c r="F245" i="32" s="1"/>
  <c r="E28" i="4"/>
  <c r="F244" i="32" s="1"/>
  <c r="E27" i="4"/>
  <c r="F243" i="32" s="1"/>
  <c r="E26" i="4"/>
  <c r="F242" i="32" s="1"/>
  <c r="E25" i="4"/>
  <c r="F241" i="32" s="1"/>
  <c r="E24" i="4"/>
  <c r="F240" i="32" s="1"/>
  <c r="E23" i="4"/>
  <c r="F239" i="32" s="1"/>
  <c r="E22" i="4"/>
  <c r="F238" i="32" s="1"/>
  <c r="E21" i="4"/>
  <c r="F237" i="32" s="1"/>
  <c r="E20" i="4"/>
  <c r="F236" i="32" s="1"/>
  <c r="E19" i="4"/>
  <c r="F235" i="32" s="1"/>
  <c r="E18" i="4"/>
  <c r="F234" i="32" s="1"/>
  <c r="E17" i="4"/>
  <c r="F233" i="32" s="1"/>
  <c r="E16" i="4"/>
  <c r="F232" i="32" s="1"/>
  <c r="F231" i="32"/>
  <c r="E14" i="4"/>
  <c r="F230" i="32" s="1"/>
  <c r="E13" i="4"/>
  <c r="E12" i="4"/>
  <c r="F228" i="32" s="1"/>
  <c r="E9" i="4"/>
  <c r="F224" i="32" s="1"/>
  <c r="H5" i="4"/>
  <c r="E36" i="3"/>
  <c r="F196" i="32" s="1"/>
  <c r="E35" i="3"/>
  <c r="F195" i="32" s="1"/>
  <c r="E34" i="3"/>
  <c r="F194" i="32" s="1"/>
  <c r="E33" i="3"/>
  <c r="F193" i="32" s="1"/>
  <c r="E32" i="3"/>
  <c r="F192" i="32" s="1"/>
  <c r="E31" i="3"/>
  <c r="F191" i="32" s="1"/>
  <c r="E30" i="3"/>
  <c r="F190" i="32" s="1"/>
  <c r="E29" i="3"/>
  <c r="F189" i="32" s="1"/>
  <c r="E28" i="3"/>
  <c r="F188" i="32" s="1"/>
  <c r="E27" i="3"/>
  <c r="F187" i="32" s="1"/>
  <c r="E26" i="3"/>
  <c r="F186" i="32" s="1"/>
  <c r="E25" i="3"/>
  <c r="F185" i="32" s="1"/>
  <c r="E24" i="3"/>
  <c r="F184" i="32" s="1"/>
  <c r="E23" i="3"/>
  <c r="F183" i="32" s="1"/>
  <c r="E22" i="3"/>
  <c r="F182" i="32" s="1"/>
  <c r="E21" i="3"/>
  <c r="F181" i="32" s="1"/>
  <c r="E20" i="3"/>
  <c r="F180" i="32" s="1"/>
  <c r="E19" i="3"/>
  <c r="F179" i="32" s="1"/>
  <c r="E10" i="3"/>
  <c r="F170" i="32" s="1"/>
  <c r="E17" i="3"/>
  <c r="E16" i="3"/>
  <c r="F175" i="32" s="1"/>
  <c r="E14" i="3"/>
  <c r="H5" i="3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H5" i="2"/>
  <c r="E32" i="14"/>
  <c r="F83" i="32" s="1"/>
  <c r="E31" i="14"/>
  <c r="F82" i="32" s="1"/>
  <c r="E30" i="14"/>
  <c r="F81" i="32" s="1"/>
  <c r="E29" i="14"/>
  <c r="F80" i="32" s="1"/>
  <c r="E28" i="14"/>
  <c r="F79" i="32" s="1"/>
  <c r="E27" i="14"/>
  <c r="F78" i="32" s="1"/>
  <c r="E26" i="14"/>
  <c r="F77" i="32" s="1"/>
  <c r="E25" i="14"/>
  <c r="F76" i="32" s="1"/>
  <c r="E24" i="14"/>
  <c r="F75" i="32" s="1"/>
  <c r="E23" i="14"/>
  <c r="F74" i="32" s="1"/>
  <c r="E22" i="14"/>
  <c r="F73" i="32" s="1"/>
  <c r="E21" i="14"/>
  <c r="F72" i="32" s="1"/>
  <c r="E20" i="14"/>
  <c r="F71" i="32" s="1"/>
  <c r="E19" i="14"/>
  <c r="F70" i="32" s="1"/>
  <c r="E18" i="14"/>
  <c r="F69" i="32" s="1"/>
  <c r="E17" i="14"/>
  <c r="F68" i="32" s="1"/>
  <c r="E16" i="14"/>
  <c r="F67" i="32" s="1"/>
  <c r="E15" i="14"/>
  <c r="F66" i="32" s="1"/>
  <c r="E14" i="14"/>
  <c r="F65" i="32" s="1"/>
  <c r="E13" i="14"/>
  <c r="F64" i="32" s="1"/>
  <c r="E12" i="14"/>
  <c r="F63" i="32" s="1"/>
  <c r="E11" i="14"/>
  <c r="F62" i="32" s="1"/>
  <c r="E10" i="14"/>
  <c r="F61" i="32" s="1"/>
  <c r="E8" i="14"/>
  <c r="F59" i="32" s="1"/>
  <c r="E9" i="14"/>
  <c r="F60" i="32" s="1"/>
  <c r="H5" i="14"/>
  <c r="E34" i="1"/>
  <c r="F31" i="32" s="1"/>
  <c r="E33" i="1"/>
  <c r="F30" i="32" s="1"/>
  <c r="E32" i="1"/>
  <c r="F29" i="32" s="1"/>
  <c r="E31" i="1"/>
  <c r="F28" i="32" s="1"/>
  <c r="E30" i="1"/>
  <c r="F27" i="32" s="1"/>
  <c r="E29" i="1"/>
  <c r="F26" i="32" s="1"/>
  <c r="E28" i="1"/>
  <c r="F25" i="32" s="1"/>
  <c r="E27" i="1"/>
  <c r="F24" i="32" s="1"/>
  <c r="E26" i="1"/>
  <c r="F23" i="32" s="1"/>
  <c r="E25" i="1"/>
  <c r="F22" i="32" s="1"/>
  <c r="E24" i="1"/>
  <c r="F21" i="32" s="1"/>
  <c r="E23" i="1"/>
  <c r="F20" i="32" s="1"/>
  <c r="E22" i="1"/>
  <c r="F19" i="32" s="1"/>
  <c r="E21" i="1"/>
  <c r="F18" i="32" s="1"/>
  <c r="E20" i="1"/>
  <c r="F17" i="32" s="1"/>
  <c r="E19" i="1"/>
  <c r="F16" i="32" s="1"/>
  <c r="E18" i="1"/>
  <c r="F15" i="32" s="1"/>
  <c r="E17" i="1"/>
  <c r="F14" i="32" s="1"/>
  <c r="E16" i="1"/>
  <c r="F13" i="32" s="1"/>
  <c r="E15" i="1"/>
  <c r="F12" i="32" s="1"/>
  <c r="E14" i="1"/>
  <c r="F11" i="32" s="1"/>
  <c r="E13" i="1"/>
  <c r="F10" i="32" s="1"/>
  <c r="E12" i="1"/>
  <c r="F9" i="32" s="1"/>
  <c r="E11" i="1"/>
  <c r="F8" i="32" s="1"/>
  <c r="E10" i="1"/>
  <c r="F7" i="32" s="1"/>
  <c r="E8" i="1"/>
  <c r="F5" i="32" s="1"/>
  <c r="E7" i="1"/>
  <c r="F4" i="32" s="1"/>
  <c r="N3" i="32"/>
  <c r="H5" i="1"/>
  <c r="D1" i="31"/>
  <c r="F1" i="31" s="1"/>
  <c r="A606" i="32"/>
  <c r="A605" i="32"/>
  <c r="A604" i="32"/>
  <c r="A603" i="32"/>
  <c r="A602" i="32"/>
  <c r="A601" i="32"/>
  <c r="A600" i="32"/>
  <c r="A599" i="32"/>
  <c r="A598" i="32"/>
  <c r="A597" i="32"/>
  <c r="A596" i="32"/>
  <c r="A595" i="32"/>
  <c r="A594" i="32"/>
  <c r="A593" i="32"/>
  <c r="A592" i="32"/>
  <c r="A591" i="32"/>
  <c r="A590" i="32"/>
  <c r="A589" i="32"/>
  <c r="A588" i="32"/>
  <c r="A587" i="32"/>
  <c r="A586" i="32"/>
  <c r="A585" i="32"/>
  <c r="A584" i="32"/>
  <c r="A583" i="32"/>
  <c r="A582" i="32"/>
  <c r="A581" i="32"/>
  <c r="A580" i="32"/>
  <c r="A579" i="32"/>
  <c r="A578" i="32"/>
  <c r="A577" i="32"/>
  <c r="A576" i="32"/>
  <c r="A575" i="32"/>
  <c r="A574" i="32"/>
  <c r="A573" i="32"/>
  <c r="A572" i="32"/>
  <c r="A571" i="32"/>
  <c r="A570" i="32"/>
  <c r="A569" i="32"/>
  <c r="A568" i="32"/>
  <c r="A567" i="32"/>
  <c r="A566" i="32"/>
  <c r="A565" i="32"/>
  <c r="A564" i="32"/>
  <c r="A563" i="32"/>
  <c r="A562" i="32"/>
  <c r="A561" i="32"/>
  <c r="A560" i="32"/>
  <c r="A559" i="32"/>
  <c r="A558" i="32"/>
  <c r="A557" i="32"/>
  <c r="A556" i="32"/>
  <c r="A555" i="32"/>
  <c r="A554" i="32"/>
  <c r="A553" i="32"/>
  <c r="A552" i="32"/>
  <c r="A551" i="32"/>
  <c r="A550" i="32"/>
  <c r="A549" i="32"/>
  <c r="A548" i="32"/>
  <c r="A547" i="32"/>
  <c r="A546" i="32"/>
  <c r="A545" i="32"/>
  <c r="A544" i="32"/>
  <c r="A543" i="32"/>
  <c r="A542" i="32"/>
  <c r="A541" i="32"/>
  <c r="A540" i="32"/>
  <c r="A539" i="32"/>
  <c r="A538" i="32"/>
  <c r="A537" i="32"/>
  <c r="A536" i="32"/>
  <c r="A535" i="32"/>
  <c r="A534" i="32"/>
  <c r="A533" i="32"/>
  <c r="A532" i="32"/>
  <c r="A531" i="32"/>
  <c r="A530" i="32"/>
  <c r="A529" i="32"/>
  <c r="A528" i="32"/>
  <c r="A527" i="32"/>
  <c r="A526" i="32"/>
  <c r="A525" i="32"/>
  <c r="A524" i="32"/>
  <c r="A523" i="32"/>
  <c r="A522" i="32"/>
  <c r="A521" i="32"/>
  <c r="A520" i="32"/>
  <c r="A519" i="32"/>
  <c r="A518" i="32"/>
  <c r="A517" i="32"/>
  <c r="A516" i="32"/>
  <c r="A515" i="32"/>
  <c r="A514" i="32"/>
  <c r="A513" i="32"/>
  <c r="A512" i="32"/>
  <c r="A511" i="32"/>
  <c r="A510" i="32"/>
  <c r="A509" i="32"/>
  <c r="A508" i="32"/>
  <c r="A507" i="32"/>
  <c r="A506" i="32"/>
  <c r="A505" i="32"/>
  <c r="A504" i="32"/>
  <c r="A503" i="32"/>
  <c r="A502" i="32"/>
  <c r="A501" i="32"/>
  <c r="A500" i="32"/>
  <c r="A499" i="32"/>
  <c r="A498" i="32"/>
  <c r="A497" i="32"/>
  <c r="A496" i="32"/>
  <c r="A495" i="32"/>
  <c r="A494" i="32"/>
  <c r="A493" i="32"/>
  <c r="A492" i="32"/>
  <c r="A491" i="32"/>
  <c r="A490" i="32"/>
  <c r="A489" i="32"/>
  <c r="A488" i="32"/>
  <c r="A487" i="32"/>
  <c r="A486" i="32"/>
  <c r="A485" i="32"/>
  <c r="A484" i="32"/>
  <c r="A483" i="32"/>
  <c r="A482" i="32"/>
  <c r="A481" i="32"/>
  <c r="A480" i="32"/>
  <c r="A479" i="32"/>
  <c r="A478" i="32"/>
  <c r="A477" i="32"/>
  <c r="A476" i="32"/>
  <c r="A475" i="32"/>
  <c r="A474" i="32"/>
  <c r="A473" i="32"/>
  <c r="A472" i="32"/>
  <c r="A471" i="32"/>
  <c r="A470" i="32"/>
  <c r="A469" i="32"/>
  <c r="A468" i="32"/>
  <c r="A467" i="32"/>
  <c r="A466" i="32"/>
  <c r="A465" i="32"/>
  <c r="A464" i="32"/>
  <c r="A463" i="32"/>
  <c r="A462" i="32"/>
  <c r="A461" i="32"/>
  <c r="A460" i="32"/>
  <c r="A459" i="32"/>
  <c r="A458" i="32"/>
  <c r="A457" i="32"/>
  <c r="A456" i="32"/>
  <c r="A455" i="32"/>
  <c r="A454" i="32"/>
  <c r="A453" i="32"/>
  <c r="A452" i="32"/>
  <c r="A451" i="32"/>
  <c r="A450" i="32"/>
  <c r="A449" i="32"/>
  <c r="A448" i="32"/>
  <c r="A447" i="32"/>
  <c r="A446" i="32"/>
  <c r="A445" i="32"/>
  <c r="A444" i="32"/>
  <c r="A443" i="32"/>
  <c r="A442" i="32"/>
  <c r="A441" i="32"/>
  <c r="A440" i="32"/>
  <c r="A439" i="32"/>
  <c r="A438" i="32"/>
  <c r="A437" i="32"/>
  <c r="A436" i="32"/>
  <c r="A435" i="32"/>
  <c r="A434" i="32"/>
  <c r="A433" i="32"/>
  <c r="A432" i="32"/>
  <c r="A431" i="32"/>
  <c r="A430" i="32"/>
  <c r="A429" i="32"/>
  <c r="A428" i="32"/>
  <c r="A427" i="32"/>
  <c r="A426" i="32"/>
  <c r="A425" i="32"/>
  <c r="A424" i="32"/>
  <c r="A423" i="32"/>
  <c r="A422" i="32"/>
  <c r="A421" i="32"/>
  <c r="A420" i="32"/>
  <c r="A419" i="32"/>
  <c r="A418" i="32"/>
  <c r="A417" i="32"/>
  <c r="A416" i="32"/>
  <c r="A415" i="32"/>
  <c r="A414" i="32"/>
  <c r="A413" i="32"/>
  <c r="A412" i="32"/>
  <c r="A411" i="32"/>
  <c r="A410" i="32"/>
  <c r="A409" i="32"/>
  <c r="A408" i="32"/>
  <c r="A407" i="32"/>
  <c r="A406" i="32"/>
  <c r="A405" i="32"/>
  <c r="A404" i="32"/>
  <c r="A403" i="32"/>
  <c r="A402" i="32"/>
  <c r="A401" i="32"/>
  <c r="A400" i="32"/>
  <c r="A399" i="32"/>
  <c r="A398" i="32"/>
  <c r="A397" i="32"/>
  <c r="A396" i="32"/>
  <c r="A395" i="32"/>
  <c r="A394" i="32"/>
  <c r="A393" i="32"/>
  <c r="A392" i="32"/>
  <c r="A391" i="32"/>
  <c r="A390" i="32"/>
  <c r="A389" i="32"/>
  <c r="A388" i="32"/>
  <c r="A387" i="32"/>
  <c r="A333" i="32"/>
  <c r="A331" i="32"/>
  <c r="A330" i="32"/>
  <c r="A329" i="32"/>
  <c r="A328" i="32"/>
  <c r="A327" i="32"/>
  <c r="A326" i="32"/>
  <c r="A325" i="32"/>
  <c r="A324" i="32"/>
  <c r="A323" i="32"/>
  <c r="A322" i="32"/>
  <c r="A321" i="32"/>
  <c r="A320" i="32"/>
  <c r="A319" i="32"/>
  <c r="A318" i="32"/>
  <c r="A317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6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5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4" i="32"/>
  <c r="A63" i="32"/>
  <c r="A62" i="32"/>
  <c r="A61" i="32"/>
  <c r="A60" i="32"/>
  <c r="A59" i="32"/>
  <c r="A58" i="32"/>
  <c r="A57" i="32"/>
  <c r="A2" i="32"/>
  <c r="N565" i="32" l="1"/>
  <c r="N553" i="32"/>
  <c r="F229" i="32"/>
  <c r="E11" i="31"/>
  <c r="H11" i="31"/>
  <c r="F173" i="32"/>
  <c r="F174" i="32"/>
  <c r="F176" i="32"/>
  <c r="F177" i="32"/>
  <c r="F18" i="31"/>
  <c r="I18" i="31"/>
  <c r="J18" i="31" s="1"/>
  <c r="I12" i="31"/>
  <c r="F12" i="31"/>
  <c r="E12" i="31"/>
  <c r="H12" i="31"/>
  <c r="H9" i="31"/>
  <c r="E9" i="31"/>
  <c r="E10" i="31" s="1"/>
  <c r="I8" i="31"/>
  <c r="F8" i="31"/>
  <c r="F7" i="31"/>
  <c r="I7" i="31"/>
  <c r="I6" i="31"/>
  <c r="F6" i="31"/>
  <c r="I13" i="31"/>
  <c r="F13" i="31"/>
  <c r="I9" i="31"/>
  <c r="F9" i="31"/>
  <c r="F11" i="31"/>
  <c r="I11" i="31"/>
  <c r="H16" i="31"/>
  <c r="E16" i="31"/>
  <c r="F16" i="31"/>
  <c r="I16" i="31"/>
  <c r="H13" i="31"/>
  <c r="E13" i="31"/>
  <c r="H17" i="31"/>
  <c r="E17" i="31"/>
  <c r="L3" i="32"/>
  <c r="J30" i="9"/>
  <c r="K13" i="31" a="1"/>
  <c r="K13" i="31" s="1"/>
  <c r="L13" i="31" a="1"/>
  <c r="L13" i="31" s="1"/>
  <c r="L11" i="31" a="1"/>
  <c r="L11" i="31" s="1"/>
  <c r="K11" i="31" a="1"/>
  <c r="K11" i="31" s="1"/>
  <c r="K9" i="31" a="1"/>
  <c r="K9" i="31" s="1"/>
  <c r="L9" i="31" a="1"/>
  <c r="L9" i="31" s="1"/>
  <c r="K6" i="31" a="1"/>
  <c r="K6" i="31" s="1"/>
  <c r="L6" i="31" a="1"/>
  <c r="L6" i="31" s="1"/>
  <c r="K8" i="31" a="1"/>
  <c r="L8" i="31" a="1"/>
  <c r="K14" i="31" a="1"/>
  <c r="K14" i="31" s="1"/>
  <c r="L14" i="31" a="1"/>
  <c r="L14" i="31" s="1"/>
  <c r="U6" i="30"/>
  <c r="U7" i="30" s="1"/>
  <c r="L7" i="31" a="1"/>
  <c r="K7" i="31" a="1"/>
  <c r="L12" i="31" a="1"/>
  <c r="L12" i="31" s="1"/>
  <c r="K12" i="31" a="1"/>
  <c r="K12" i="31" s="1"/>
  <c r="N11" i="31" a="1"/>
  <c r="N11" i="31" s="1"/>
  <c r="O11" i="31" a="1"/>
  <c r="O11" i="31" s="1"/>
  <c r="N9" i="31" a="1"/>
  <c r="N9" i="31" s="1"/>
  <c r="O9" i="31" a="1"/>
  <c r="O9" i="31" s="1"/>
  <c r="L18" i="31" a="1"/>
  <c r="L18" i="31" s="1"/>
  <c r="K18" i="31" a="1"/>
  <c r="K18" i="31" s="1"/>
  <c r="K17" i="31" a="1"/>
  <c r="K17" i="31" s="1"/>
  <c r="L17" i="31" a="1"/>
  <c r="L17" i="31" s="1"/>
  <c r="N14" i="31" a="1"/>
  <c r="N14" i="31" s="1"/>
  <c r="O14" i="31" a="1"/>
  <c r="O14" i="31" s="1"/>
  <c r="N13" i="31" a="1"/>
  <c r="N13" i="31" s="1"/>
  <c r="O13" i="31" a="1"/>
  <c r="O13" i="31" s="1"/>
  <c r="N12" i="31" a="1"/>
  <c r="N12" i="31" s="1"/>
  <c r="O12" i="31" a="1"/>
  <c r="O12" i="31" s="1"/>
  <c r="K8" i="31"/>
  <c r="L8" i="31"/>
  <c r="N8" i="31" a="1"/>
  <c r="N8" i="31" s="1"/>
  <c r="O8" i="31" a="1"/>
  <c r="O8" i="31" s="1"/>
  <c r="K7" i="31"/>
  <c r="L7" i="31"/>
  <c r="N7" i="31" a="1"/>
  <c r="N7" i="31" s="1"/>
  <c r="O7" i="31" a="1"/>
  <c r="O7" i="31" s="1"/>
  <c r="L16" i="31" a="1"/>
  <c r="L16" i="31" s="1"/>
  <c r="K16" i="31" a="1"/>
  <c r="K16" i="31" s="1"/>
  <c r="N16" i="31" a="1"/>
  <c r="N16" i="31" s="1"/>
  <c r="O16" i="31" a="1"/>
  <c r="O16" i="31" s="1"/>
  <c r="F17" i="31"/>
  <c r="I17" i="31"/>
  <c r="N18" i="31" a="1"/>
  <c r="N18" i="31" s="1"/>
  <c r="O18" i="31" a="1"/>
  <c r="O18" i="31" s="1"/>
  <c r="N17" i="31" a="1"/>
  <c r="N17" i="31" s="1"/>
  <c r="O17" i="31" a="1"/>
  <c r="O17" i="31" s="1"/>
  <c r="N6" i="31" a="1"/>
  <c r="N6" i="31" s="1"/>
  <c r="O6" i="31" a="1"/>
  <c r="O6" i="31" s="1"/>
  <c r="Q6" i="30"/>
  <c r="Q7" i="30" s="1"/>
  <c r="R6" i="30"/>
  <c r="R7" i="30" s="1"/>
  <c r="S6" i="30"/>
  <c r="S7" i="30" s="1"/>
  <c r="J8" i="31"/>
  <c r="I10" i="31"/>
  <c r="J7" i="31"/>
  <c r="G7" i="31"/>
  <c r="G9" i="31"/>
  <c r="J12" i="31"/>
  <c r="F15" i="31" l="1"/>
  <c r="L520" i="32"/>
  <c r="L575" i="32"/>
  <c r="M18" i="31"/>
  <c r="I19" i="31"/>
  <c r="F19" i="31"/>
  <c r="E15" i="31"/>
  <c r="F10" i="31"/>
  <c r="E19" i="31"/>
  <c r="H19" i="31"/>
  <c r="M9" i="31"/>
  <c r="M7" i="31"/>
  <c r="L15" i="31"/>
  <c r="N15" i="31"/>
  <c r="K15" i="31"/>
  <c r="K10" i="31"/>
  <c r="N10" i="31"/>
  <c r="L10" i="31"/>
  <c r="K19" i="31"/>
  <c r="L19" i="31"/>
  <c r="N19" i="31"/>
  <c r="G12" i="31"/>
  <c r="M12" i="31"/>
  <c r="P12" i="31"/>
  <c r="J17" i="31"/>
  <c r="G17" i="31"/>
  <c r="M17" i="31"/>
  <c r="J13" i="31"/>
  <c r="J11" i="31"/>
  <c r="M14" i="31"/>
  <c r="M6" i="31"/>
  <c r="H10" i="31"/>
  <c r="G6" i="31"/>
  <c r="P8" i="31"/>
  <c r="G8" i="31"/>
  <c r="M11" i="31"/>
  <c r="P11" i="31"/>
  <c r="G11" i="31"/>
  <c r="G13" i="31"/>
  <c r="P16" i="31"/>
  <c r="G16" i="31"/>
  <c r="J9" i="31"/>
  <c r="P9" i="31"/>
  <c r="I15" i="31"/>
  <c r="J14" i="31"/>
  <c r="M16" i="31"/>
  <c r="G18" i="31"/>
  <c r="P7" i="31"/>
  <c r="P6" i="31"/>
  <c r="E20" i="31" l="1"/>
  <c r="I20" i="31"/>
  <c r="F20" i="31"/>
  <c r="N20" i="31"/>
  <c r="M19" i="31"/>
  <c r="P10" i="31"/>
  <c r="G14" i="31"/>
  <c r="G15" i="31" s="1"/>
  <c r="M8" i="31"/>
  <c r="M10" i="31" s="1"/>
  <c r="L20" i="31"/>
  <c r="J15" i="31"/>
  <c r="H15" i="31"/>
  <c r="H20" i="31" s="1"/>
  <c r="J6" i="31"/>
  <c r="J10" i="31" s="1"/>
  <c r="O10" i="31"/>
  <c r="M13" i="31"/>
  <c r="M15" i="31" s="1"/>
  <c r="O19" i="31"/>
  <c r="O15" i="31"/>
  <c r="J16" i="31"/>
  <c r="J19" i="31" s="1"/>
  <c r="P18" i="31"/>
  <c r="P14" i="31"/>
  <c r="P13" i="31"/>
  <c r="P17" i="31"/>
  <c r="M20" i="31" l="1"/>
  <c r="J20" i="31"/>
  <c r="P15" i="31"/>
  <c r="P19" i="31"/>
  <c r="O20" i="31"/>
  <c r="G10" i="31"/>
  <c r="G19" i="31"/>
  <c r="K20" i="31"/>
  <c r="P20" i="31" l="1"/>
  <c r="G20" i="31"/>
  <c r="F2" i="32" l="1"/>
</calcChain>
</file>

<file path=xl/sharedStrings.xml><?xml version="1.0" encoding="utf-8"?>
<sst xmlns="http://schemas.openxmlformats.org/spreadsheetml/2006/main" count="6157" uniqueCount="585">
  <si>
    <t>Município da Estância Balneária de Praia Grande</t>
  </si>
  <si>
    <t>Estado de São Paulo</t>
  </si>
  <si>
    <t>E.M. José Padin Mouta</t>
  </si>
  <si>
    <t>SÉRIE: 1ª SÉRIE E.F</t>
  </si>
  <si>
    <t>MA</t>
  </si>
  <si>
    <t>MC</t>
  </si>
  <si>
    <t>INCLUSÃO</t>
  </si>
  <si>
    <t>Nº</t>
  </si>
  <si>
    <t>RM</t>
  </si>
  <si>
    <t>NOME DO ALUNO</t>
  </si>
  <si>
    <t>S</t>
  </si>
  <si>
    <t>COD</t>
  </si>
  <si>
    <t>NASC.</t>
  </si>
  <si>
    <t>RA</t>
  </si>
  <si>
    <t>RG</t>
  </si>
  <si>
    <t>OBS.</t>
  </si>
  <si>
    <t>F</t>
  </si>
  <si>
    <t>M</t>
  </si>
  <si>
    <t>TOTAL</t>
  </si>
  <si>
    <t>SÉRIE: 2ª SÉRIE E.F</t>
  </si>
  <si>
    <t>SÉRIE: 3ª SÉRIE E.F</t>
  </si>
  <si>
    <t>SÉRIE: 4ª SÉRIE E.F</t>
  </si>
  <si>
    <t>SÉRIE: 5ª SÉRIE E.F</t>
  </si>
  <si>
    <t>SÉRIE: 6ª SÉRIE E.F</t>
  </si>
  <si>
    <t xml:space="preserve">Nº </t>
  </si>
  <si>
    <t>COD.</t>
  </si>
  <si>
    <t>-</t>
  </si>
  <si>
    <t>SÉRIE: 7ª SÉRIE E.F</t>
  </si>
  <si>
    <t>ED. FÍSICA</t>
  </si>
  <si>
    <t>FUMANTE</t>
  </si>
  <si>
    <t>INCL.</t>
  </si>
  <si>
    <t>Mas.</t>
  </si>
  <si>
    <t>Fem.</t>
  </si>
  <si>
    <t>DISP.ED.FÍS.</t>
  </si>
  <si>
    <t>REM(SIM)</t>
  </si>
  <si>
    <t>DATA IMPRESSÃO:</t>
  </si>
  <si>
    <t>IDADE</t>
  </si>
  <si>
    <t>SÉRIE</t>
  </si>
  <si>
    <t>Série: 8ª SÉRIE E.F</t>
  </si>
  <si>
    <t>Série: 2ª SÉRIE E.M</t>
  </si>
  <si>
    <t>Série: 3ª SÉRIE E.M</t>
  </si>
  <si>
    <t>REM - 2018/2º</t>
  </si>
  <si>
    <r>
      <t xml:space="preserve">ALUNOS NCOM E MC'S ( DATA LIMITE </t>
    </r>
    <r>
      <rPr>
        <b/>
        <i/>
        <u/>
        <sz val="18"/>
        <color rgb="FFFF0000"/>
        <rFont val="Calibri"/>
        <family val="2"/>
        <scheme val="minor"/>
      </rPr>
      <t>NCOM</t>
    </r>
    <r>
      <rPr>
        <b/>
        <sz val="18"/>
        <color rgb="FFFF0000"/>
        <rFont val="Calibri"/>
        <family val="2"/>
        <scheme val="minor"/>
      </rPr>
      <t xml:space="preserve"> xx/xx/xxxx)</t>
    </r>
  </si>
  <si>
    <t>NR. Classe: SED:</t>
  </si>
  <si>
    <t>SALA:</t>
  </si>
  <si>
    <t>EDUCAÇÃO DE JOVENS DE ADULTOS - EJA - 2º Sem/2020</t>
  </si>
  <si>
    <t>1ª SÉRIE E.M</t>
  </si>
  <si>
    <t>2ª SÉRIE E.M</t>
  </si>
  <si>
    <t>5ª SÉRIE E.F</t>
  </si>
  <si>
    <t>8ª SÉRIE E.F</t>
  </si>
  <si>
    <t>3ª SÉRIE E.M</t>
  </si>
  <si>
    <t>Série: 1ª SÉRIE E.M</t>
  </si>
  <si>
    <t>DISP.IDADE</t>
  </si>
  <si>
    <t>JOEL SILVA SANTOS</t>
  </si>
  <si>
    <t>116443134-1</t>
  </si>
  <si>
    <t>52316564-X</t>
  </si>
  <si>
    <t>DISP.TRABALHO</t>
  </si>
  <si>
    <t>OBS.:</t>
  </si>
  <si>
    <t>MARIA NOEMIA DE JESUS REIS SANTOS</t>
  </si>
  <si>
    <t>103572413-3</t>
  </si>
  <si>
    <t>VANDERLEI SILVESTRE</t>
  </si>
  <si>
    <t>120736194-X</t>
  </si>
  <si>
    <t>29358534-9</t>
  </si>
  <si>
    <t>ANTONIO CARLOS PIRES DA SILVA</t>
  </si>
  <si>
    <t>54320288-4</t>
  </si>
  <si>
    <t>BRUNO JORGE FONSECA ALEGRET FREIRE</t>
  </si>
  <si>
    <t>36754521-4</t>
  </si>
  <si>
    <t>REM - 2022/2º</t>
  </si>
  <si>
    <t>DISP. IDADE</t>
  </si>
  <si>
    <t>ELISA DA COSTA BARRETO</t>
  </si>
  <si>
    <t>52171529-5</t>
  </si>
  <si>
    <t>JOSE LUCAS FERNANDES DE LIMA ALMEIDA</t>
  </si>
  <si>
    <t>109851916-4</t>
  </si>
  <si>
    <t>ERIVALDO DE JESUS SILVA</t>
  </si>
  <si>
    <t>124351785-2</t>
  </si>
  <si>
    <t>123862814-X</t>
  </si>
  <si>
    <t>49616164-7</t>
  </si>
  <si>
    <t>109755373-5</t>
  </si>
  <si>
    <t>27663883-9</t>
  </si>
  <si>
    <t>MARCELO DE SOUSA SILVA</t>
  </si>
  <si>
    <t>ASSUNTA NADIM</t>
  </si>
  <si>
    <t>11417321-7</t>
  </si>
  <si>
    <t>ALUNOS RETIDOS POR FREQUÊNCIA, TENDO SIDO SUA MATRÍCULA CANCELADA:</t>
  </si>
  <si>
    <t>GILBERTO SOUZA DOS SANTOS</t>
  </si>
  <si>
    <t>33876244-9</t>
  </si>
  <si>
    <t>123764031-3</t>
  </si>
  <si>
    <t>EDUCAÇÃO DE JOVENS DE ADULTOS - EJA - 1º Sem/2024</t>
  </si>
  <si>
    <t>saldo</t>
  </si>
  <si>
    <t>SALA</t>
  </si>
  <si>
    <t>ANO</t>
  </si>
  <si>
    <t>MATRICULAS ATIVAS (MA)</t>
  </si>
  <si>
    <t>MATRÍCULAS CANCELADAS (MC)</t>
  </si>
  <si>
    <t>Masc.</t>
  </si>
  <si>
    <t>Total</t>
  </si>
  <si>
    <t>1ª</t>
  </si>
  <si>
    <t>2ª</t>
  </si>
  <si>
    <t>3ª</t>
  </si>
  <si>
    <t>4ª</t>
  </si>
  <si>
    <t>5ª</t>
  </si>
  <si>
    <t>6ª</t>
  </si>
  <si>
    <t>7ª</t>
  </si>
  <si>
    <t>8ª</t>
  </si>
  <si>
    <t>1ª EM</t>
  </si>
  <si>
    <t>2ª EM</t>
  </si>
  <si>
    <t>3ª EM</t>
  </si>
  <si>
    <t>CPF</t>
  </si>
  <si>
    <t>REM - 2020/2º</t>
  </si>
  <si>
    <t>NATURALIDADE</t>
  </si>
  <si>
    <t>86770586-8</t>
  </si>
  <si>
    <t>HORÁRIO</t>
  </si>
  <si>
    <t>19:00 às 23:00</t>
  </si>
  <si>
    <t>HORÁRIO ED FÍSICA</t>
  </si>
  <si>
    <t>ROSELENE PEREIRA DA SILVA</t>
  </si>
  <si>
    <t>32635145-0</t>
  </si>
  <si>
    <t>JOSETE FERREIRA DAMIAO DA SILVA</t>
  </si>
  <si>
    <t>67130928-6</t>
  </si>
  <si>
    <t>114523132-9</t>
  </si>
  <si>
    <t>NERRISE DA SILVA MINEGRA</t>
  </si>
  <si>
    <t>103968916-4</t>
  </si>
  <si>
    <t>113917115-X</t>
  </si>
  <si>
    <t>56170354-1</t>
  </si>
  <si>
    <t>MARIA SANDRA ARAÚJO DE FREITAS</t>
  </si>
  <si>
    <t>108445542-0</t>
  </si>
  <si>
    <t>ALEXANDRINA PILAR</t>
  </si>
  <si>
    <t>MARCIA MARIA PIRES</t>
  </si>
  <si>
    <t>CRISTIANE SOUSA DA SILVA</t>
  </si>
  <si>
    <t>125161608-2</t>
  </si>
  <si>
    <t>ADMILSON FRANCISCO DE SANTANA</t>
  </si>
  <si>
    <t>ANGELA ROCHA AGUIAR</t>
  </si>
  <si>
    <t>111230146-X</t>
  </si>
  <si>
    <t>CONCLUINTE 3º EM</t>
  </si>
  <si>
    <t>CARLA ALVES DE JESUS SANTOS</t>
  </si>
  <si>
    <t>47534645-2</t>
  </si>
  <si>
    <t>45728645-3</t>
  </si>
  <si>
    <t>CLAUDINICE SILVA DE JESUS</t>
  </si>
  <si>
    <t>111063136-4</t>
  </si>
  <si>
    <t>CLAUDIVANIA SILVA DE JESUS</t>
  </si>
  <si>
    <t>42895342-6</t>
  </si>
  <si>
    <t>DALLYLA HANNASHIVA GOMES</t>
  </si>
  <si>
    <t>42094631-7</t>
  </si>
  <si>
    <t>DHERIK COELHO MARTINS</t>
  </si>
  <si>
    <t>109998951-6</t>
  </si>
  <si>
    <t>60410259-8</t>
  </si>
  <si>
    <t>DIEGO LUCIANO LISBOA ALVES</t>
  </si>
  <si>
    <t>107255636-4</t>
  </si>
  <si>
    <t>GUSTAVO GUIMARAES ARRUDA</t>
  </si>
  <si>
    <t>107628296-9</t>
  </si>
  <si>
    <t>57493675-0</t>
  </si>
  <si>
    <t>JOAO VICTOR DE SOUZA</t>
  </si>
  <si>
    <t>108273824-4</t>
  </si>
  <si>
    <t>58656375-1</t>
  </si>
  <si>
    <t>JOSE FERNANDO COSTA DOS SANTOS</t>
  </si>
  <si>
    <t>101552747-4</t>
  </si>
  <si>
    <t>LARISSA GABRIELA DA SILVA ALVES</t>
  </si>
  <si>
    <t>102079999-7</t>
  </si>
  <si>
    <t>LUCIENE DA SILVA</t>
  </si>
  <si>
    <t>106529035-4</t>
  </si>
  <si>
    <t>28363438-8</t>
  </si>
  <si>
    <t>MARCIA MARIA RODRIGUES</t>
  </si>
  <si>
    <t>30873821-4</t>
  </si>
  <si>
    <t>MARIA DE JESUS PAULINO PEREIRA</t>
  </si>
  <si>
    <t>42738894-6</t>
  </si>
  <si>
    <t>MARIA EDUARDA SILVA NASCIMENTO</t>
  </si>
  <si>
    <t>103635714-4</t>
  </si>
  <si>
    <t>RAFAELE COELHO DE LIMA</t>
  </si>
  <si>
    <t>109750872-9</t>
  </si>
  <si>
    <t>63269123-2</t>
  </si>
  <si>
    <t>TAMIREZ COSTA MEIRA</t>
  </si>
  <si>
    <t>106405057-8</t>
  </si>
  <si>
    <t>THIAGO EUSTÁQUIO ATANES</t>
  </si>
  <si>
    <t>49884579-5</t>
  </si>
  <si>
    <t>VICTOR VAGNER PIGATO</t>
  </si>
  <si>
    <t>103277190-2</t>
  </si>
  <si>
    <t>YASMIN PEREIRA SONCINI DE ALMEIDA</t>
  </si>
  <si>
    <t>108029229-9</t>
  </si>
  <si>
    <t>59608499-7</t>
  </si>
  <si>
    <t>MARIA APARECIDA DA SILVA AS</t>
  </si>
  <si>
    <t>25413692-8</t>
  </si>
  <si>
    <t>VICTOR AUGUSTO DA SILVA CADOSO</t>
  </si>
  <si>
    <t>108768871-1</t>
  </si>
  <si>
    <t>57759812-0</t>
  </si>
  <si>
    <t>JOELMA SILVA DE OLIVEIRA MIRANDA</t>
  </si>
  <si>
    <t>ANA BEATRIZ LADEIRA</t>
  </si>
  <si>
    <t>109845007-3</t>
  </si>
  <si>
    <t>DAVI GABRIEL JOSE DA SILVA</t>
  </si>
  <si>
    <t>56.904.569-1</t>
  </si>
  <si>
    <t>DISP. PROLE</t>
  </si>
  <si>
    <t>DISP. TRABALHO</t>
  </si>
  <si>
    <t>DISP.PROLE</t>
  </si>
  <si>
    <t>RETIDO FALTA 6ª EF</t>
  </si>
  <si>
    <t>DANYLLO D'ALESSANDRE NOGUEIRA PEREIRA</t>
  </si>
  <si>
    <t>109997904-3</t>
  </si>
  <si>
    <t>IGOR TURQUIM DE LIMA</t>
  </si>
  <si>
    <t>111511834-1</t>
  </si>
  <si>
    <t>EONICE APARECIDA DOS SANTOS NASCIMENTO</t>
  </si>
  <si>
    <t>21526507-5</t>
  </si>
  <si>
    <t>GABRIEL SILVA DE ANDRADE</t>
  </si>
  <si>
    <t>109.863.224-2</t>
  </si>
  <si>
    <t>66.225865-4</t>
  </si>
  <si>
    <t>BRUNA BARBOSA CEZIMBRA</t>
  </si>
  <si>
    <t>107893746-1</t>
  </si>
  <si>
    <t>64047868-2</t>
  </si>
  <si>
    <t>RETIDO FALTA 8ª EF</t>
  </si>
  <si>
    <t>SAMUEL MENDES LEOCADIO</t>
  </si>
  <si>
    <t>113241718-1</t>
  </si>
  <si>
    <t>54882746-1</t>
  </si>
  <si>
    <t>GABRIELLY SALLES CORREA</t>
  </si>
  <si>
    <t>103066940-5</t>
  </si>
  <si>
    <t>RETIDO FALTA 2ª EM</t>
  </si>
  <si>
    <t>MAURICIO MARIANO DOS SANTOS JUNIOR</t>
  </si>
  <si>
    <t>103053292-8</t>
  </si>
  <si>
    <t>55672123-8</t>
  </si>
  <si>
    <t>MENORES CONCLUINTES 8ª SÉRIE 1ºSEM/2024 - MATRÍCULA CANCELADA:</t>
  </si>
  <si>
    <t>PROMOVIDO P/ 1ª EM</t>
  </si>
  <si>
    <t>JOSE EDUARDO DA SILVA</t>
  </si>
  <si>
    <t>35247676-X</t>
  </si>
  <si>
    <t>VITOR GABRIEL DOS SANTOS</t>
  </si>
  <si>
    <t>WANESSA LUIZA DOMINGUES GAJDO</t>
  </si>
  <si>
    <t>29043550-X</t>
  </si>
  <si>
    <t>103886852-X</t>
  </si>
  <si>
    <t>ELENICE MARIA DO PATROCINIO</t>
  </si>
  <si>
    <t>34153067-0</t>
  </si>
  <si>
    <t>MATHEUS INACIO SOTERIO</t>
  </si>
  <si>
    <t>111426300-X</t>
  </si>
  <si>
    <t>50714963-4</t>
  </si>
  <si>
    <t>FLAVIA APARECIDA DELMONICO</t>
  </si>
  <si>
    <t>27292451-9</t>
  </si>
  <si>
    <t>FABRICIO FRANCA MIRANDA</t>
  </si>
  <si>
    <t>108309624-2</t>
  </si>
  <si>
    <t>68488533-5</t>
  </si>
  <si>
    <t xml:space="preserve">WILLIGTON FRANCISCO DE MELO </t>
  </si>
  <si>
    <t>LUCAS RANIERE LUCIO DA SILVA SANTOS</t>
  </si>
  <si>
    <t>MARIA ZILMAR DOS SANTOS ALVES</t>
  </si>
  <si>
    <t>13887102-4</t>
  </si>
  <si>
    <t>REGINA BARBOSA DE SOUZA BATISTA</t>
  </si>
  <si>
    <t>5891392-0</t>
  </si>
  <si>
    <t>LINDISELMA CUSTODIO DOS SANTOS</t>
  </si>
  <si>
    <t>36026584-4</t>
  </si>
  <si>
    <t>LUIS GUSTAVO COSTA SILVA</t>
  </si>
  <si>
    <t>113268824-3</t>
  </si>
  <si>
    <t>ROSANGELA MARIA ALVES CHAVES AMORIM</t>
  </si>
  <si>
    <t>102452870-4</t>
  </si>
  <si>
    <t>18938179-6</t>
  </si>
  <si>
    <t>MARIA EDUARDA DE JESUS LIMA</t>
  </si>
  <si>
    <t>GUILHERME CARDOSO GOMBIO</t>
  </si>
  <si>
    <t>109839956-0</t>
  </si>
  <si>
    <t>104151881-X</t>
  </si>
  <si>
    <t>110431248-7</t>
  </si>
  <si>
    <t>125159739-7</t>
  </si>
  <si>
    <t>Terça e Quinta-feira 19h00 - 20h00</t>
  </si>
  <si>
    <t>Terça-feira 18h00 - 19h00</t>
  </si>
  <si>
    <t>Quinta-feira 18h00 - 19h00</t>
  </si>
  <si>
    <t>MARGARIDA BERNARDINA DOS SANTOS</t>
  </si>
  <si>
    <t>122047495-2</t>
  </si>
  <si>
    <t>NAISA DO NASCIMENTO SILVA</t>
  </si>
  <si>
    <t>ZUDILVA DOS SANTOS ALVES</t>
  </si>
  <si>
    <t>14124550-5</t>
  </si>
  <si>
    <t>DANILO FERREIRA DA SILVA</t>
  </si>
  <si>
    <t>46758338-9</t>
  </si>
  <si>
    <t>ROSALINA DA SILVA DAMIAO</t>
  </si>
  <si>
    <t>39004655-3</t>
  </si>
  <si>
    <t xml:space="preserve">MARIA LUCIA LEITE DE OLIVEIRA </t>
  </si>
  <si>
    <t>VERA LUCIA BATISTA</t>
  </si>
  <si>
    <t>12637069-2</t>
  </si>
  <si>
    <t>BIANCA SILVA DO ESPIRITO SANTO</t>
  </si>
  <si>
    <t>57665254-4</t>
  </si>
  <si>
    <t>SILVINA ALVES CAMBOIN</t>
  </si>
  <si>
    <t>STEFANI DE MATTOS</t>
  </si>
  <si>
    <t>39262817-X</t>
  </si>
  <si>
    <t>CLAUDEMIR JOSE DE AMORIM</t>
  </si>
  <si>
    <t>IRILENE MARIA DE MELO</t>
  </si>
  <si>
    <t>66914804-0</t>
  </si>
  <si>
    <t>SERGIO EMIDIO DA SILVA</t>
  </si>
  <si>
    <t>NILSON ARMANDO</t>
  </si>
  <si>
    <t>107337297-2</t>
  </si>
  <si>
    <t>54615091-3</t>
  </si>
  <si>
    <t>DIOGO DA SILVA RIBEIRO</t>
  </si>
  <si>
    <t>112997197-1</t>
  </si>
  <si>
    <t>33682285-6</t>
  </si>
  <si>
    <t>JOELMA JESUS DA SILVA</t>
  </si>
  <si>
    <t>ELISANGELA VIANA DOS SANTOS</t>
  </si>
  <si>
    <t>105910197-X</t>
  </si>
  <si>
    <t>GABRIEL SANTANA VEIGA</t>
  </si>
  <si>
    <t>ANDERSON RODRIGUES NASCIMENTO</t>
  </si>
  <si>
    <t>ELIENIRA JOSE JERONIMO</t>
  </si>
  <si>
    <t>52277455-6</t>
  </si>
  <si>
    <t>MARIANA HELENA BATISTA CAMARGO</t>
  </si>
  <si>
    <t>42075510-X</t>
  </si>
  <si>
    <t>MARIA DA SOLEDADE PENHA SILVA</t>
  </si>
  <si>
    <t>EDILSON CASSIANO DA SILVA</t>
  </si>
  <si>
    <t>ELISANGELA DA SILVA SIMOES</t>
  </si>
  <si>
    <t>PIETRO DUARTE RIGAO</t>
  </si>
  <si>
    <t>VALMIR DUTRA</t>
  </si>
  <si>
    <t>SOLANGE PEREIRA DE AMORIM</t>
  </si>
  <si>
    <t>DEBORA CRISTINA GOIS</t>
  </si>
  <si>
    <t>SANDRA REGINA RODRIGUES DOS SANTOS</t>
  </si>
  <si>
    <t>NIVALDO ALVES DA SILVA</t>
  </si>
  <si>
    <t>DAIANE CRISTINA PEREIRA SANTOS</t>
  </si>
  <si>
    <t>DOMENICA CRISTINE DE SOUSA</t>
  </si>
  <si>
    <t>DIEGO RYAN SANTOS DE ALCANTARA</t>
  </si>
  <si>
    <t>111223789-6</t>
  </si>
  <si>
    <t>VANESSA RIBEIRO</t>
  </si>
  <si>
    <t>LUCIELY GUIMARAES RAMYRO</t>
  </si>
  <si>
    <t>114046882-0</t>
  </si>
  <si>
    <t>JOSE MIGUEL DA SILVA FILHO</t>
  </si>
  <si>
    <t>Não</t>
  </si>
  <si>
    <t>Sim</t>
  </si>
  <si>
    <t>PROFESSOR</t>
  </si>
  <si>
    <t>PLANO DE AÇÃO</t>
  </si>
  <si>
    <t>AEE</t>
  </si>
  <si>
    <t>DEFICIENCIA</t>
  </si>
  <si>
    <t>OBS DEFICIENCIA:</t>
  </si>
  <si>
    <t>C. RODAS</t>
  </si>
  <si>
    <t>ADEQUAÇÕES</t>
  </si>
  <si>
    <t>Eliane</t>
  </si>
  <si>
    <t>NEN</t>
  </si>
  <si>
    <t>Dados Gerais dos alunos da U.E. durante o ano letivo 1º Semestre de 2025</t>
  </si>
  <si>
    <t>TIPO TE</t>
  </si>
  <si>
    <t>LOCAL TE</t>
  </si>
  <si>
    <t>NÍVEL ANO</t>
  </si>
  <si>
    <t>ATENDIMENTOS DE SAÚDE</t>
  </si>
  <si>
    <t>2ª série EJA</t>
  </si>
  <si>
    <t>1ª série EJA</t>
  </si>
  <si>
    <t>3ª série EJA</t>
  </si>
  <si>
    <t>4ª série EJA</t>
  </si>
  <si>
    <t>5ª série EJA</t>
  </si>
  <si>
    <t>6ª série EJA</t>
  </si>
  <si>
    <t>7ª série EJA</t>
  </si>
  <si>
    <t>8ª série EJA</t>
  </si>
  <si>
    <t>1º EM EJA</t>
  </si>
  <si>
    <t>2º EM EJA</t>
  </si>
  <si>
    <t>3º EM EJA</t>
  </si>
  <si>
    <t>DI</t>
  </si>
  <si>
    <t>Layde R. Reis Loria</t>
  </si>
  <si>
    <t>24.175.609-1</t>
  </si>
  <si>
    <t>NATHALYA VITORIA OLIVEIRA DE SOUZA</t>
  </si>
  <si>
    <t>38574581-3</t>
  </si>
  <si>
    <t>52136564X</t>
  </si>
  <si>
    <t>29043550X</t>
  </si>
  <si>
    <t>02527331424</t>
  </si>
  <si>
    <t>09730611548</t>
  </si>
  <si>
    <t>03368695843</t>
  </si>
  <si>
    <t>28199621818</t>
  </si>
  <si>
    <t>50406265844</t>
  </si>
  <si>
    <t>06415231731</t>
  </si>
  <si>
    <t>25674549850</t>
  </si>
  <si>
    <t>43914244879</t>
  </si>
  <si>
    <t>59743527850</t>
  </si>
  <si>
    <t>50217635806</t>
  </si>
  <si>
    <t>03366054476</t>
  </si>
  <si>
    <t>32297444893</t>
  </si>
  <si>
    <t>14895893847</t>
  </si>
  <si>
    <t>15912946819</t>
  </si>
  <si>
    <t>KAYKI FELIPY BERNARDO SILVA</t>
  </si>
  <si>
    <t>YZABELLI GONCALO ROCHA DA SILVA</t>
  </si>
  <si>
    <t>36934088-7</t>
  </si>
  <si>
    <t>69889673-7</t>
  </si>
  <si>
    <t>36042775-3</t>
  </si>
  <si>
    <t>54753179-5</t>
  </si>
  <si>
    <t>28852707-0</t>
  </si>
  <si>
    <t>15954125-6</t>
  </si>
  <si>
    <t>41678834-4</t>
  </si>
  <si>
    <t>EDUCAÇÃO DE JOVENS DE ADULTOS - EJA - 2º Sem/2025</t>
  </si>
  <si>
    <t>43841041-5</t>
  </si>
  <si>
    <t>56165597-2</t>
  </si>
  <si>
    <t>60206334-6</t>
  </si>
  <si>
    <t>65654232-9</t>
  </si>
  <si>
    <t>25618282-6</t>
  </si>
  <si>
    <t>23756495-6</t>
  </si>
  <si>
    <t>53352182-8</t>
  </si>
  <si>
    <t>62220892-5</t>
  </si>
  <si>
    <t>68582455-x</t>
  </si>
  <si>
    <t>59628456-1</t>
  </si>
  <si>
    <t>54357189-0</t>
  </si>
  <si>
    <t>67982398-0</t>
  </si>
  <si>
    <t>52584368-1</t>
  </si>
  <si>
    <t>60700670-5</t>
  </si>
  <si>
    <t>32261412-4</t>
  </si>
  <si>
    <t>15352002-4</t>
  </si>
  <si>
    <t>67113602-1</t>
  </si>
  <si>
    <t>68297430-4</t>
  </si>
  <si>
    <t>32400449-7</t>
  </si>
  <si>
    <t>52645234-1</t>
  </si>
  <si>
    <t>30289798-7</t>
  </si>
  <si>
    <t>24412555-7</t>
  </si>
  <si>
    <t>27203261-X</t>
  </si>
  <si>
    <t>Sem Informação</t>
  </si>
  <si>
    <t>Solicitação do Aluno/Responsável</t>
  </si>
  <si>
    <t>RAFAEL ALVARES MARTINS</t>
  </si>
  <si>
    <t>SARAH BEATRIZ COSTA SOUSA</t>
  </si>
  <si>
    <t>63269396-4</t>
  </si>
  <si>
    <t>02162656655</t>
  </si>
  <si>
    <t>LUIZ CARLOS GOUVEA DOS SANTOS SILVA</t>
  </si>
  <si>
    <t>110803889X</t>
  </si>
  <si>
    <t>59356996-9</t>
  </si>
  <si>
    <t>MARCELO LUIS GUIMARAES BARBOSA</t>
  </si>
  <si>
    <t>32352901-1</t>
  </si>
  <si>
    <t>NATALIA APARECIDA LOPEZ SIMPLINI</t>
  </si>
  <si>
    <t>45582017-X</t>
  </si>
  <si>
    <t>06557326678</t>
  </si>
  <si>
    <t>LUCILIA VICENTE</t>
  </si>
  <si>
    <t>18062032-0</t>
  </si>
  <si>
    <t>08325474840</t>
  </si>
  <si>
    <t>ANDREI LLOBREGAT MANES</t>
  </si>
  <si>
    <t>62682461-8</t>
  </si>
  <si>
    <t>NADIR ESPINDOLA DA SILVA</t>
  </si>
  <si>
    <t>8400889-1</t>
  </si>
  <si>
    <t>03181205850</t>
  </si>
  <si>
    <t>JOSE VALDIR DE GODOY</t>
  </si>
  <si>
    <t>10381847-9</t>
  </si>
  <si>
    <t>CAROLINA DE LIMA</t>
  </si>
  <si>
    <t>LEONARDO DA ROCHA FREIRE</t>
  </si>
  <si>
    <t>LARISSA DE OLIVEIRA MORAES</t>
  </si>
  <si>
    <t>59368267-1</t>
  </si>
  <si>
    <t>VANDERLI MARIA SILVA MARQUES</t>
  </si>
  <si>
    <t>33072703-5</t>
  </si>
  <si>
    <t>CRISTIANE OLIVEIRA SILVA GUALBERTO</t>
  </si>
  <si>
    <t>38946716-9</t>
  </si>
  <si>
    <t>ERICA TAINA ARAUJO DOS SANTOS</t>
  </si>
  <si>
    <t>112021466X</t>
  </si>
  <si>
    <t>ROSANGELA BORGES DE ABREU</t>
  </si>
  <si>
    <t>ERICK YURI DAS NEVES ARAUJO</t>
  </si>
  <si>
    <t>ELAINE FRANCISCO DE QUEIROZ</t>
  </si>
  <si>
    <t>DAMARIS ELIZABETH</t>
  </si>
  <si>
    <t>EVILYN DE AGRELA BEGUETTO</t>
  </si>
  <si>
    <t>DANIELLY SANTOS SANCHES</t>
  </si>
  <si>
    <t>JOAO VICTOR SANTOS DE FREITAS</t>
  </si>
  <si>
    <t>YASMIN CRISTINA DOS SANTOS</t>
  </si>
  <si>
    <t>LENI RODRIGUES DIAS</t>
  </si>
  <si>
    <t>RITA DOS SANTOS CORREIA</t>
  </si>
  <si>
    <t>32468373-X</t>
  </si>
  <si>
    <t>ISABELY CUSTODIO</t>
  </si>
  <si>
    <t>SAMARA VITORIA FERREIRA SANTANA</t>
  </si>
  <si>
    <t>69004191-3</t>
  </si>
  <si>
    <t>MARIA DE LOURDES CAVALCANTI CERQUEIRA LEITE</t>
  </si>
  <si>
    <t>JULIANA LIMA DA SILVA</t>
  </si>
  <si>
    <t>48861814-9</t>
  </si>
  <si>
    <t>ALINE FERNANDA FONTES PINHEIRO</t>
  </si>
  <si>
    <t>GUILHERME COSMO DA COSTA FERREIRA</t>
  </si>
  <si>
    <t>FERNANDA APARECIDA CARDOSO</t>
  </si>
  <si>
    <t>24733713-4</t>
  </si>
  <si>
    <t>JOSÉ LUCAS FERNANDES DE LIMA ALMEIDA</t>
  </si>
  <si>
    <t>DOMENICA SANTOS DA SILVA TOZZI</t>
  </si>
  <si>
    <t>MARIA LUIZA DA SILVA DE OLIVEIRA</t>
  </si>
  <si>
    <t>59.066.916-3</t>
  </si>
  <si>
    <t>EDUARDO PEREIRA DA SILVA</t>
  </si>
  <si>
    <t>ELIANE IRENE DA SILVA SANTOS</t>
  </si>
  <si>
    <t>LUIS PAULO APARECIDO ALVES SOUZA</t>
  </si>
  <si>
    <t>DANIELA PEREIRA RODRIGUES</t>
  </si>
  <si>
    <t>MONIQUE RAMOS BELIZARIO</t>
  </si>
  <si>
    <t>DAILTON ALVES SANTANA</t>
  </si>
  <si>
    <t>CLAYTON VINICIUS VIANA COSTA DOS SANTOS</t>
  </si>
  <si>
    <t>MYKAELLY CRISTINA CARVALHO CAMPOS</t>
  </si>
  <si>
    <t>113758780-5</t>
  </si>
  <si>
    <t>JOÃO VITHOR ANDRADE BARBOSA</t>
  </si>
  <si>
    <t>MATHEUS LUIZ BARRA SOL RODRIGUES</t>
  </si>
  <si>
    <t>MC - 14/07</t>
  </si>
  <si>
    <t>JOAO VICTOR CORREIA CALDAS</t>
  </si>
  <si>
    <t>Rede Estadual</t>
  </si>
  <si>
    <t>MAX DADA GALLIZZI</t>
  </si>
  <si>
    <t>MC 30/07/2025</t>
  </si>
  <si>
    <t>TR - 28/07</t>
  </si>
  <si>
    <t>MC - 04/08</t>
  </si>
  <si>
    <t>MC - 05/08</t>
  </si>
  <si>
    <t>44769369-4</t>
  </si>
  <si>
    <t>SEMESTRE</t>
  </si>
  <si>
    <t>2º SEMESTRE</t>
  </si>
  <si>
    <t>KAMILLY VICTORIA MALTEZ DE OLIVEIRA</t>
  </si>
  <si>
    <t>112506900-X</t>
  </si>
  <si>
    <t>63746298-1</t>
  </si>
  <si>
    <t>TR 13/08</t>
  </si>
  <si>
    <t>THALLYS GUERRERO PETINELLI</t>
  </si>
  <si>
    <t>112735174-6</t>
  </si>
  <si>
    <t xml:space="preserve">CLAUDIO HENRIQUE DA SILVA SANTOS </t>
  </si>
  <si>
    <t>103667569-5</t>
  </si>
  <si>
    <t>62409579-4</t>
  </si>
  <si>
    <t>TR 19/08</t>
  </si>
  <si>
    <t>CARLOS GUILHERME LEITE OLIVEIRA</t>
  </si>
  <si>
    <t>JOSE VITOR RAMOS SALVINO</t>
  </si>
  <si>
    <t>105199593-0</t>
  </si>
  <si>
    <t>MARCELLO VICTOR SOUSA LOIOLA</t>
  </si>
  <si>
    <t>108278940-9</t>
  </si>
  <si>
    <t>SOFIA SANTOS SOUSA</t>
  </si>
  <si>
    <t>11199634-9</t>
  </si>
  <si>
    <t>LUIZ FERNANDO DOS SANTOS MARTINS</t>
  </si>
  <si>
    <t>107286327-3</t>
  </si>
  <si>
    <t>64265077-9</t>
  </si>
  <si>
    <t>555644358-00</t>
  </si>
  <si>
    <t>TANIA NAJARA FERREIRA MATOS</t>
  </si>
  <si>
    <t>49367259-X</t>
  </si>
  <si>
    <t>LUANA MENEZES SANTOS COSTA</t>
  </si>
  <si>
    <t>110862594-0</t>
  </si>
  <si>
    <t>MARIA VALDENICE MAJOR SOUZA</t>
  </si>
  <si>
    <t>28346876-2</t>
  </si>
  <si>
    <t xml:space="preserve">KAUAN CAMARA MONTEIRO
</t>
  </si>
  <si>
    <t xml:space="preserve">TALITA DA SILVA CAMARA DOS SANTOS </t>
  </si>
  <si>
    <t>LIVIA NOVAIS DA ROCHA</t>
  </si>
  <si>
    <t>MC 19/08</t>
  </si>
  <si>
    <t>LIVIA SANTOS MIGUEL</t>
  </si>
  <si>
    <t>112334811X</t>
  </si>
  <si>
    <t>BRENO VINICIUS OLIVEIRA DA SILVA</t>
  </si>
  <si>
    <t>VITORYA APARECIDA ALVES VIANA</t>
  </si>
  <si>
    <t>108796793-4</t>
  </si>
  <si>
    <t>65208639-1</t>
  </si>
  <si>
    <t>TR 20/08</t>
  </si>
  <si>
    <t>GUSTAVO ENRIQUE DA COSTA</t>
  </si>
  <si>
    <t>55102515-3</t>
  </si>
  <si>
    <t>CRISTINE ARANTES DE SOUZA</t>
  </si>
  <si>
    <t>109334167-1</t>
  </si>
  <si>
    <t>62909008-7</t>
  </si>
  <si>
    <t>520849618-66</t>
  </si>
  <si>
    <t>THAIS AUGUSTA DA CRUZ BOTELHO</t>
  </si>
  <si>
    <t>JOAO VICTOR SILVA COSTA</t>
  </si>
  <si>
    <t>108770764-X</t>
  </si>
  <si>
    <t>EVERTON RAMOS SILVA</t>
  </si>
  <si>
    <t>111382499-2</t>
  </si>
  <si>
    <t>MC - 20/08</t>
  </si>
  <si>
    <t>ALEX RAFAEL DE OLIVEIRA DA SILVA</t>
  </si>
  <si>
    <t>110249581-5</t>
  </si>
  <si>
    <t>STEVIE SIGAL GONÇALVES MONTEIRO</t>
  </si>
  <si>
    <t>41298342-4</t>
  </si>
  <si>
    <t>TR 21/08</t>
  </si>
  <si>
    <t>LUIZ GUSTAVO SIMON PERICLES</t>
  </si>
  <si>
    <t>111303376-9</t>
  </si>
  <si>
    <t>67007002-6</t>
  </si>
  <si>
    <t>569084428-45</t>
  </si>
  <si>
    <t>YASMIN MOTTA FRANÇA DOS SANTOS</t>
  </si>
  <si>
    <t>111376307-3</t>
  </si>
  <si>
    <t>JOSE DILTON SOUZA</t>
  </si>
  <si>
    <t>59.670.935-3</t>
  </si>
  <si>
    <t>990061975-72</t>
  </si>
  <si>
    <t>WASHINGTON ALVES MARQUES</t>
  </si>
  <si>
    <t>49806518-2</t>
  </si>
  <si>
    <t>488481048-19</t>
  </si>
  <si>
    <t>FELIPE ZAMPIERI LACERDA SOUZA</t>
  </si>
  <si>
    <t>110956601-3</t>
  </si>
  <si>
    <t>62248131-9</t>
  </si>
  <si>
    <t>527824818-19</t>
  </si>
  <si>
    <t>NADIA REGINA MOTTA</t>
  </si>
  <si>
    <t>115907094-5</t>
  </si>
  <si>
    <t>257081708-24</t>
  </si>
  <si>
    <t>TR 22/08</t>
  </si>
  <si>
    <t>LUANA GAVIAO FORTI</t>
  </si>
  <si>
    <t xml:space="preserve">40491035-X </t>
  </si>
  <si>
    <t>RYQUELMI LUIS SERRANO JOSE</t>
  </si>
  <si>
    <t>110941503-5</t>
  </si>
  <si>
    <t>RAFAELA VITORIA GUIMARAES DOS SANTOS</t>
  </si>
  <si>
    <t xml:space="preserve">MA </t>
  </si>
  <si>
    <t>110694991-2</t>
  </si>
  <si>
    <t>KAIKE HENRIQUE LIMA DE CARVALHO</t>
  </si>
  <si>
    <t>111325525-0</t>
  </si>
  <si>
    <t>GEOVANNA FARIA SILVA</t>
  </si>
  <si>
    <t>110296772-5</t>
  </si>
  <si>
    <t>57547302-2</t>
  </si>
  <si>
    <t>EDSON GONSALVES PEREIRA</t>
  </si>
  <si>
    <t>20134080-X</t>
  </si>
  <si>
    <t>TR 22/08/2025</t>
  </si>
  <si>
    <t>GUILHERME OLIVEIRA SILVA</t>
  </si>
  <si>
    <t>108599848-4</t>
  </si>
  <si>
    <t>59883597-0</t>
  </si>
  <si>
    <t>MARIA CLEUSA DOS SANTOS</t>
  </si>
  <si>
    <t>25427262-9</t>
  </si>
  <si>
    <t>LUZINETE APARECIDA DA CONCEIÇÃO OLIVEIRA</t>
  </si>
  <si>
    <t>57122269-9</t>
  </si>
  <si>
    <t>511957715-68</t>
  </si>
  <si>
    <t>PEDRO MIGUEL DE LIMA RODRIGUES DOS SANTOS</t>
  </si>
  <si>
    <r>
      <rPr>
        <b/>
        <sz val="12"/>
        <color rgb="FF00B050"/>
        <rFont val="Calibri"/>
        <family val="2"/>
        <scheme val="minor"/>
      </rPr>
      <t xml:space="preserve"> INCLUSÃO</t>
    </r>
    <r>
      <rPr>
        <b/>
        <sz val="12"/>
        <color rgb="FF0000FF"/>
        <rFont val="Calibri"/>
        <family val="2"/>
        <scheme val="minor"/>
      </rPr>
      <t xml:space="preserve"> TR 21/08</t>
    </r>
  </si>
  <si>
    <t>MC por Solicitação do Responsavel</t>
  </si>
  <si>
    <t>WHENRY DA SILVA CHAGAS</t>
  </si>
  <si>
    <t>109366012-0</t>
  </si>
  <si>
    <t>53095655-X</t>
  </si>
  <si>
    <t>TR 28/08</t>
  </si>
  <si>
    <t>MARIA EDUARDA SANTOS MACHADO</t>
  </si>
  <si>
    <t>112867462-2</t>
  </si>
  <si>
    <t>TR 01/09</t>
  </si>
  <si>
    <t>513719268-67</t>
  </si>
  <si>
    <t>RYAN EDUARDO FERREIRA SILVA</t>
  </si>
  <si>
    <t>110877963-3</t>
  </si>
  <si>
    <t>TR 09/09</t>
  </si>
  <si>
    <t>NCOM 08/09 TR 25/08</t>
  </si>
  <si>
    <t>MC 18/09</t>
  </si>
  <si>
    <t>DISP. FILHOS</t>
  </si>
  <si>
    <t>INCLUSAO TR 22/08</t>
  </si>
  <si>
    <t>INCLUSAO TR 20/08</t>
  </si>
  <si>
    <t>MC - 30/09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</si>
</sst>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.00_);_(* \(#,##0.00\);_(* &quot;-&quot;??_);_(@_)"/>
  </numFmts>
  <fonts count="9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sz val="12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u/>
      <sz val="18"/>
      <color rgb="FFFF0000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rgb="FFFF0000"/>
      <name val="Calibri"/>
      <family val="2"/>
      <scheme val="minor"/>
    </font>
    <font>
      <b/>
      <sz val="10"/>
      <color rgb="FF006600"/>
      <name val="Times New Roman"/>
      <family val="1"/>
    </font>
    <font>
      <b/>
      <sz val="11"/>
      <color rgb="FFFF0000"/>
      <name val="Times New Roman"/>
      <family val="1"/>
    </font>
    <font>
      <b/>
      <sz val="12"/>
      <color rgb="FF006600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indexed="9"/>
      <name val="Arial"/>
      <family val="2"/>
    </font>
    <font>
      <sz val="10"/>
      <color indexed="9"/>
      <name val="Calibri"/>
      <family val="2"/>
    </font>
    <font>
      <sz val="10"/>
      <color indexed="10"/>
      <name val="Arial"/>
      <family val="2"/>
    </font>
    <font>
      <b/>
      <i/>
      <sz val="24"/>
      <color indexed="9"/>
      <name val="Calibri"/>
      <family val="2"/>
      <scheme val="minor"/>
    </font>
    <font>
      <b/>
      <sz val="16"/>
      <name val="Calibri"/>
      <family val="2"/>
    </font>
    <font>
      <b/>
      <sz val="10"/>
      <name val="Arial"/>
      <family val="2"/>
    </font>
    <font>
      <b/>
      <sz val="8"/>
      <name val="Arial"/>
      <family val="2"/>
    </font>
    <font>
      <b/>
      <i/>
      <sz val="12"/>
      <name val="Times New Roman"/>
      <family val="1"/>
    </font>
    <font>
      <b/>
      <sz val="10"/>
      <color theme="1"/>
      <name val="Arial"/>
      <family val="2"/>
    </font>
    <font>
      <b/>
      <sz val="18"/>
      <color indexed="8"/>
      <name val="Calibri"/>
      <family val="2"/>
    </font>
    <font>
      <sz val="18"/>
      <color indexed="8"/>
      <name val="Calibri"/>
      <family val="2"/>
    </font>
    <font>
      <sz val="18"/>
      <color indexed="10"/>
      <name val="Calibri"/>
      <family val="2"/>
    </font>
    <font>
      <sz val="20"/>
      <color indexed="10"/>
      <name val="Calibri"/>
      <family val="2"/>
    </font>
    <font>
      <sz val="28"/>
      <color indexed="8"/>
      <name val="Calibri"/>
      <family val="2"/>
    </font>
    <font>
      <sz val="10"/>
      <name val="Calibri"/>
      <family val="2"/>
    </font>
    <font>
      <b/>
      <sz val="13"/>
      <color theme="3"/>
      <name val="Calibri"/>
      <family val="2"/>
      <scheme val="minor"/>
    </font>
    <font>
      <sz val="13"/>
      <name val="Calibri"/>
      <family val="2"/>
      <scheme val="minor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0000FF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3"/>
      <color rgb="FF006600"/>
      <name val="Calibri"/>
      <family val="2"/>
      <scheme val="minor"/>
    </font>
    <font>
      <sz val="13"/>
      <name val="Arial"/>
      <family val="2"/>
    </font>
    <font>
      <b/>
      <sz val="13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3"/>
      <color theme="1"/>
      <name val="Times New Roman"/>
      <family val="1"/>
    </font>
    <font>
      <b/>
      <sz val="13"/>
      <color rgb="FF339933"/>
      <name val="Calibri"/>
      <family val="2"/>
      <scheme val="minor"/>
    </font>
    <font>
      <b/>
      <sz val="9"/>
      <color rgb="FF0000FF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indexed="10"/>
      <name val="Calibri"/>
      <family val="2"/>
      <scheme val="minor"/>
    </font>
    <font>
      <sz val="10"/>
      <color indexed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12"/>
      <color indexed="10"/>
      <name val="Calibri"/>
      <family val="2"/>
      <scheme val="minor"/>
    </font>
    <font>
      <b/>
      <sz val="12"/>
      <color rgb="FF33CC3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indexed="22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  <scheme val="minor"/>
    </font>
    <font>
      <b/>
      <sz val="13"/>
      <color indexed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sz val="12"/>
      <color rgb="FF339933"/>
      <name val="Calibri"/>
      <family val="2"/>
      <scheme val="minor"/>
    </font>
    <font>
      <b/>
      <sz val="12"/>
      <color rgb="FF339933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423">
    <xf numFmtId="0" fontId="0" fillId="0" borderId="0"/>
    <xf numFmtId="0" fontId="1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6" fillId="0" borderId="0"/>
    <xf numFmtId="0" fontId="15" fillId="0" borderId="0"/>
    <xf numFmtId="0" fontId="77" fillId="0" borderId="0"/>
    <xf numFmtId="0" fontId="78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88">
    <xf numFmtId="0" fontId="0" fillId="0" borderId="0" xfId="0"/>
    <xf numFmtId="0" fontId="1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0" xfId="0" applyFont="1" applyBorder="1" applyAlignment="1">
      <alignment horizontal="left" vertical="center" shrinkToFit="1"/>
    </xf>
    <xf numFmtId="0" fontId="7" fillId="0" borderId="0" xfId="0" applyFont="1" applyBorder="1" applyAlignment="1">
      <alignment horizontal="left" vertical="center" shrinkToFit="1"/>
    </xf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shrinkToFit="1"/>
    </xf>
    <xf numFmtId="0" fontId="13" fillId="0" borderId="0" xfId="0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12" fillId="0" borderId="4" xfId="0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14" fontId="4" fillId="0" borderId="0" xfId="0" applyNumberFormat="1" applyFont="1" applyAlignment="1">
      <alignment vertical="center"/>
    </xf>
    <xf numFmtId="14" fontId="13" fillId="0" borderId="0" xfId="0" applyNumberFormat="1" applyFont="1" applyAlignment="1">
      <alignment horizontal="center" vertical="center"/>
    </xf>
    <xf numFmtId="0" fontId="20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shrinkToFit="1"/>
    </xf>
    <xf numFmtId="0" fontId="18" fillId="0" borderId="4" xfId="0" applyFont="1" applyBorder="1" applyAlignment="1">
      <alignment horizontal="center"/>
    </xf>
    <xf numFmtId="14" fontId="18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shrinkToFit="1"/>
    </xf>
    <xf numFmtId="0" fontId="25" fillId="0" borderId="4" xfId="0" applyFont="1" applyBorder="1" applyAlignment="1">
      <alignment shrinkToFit="1"/>
    </xf>
    <xf numFmtId="0" fontId="25" fillId="0" borderId="4" xfId="0" applyFont="1" applyBorder="1" applyAlignment="1">
      <alignment horizontal="center"/>
    </xf>
    <xf numFmtId="14" fontId="25" fillId="0" borderId="4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/>
    </xf>
    <xf numFmtId="3" fontId="25" fillId="0" borderId="4" xfId="0" applyNumberFormat="1" applyFont="1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0" fillId="2" borderId="3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0" borderId="0" xfId="0" applyFont="1" applyBorder="1" applyAlignment="1">
      <alignment horizontal="center" shrinkToFit="1"/>
    </xf>
    <xf numFmtId="0" fontId="0" fillId="0" borderId="0" xfId="0" applyBorder="1" applyAlignment="1">
      <alignment horizontal="center" shrinkToFit="1"/>
    </xf>
    <xf numFmtId="0" fontId="3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0" fillId="0" borderId="0" xfId="0" applyAlignment="1">
      <alignment horizontal="center" shrinkToFit="1"/>
    </xf>
    <xf numFmtId="0" fontId="0" fillId="6" borderId="3" xfId="0" applyFill="1" applyBorder="1" applyAlignment="1">
      <alignment horizontal="center" vertical="center"/>
    </xf>
    <xf numFmtId="0" fontId="24" fillId="0" borderId="4" xfId="0" applyFont="1" applyBorder="1" applyAlignment="1">
      <alignment shrinkToFit="1"/>
    </xf>
    <xf numFmtId="0" fontId="0" fillId="0" borderId="4" xfId="0" applyBorder="1" applyAlignment="1">
      <alignment horizontal="center" shrinkToFit="1"/>
    </xf>
    <xf numFmtId="0" fontId="20" fillId="0" borderId="4" xfId="0" applyFont="1" applyBorder="1" applyAlignment="1">
      <alignment shrinkToFit="1"/>
    </xf>
    <xf numFmtId="0" fontId="20" fillId="0" borderId="4" xfId="0" applyFont="1" applyBorder="1" applyAlignment="1">
      <alignment horizontal="center"/>
    </xf>
    <xf numFmtId="14" fontId="20" fillId="0" borderId="4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20" fillId="0" borderId="0" xfId="0" applyFont="1" applyBorder="1" applyAlignment="1">
      <alignment horizontal="center"/>
    </xf>
    <xf numFmtId="0" fontId="12" fillId="0" borderId="4" xfId="0" applyFont="1" applyBorder="1" applyAlignment="1">
      <alignment horizontal="center" shrinkToFit="1"/>
    </xf>
    <xf numFmtId="0" fontId="0" fillId="0" borderId="4" xfId="0" applyFont="1" applyBorder="1" applyAlignment="1">
      <alignment horizontal="center" shrinkToFit="1"/>
    </xf>
    <xf numFmtId="0" fontId="20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shrinkToFit="1"/>
    </xf>
    <xf numFmtId="0" fontId="20" fillId="0" borderId="0" xfId="0" applyFont="1" applyBorder="1" applyAlignment="1">
      <alignment shrinkToFit="1"/>
    </xf>
    <xf numFmtId="0" fontId="26" fillId="0" borderId="0" xfId="0" applyFont="1" applyBorder="1" applyAlignment="1">
      <alignment shrinkToFit="1"/>
    </xf>
    <xf numFmtId="0" fontId="25" fillId="0" borderId="0" xfId="0" applyFont="1" applyBorder="1" applyAlignment="1">
      <alignment horizontal="center"/>
    </xf>
    <xf numFmtId="0" fontId="26" fillId="0" borderId="0" xfId="0" applyFont="1" applyBorder="1" applyAlignment="1">
      <alignment horizontal="center"/>
    </xf>
    <xf numFmtId="14" fontId="25" fillId="0" borderId="0" xfId="0" applyNumberFormat="1" applyFont="1" applyBorder="1" applyAlignment="1">
      <alignment horizontal="center" vertical="center"/>
    </xf>
    <xf numFmtId="14" fontId="20" fillId="0" borderId="0" xfId="0" applyNumberFormat="1" applyFont="1" applyBorder="1" applyAlignment="1">
      <alignment horizontal="center" vertical="center"/>
    </xf>
    <xf numFmtId="14" fontId="26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 shrinkToFit="1"/>
    </xf>
    <xf numFmtId="0" fontId="20" fillId="0" borderId="0" xfId="0" applyFont="1" applyBorder="1" applyAlignment="1">
      <alignment horizontal="center" vertical="center" shrinkToFit="1"/>
    </xf>
    <xf numFmtId="0" fontId="26" fillId="0" borderId="0" xfId="0" applyFont="1" applyBorder="1" applyAlignment="1">
      <alignment horizontal="center" vertical="center" shrinkToFit="1"/>
    </xf>
    <xf numFmtId="0" fontId="18" fillId="0" borderId="4" xfId="0" applyFont="1" applyBorder="1" applyAlignment="1">
      <alignment vertical="center" shrinkToFit="1"/>
    </xf>
    <xf numFmtId="0" fontId="0" fillId="0" borderId="4" xfId="0" applyFont="1" applyBorder="1"/>
    <xf numFmtId="0" fontId="27" fillId="0" borderId="4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 vertical="center" shrinkToFit="1"/>
    </xf>
    <xf numFmtId="0" fontId="28" fillId="0" borderId="4" xfId="0" applyFont="1" applyBorder="1" applyAlignment="1">
      <alignment shrinkToFit="1"/>
    </xf>
    <xf numFmtId="0" fontId="28" fillId="0" borderId="4" xfId="0" applyFont="1" applyBorder="1" applyAlignment="1">
      <alignment horizontal="center"/>
    </xf>
    <xf numFmtId="14" fontId="28" fillId="0" borderId="4" xfId="0" applyNumberFormat="1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 shrinkToFit="1"/>
    </xf>
    <xf numFmtId="0" fontId="11" fillId="6" borderId="3" xfId="0" applyFont="1" applyFill="1" applyBorder="1" applyAlignment="1">
      <alignment horizontal="center" vertical="center" shrinkToFit="1"/>
    </xf>
    <xf numFmtId="0" fontId="8" fillId="0" borderId="2" xfId="0" applyFont="1" applyBorder="1" applyAlignment="1"/>
    <xf numFmtId="0" fontId="31" fillId="0" borderId="6" xfId="0" applyFont="1" applyBorder="1" applyAlignment="1">
      <alignment horizontal="right"/>
    </xf>
    <xf numFmtId="14" fontId="30" fillId="0" borderId="7" xfId="0" applyNumberFormat="1" applyFont="1" applyBorder="1" applyAlignment="1">
      <alignment horizontal="left"/>
    </xf>
    <xf numFmtId="0" fontId="8" fillId="0" borderId="0" xfId="0" applyFont="1" applyBorder="1" applyAlignment="1"/>
    <xf numFmtId="0" fontId="0" fillId="5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20" fillId="7" borderId="4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shrinkToFit="1"/>
    </xf>
    <xf numFmtId="0" fontId="21" fillId="7" borderId="4" xfId="0" applyFont="1" applyFill="1" applyBorder="1" applyAlignment="1">
      <alignment horizontal="center"/>
    </xf>
    <xf numFmtId="14" fontId="21" fillId="7" borderId="4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 shrinkToFit="1"/>
    </xf>
    <xf numFmtId="0" fontId="0" fillId="7" borderId="4" xfId="0" applyFont="1" applyFill="1" applyBorder="1" applyAlignment="1">
      <alignment horizontal="center" vertical="center" shrinkToFit="1"/>
    </xf>
    <xf numFmtId="0" fontId="0" fillId="7" borderId="0" xfId="0" applyFill="1"/>
    <xf numFmtId="0" fontId="24" fillId="0" borderId="4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shrinkToFit="1"/>
    </xf>
    <xf numFmtId="0" fontId="24" fillId="0" borderId="0" xfId="0" applyFont="1" applyBorder="1" applyAlignment="1">
      <alignment horizontal="center" shrinkToFit="1"/>
    </xf>
    <xf numFmtId="0" fontId="20" fillId="0" borderId="0" xfId="0" applyFont="1" applyBorder="1" applyAlignment="1">
      <alignment horizontal="center" shrinkToFit="1"/>
    </xf>
    <xf numFmtId="0" fontId="26" fillId="0" borderId="0" xfId="0" applyFont="1" applyBorder="1" applyAlignment="1">
      <alignment horizontal="center" shrinkToFit="1"/>
    </xf>
    <xf numFmtId="0" fontId="4" fillId="0" borderId="4" xfId="0" applyFont="1" applyBorder="1" applyAlignment="1">
      <alignment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shrinkToFit="1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shrinkToFit="1"/>
    </xf>
    <xf numFmtId="0" fontId="24" fillId="0" borderId="4" xfId="0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shrinkToFit="1"/>
    </xf>
    <xf numFmtId="0" fontId="25" fillId="0" borderId="4" xfId="0" applyFont="1" applyFill="1" applyBorder="1" applyAlignment="1">
      <alignment horizontal="center"/>
    </xf>
    <xf numFmtId="14" fontId="25" fillId="0" borderId="4" xfId="0" applyNumberFormat="1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horizontal="center" vertical="center"/>
    </xf>
    <xf numFmtId="3" fontId="25" fillId="0" borderId="4" xfId="0" applyNumberFormat="1" applyFont="1" applyFill="1" applyBorder="1" applyAlignment="1">
      <alignment horizontal="center" vertical="center" shrinkToFit="1"/>
    </xf>
    <xf numFmtId="0" fontId="18" fillId="0" borderId="4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right" vertical="center"/>
    </xf>
    <xf numFmtId="0" fontId="34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shrinkToFit="1"/>
    </xf>
    <xf numFmtId="0" fontId="8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14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shrinkToFit="1"/>
    </xf>
    <xf numFmtId="0" fontId="8" fillId="0" borderId="14" xfId="0" applyFont="1" applyBorder="1" applyAlignment="1">
      <alignment horizontal="center" shrinkToFit="1"/>
    </xf>
    <xf numFmtId="0" fontId="8" fillId="0" borderId="13" xfId="0" applyFont="1" applyBorder="1" applyAlignment="1">
      <alignment horizontal="center" vertical="center" shrinkToFit="1"/>
    </xf>
    <xf numFmtId="0" fontId="8" fillId="0" borderId="10" xfId="0" applyFont="1" applyBorder="1" applyAlignment="1">
      <alignment horizontal="center" shrinkToFit="1"/>
    </xf>
    <xf numFmtId="0" fontId="17" fillId="0" borderId="4" xfId="0" applyFont="1" applyBorder="1" applyAlignment="1">
      <alignment horizontal="center"/>
    </xf>
    <xf numFmtId="0" fontId="8" fillId="0" borderId="13" xfId="0" applyFont="1" applyBorder="1" applyAlignment="1">
      <alignment horizontal="center" shrinkToFit="1"/>
    </xf>
    <xf numFmtId="0" fontId="24" fillId="0" borderId="4" xfId="0" applyFont="1" applyFill="1" applyBorder="1" applyAlignment="1">
      <alignment shrinkToFit="1"/>
    </xf>
    <xf numFmtId="0" fontId="24" fillId="0" borderId="4" xfId="0" applyFont="1" applyBorder="1" applyAlignment="1">
      <alignment horizontal="left" shrinkToFit="1"/>
    </xf>
    <xf numFmtId="0" fontId="8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" fontId="0" fillId="0" borderId="4" xfId="0" applyNumberFormat="1" applyFont="1" applyBorder="1" applyAlignment="1">
      <alignment horizontal="center" shrinkToFit="1"/>
    </xf>
    <xf numFmtId="0" fontId="18" fillId="7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left" shrinkToFit="1"/>
    </xf>
    <xf numFmtId="0" fontId="27" fillId="7" borderId="4" xfId="0" applyFont="1" applyFill="1" applyBorder="1" applyAlignment="1">
      <alignment horizontal="center" vertical="center" shrinkToFit="1"/>
    </xf>
    <xf numFmtId="1" fontId="0" fillId="7" borderId="4" xfId="0" applyNumberFormat="1" applyFont="1" applyFill="1" applyBorder="1" applyAlignment="1">
      <alignment horizontal="center" shrinkToFit="1"/>
    </xf>
    <xf numFmtId="0" fontId="0" fillId="7" borderId="4" xfId="0" applyFont="1" applyFill="1" applyBorder="1" applyAlignment="1">
      <alignment horizontal="center" shrinkToFit="1"/>
    </xf>
    <xf numFmtId="0" fontId="0" fillId="7" borderId="4" xfId="0" applyFill="1" applyBorder="1"/>
    <xf numFmtId="1" fontId="0" fillId="0" borderId="4" xfId="0" applyNumberFormat="1" applyFont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1" fontId="12" fillId="0" borderId="4" xfId="0" applyNumberFormat="1" applyFont="1" applyBorder="1" applyAlignment="1">
      <alignment horizontal="center" shrinkToFit="1"/>
    </xf>
    <xf numFmtId="0" fontId="9" fillId="0" borderId="4" xfId="0" applyFont="1" applyBorder="1" applyAlignment="1">
      <alignment shrinkToFit="1"/>
    </xf>
    <xf numFmtId="3" fontId="19" fillId="8" borderId="4" xfId="0" applyNumberFormat="1" applyFont="1" applyFill="1" applyBorder="1" applyAlignment="1">
      <alignment horizontal="center" vertical="center" shrinkToFit="1"/>
    </xf>
    <xf numFmtId="0" fontId="0" fillId="0" borderId="0" xfId="0" applyBorder="1" applyAlignment="1">
      <alignment horizontal="left"/>
    </xf>
    <xf numFmtId="0" fontId="4" fillId="0" borderId="0" xfId="0" applyFont="1" applyBorder="1" applyAlignment="1">
      <alignment vertical="center"/>
    </xf>
    <xf numFmtId="0" fontId="35" fillId="0" borderId="4" xfId="0" applyFont="1" applyBorder="1" applyAlignment="1">
      <alignment horizontal="center"/>
    </xf>
    <xf numFmtId="0" fontId="36" fillId="0" borderId="0" xfId="0" applyFont="1" applyBorder="1" applyAlignment="1">
      <alignment horizontal="center" vertical="center" shrinkToFit="1"/>
    </xf>
    <xf numFmtId="0" fontId="35" fillId="0" borderId="0" xfId="0" applyFont="1" applyBorder="1" applyAlignment="1">
      <alignment horizontal="center"/>
    </xf>
    <xf numFmtId="1" fontId="29" fillId="0" borderId="4" xfId="0" applyNumberFormat="1" applyFont="1" applyBorder="1" applyAlignment="1">
      <alignment horizontal="center" shrinkToFit="1"/>
    </xf>
    <xf numFmtId="0" fontId="24" fillId="0" borderId="4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/>
    </xf>
    <xf numFmtId="14" fontId="25" fillId="0" borderId="4" xfId="0" applyNumberFormat="1" applyFont="1" applyBorder="1" applyAlignment="1">
      <alignment horizontal="center" vertical="center"/>
    </xf>
    <xf numFmtId="0" fontId="25" fillId="0" borderId="4" xfId="0" applyFont="1" applyFill="1" applyBorder="1" applyAlignment="1">
      <alignment horizontal="center"/>
    </xf>
    <xf numFmtId="14" fontId="25" fillId="0" borderId="4" xfId="0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4" xfId="0" applyFont="1" applyFill="1" applyBorder="1" applyAlignment="1">
      <alignment horizontal="center" vertical="center"/>
    </xf>
    <xf numFmtId="3" fontId="25" fillId="0" borderId="4" xfId="0" applyNumberFormat="1" applyFont="1" applyFill="1" applyBorder="1" applyAlignment="1">
      <alignment horizontal="center" vertical="center" shrinkToFit="1"/>
    </xf>
    <xf numFmtId="0" fontId="24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37" fillId="0" borderId="0" xfId="0" applyFont="1" applyAlignment="1">
      <alignment vertical="center"/>
    </xf>
    <xf numFmtId="0" fontId="38" fillId="0" borderId="4" xfId="0" applyFont="1" applyBorder="1" applyAlignment="1">
      <alignment shrinkToFit="1"/>
    </xf>
    <xf numFmtId="0" fontId="38" fillId="0" borderId="4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shrinkToFit="1"/>
    </xf>
    <xf numFmtId="0" fontId="22" fillId="0" borderId="0" xfId="0" applyFont="1" applyBorder="1" applyAlignment="1">
      <alignment horizontal="center" shrinkToFit="1"/>
    </xf>
    <xf numFmtId="0" fontId="22" fillId="0" borderId="10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12" fillId="0" borderId="4" xfId="0" applyFont="1" applyBorder="1" applyAlignment="1">
      <alignment horizontal="left" vertical="center" shrinkToFit="1"/>
    </xf>
    <xf numFmtId="0" fontId="12" fillId="0" borderId="0" xfId="0" applyFont="1" applyBorder="1" applyAlignment="1">
      <alignment horizontal="left" vertical="center" shrinkToFit="1"/>
    </xf>
    <xf numFmtId="0" fontId="9" fillId="0" borderId="0" xfId="0" applyFont="1" applyBorder="1" applyAlignment="1">
      <alignment horizontal="left" vertical="center" shrinkToFit="1"/>
    </xf>
    <xf numFmtId="0" fontId="3" fillId="0" borderId="0" xfId="0" applyFont="1" applyAlignment="1">
      <alignment horizontal="left" vertical="center" shrinkToFit="1"/>
    </xf>
    <xf numFmtId="0" fontId="11" fillId="9" borderId="3" xfId="0" applyFont="1" applyFill="1" applyBorder="1" applyAlignment="1">
      <alignment horizontal="center" vertical="center" shrinkToFit="1"/>
    </xf>
    <xf numFmtId="0" fontId="0" fillId="9" borderId="3" xfId="0" applyFill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0" fillId="0" borderId="4" xfId="0" applyFont="1" applyFill="1" applyBorder="1" applyAlignment="1">
      <alignment shrinkToFit="1"/>
    </xf>
    <xf numFmtId="0" fontId="9" fillId="0" borderId="0" xfId="0" applyFont="1" applyBorder="1"/>
    <xf numFmtId="0" fontId="1" fillId="10" borderId="0" xfId="3" applyFill="1"/>
    <xf numFmtId="0" fontId="41" fillId="10" borderId="0" xfId="3" applyFont="1" applyFill="1"/>
    <xf numFmtId="0" fontId="42" fillId="10" borderId="0" xfId="3" applyFont="1" applyFill="1" applyAlignment="1">
      <alignment horizontal="center"/>
    </xf>
    <xf numFmtId="0" fontId="43" fillId="10" borderId="0" xfId="3" applyFont="1" applyFill="1"/>
    <xf numFmtId="0" fontId="1" fillId="10" borderId="0" xfId="3" applyFill="1" applyBorder="1"/>
    <xf numFmtId="0" fontId="45" fillId="10" borderId="4" xfId="3" applyFont="1" applyFill="1" applyBorder="1" applyAlignment="1" applyProtection="1">
      <alignment horizontal="center" vertical="center"/>
      <protection locked="0"/>
    </xf>
    <xf numFmtId="0" fontId="46" fillId="12" borderId="4" xfId="3" applyFont="1" applyFill="1" applyBorder="1" applyAlignment="1">
      <alignment horizontal="center" vertical="center" textRotation="90" wrapText="1"/>
    </xf>
    <xf numFmtId="0" fontId="46" fillId="8" borderId="4" xfId="3" applyFont="1" applyFill="1" applyBorder="1" applyAlignment="1">
      <alignment horizontal="center" vertical="center" textRotation="90" wrapText="1"/>
    </xf>
    <xf numFmtId="0" fontId="46" fillId="13" borderId="4" xfId="3" applyFont="1" applyFill="1" applyBorder="1" applyAlignment="1">
      <alignment horizontal="center" vertical="center" textRotation="90" wrapText="1"/>
    </xf>
    <xf numFmtId="0" fontId="46" fillId="14" borderId="4" xfId="3" applyFont="1" applyFill="1" applyBorder="1" applyAlignment="1">
      <alignment horizontal="center" vertical="center" textRotation="90" wrapText="1"/>
    </xf>
    <xf numFmtId="0" fontId="48" fillId="10" borderId="4" xfId="3" applyFont="1" applyFill="1" applyBorder="1" applyAlignment="1">
      <alignment horizontal="center"/>
    </xf>
    <xf numFmtId="1" fontId="46" fillId="15" borderId="4" xfId="3" applyNumberFormat="1" applyFont="1" applyFill="1" applyBorder="1" applyAlignment="1">
      <alignment horizontal="center"/>
    </xf>
    <xf numFmtId="0" fontId="46" fillId="15" borderId="4" xfId="3" applyFont="1" applyFill="1" applyBorder="1" applyAlignment="1">
      <alignment horizontal="center"/>
    </xf>
    <xf numFmtId="1" fontId="49" fillId="16" borderId="4" xfId="3" applyNumberFormat="1" applyFont="1" applyFill="1" applyBorder="1" applyAlignment="1">
      <alignment horizontal="center"/>
    </xf>
    <xf numFmtId="0" fontId="46" fillId="17" borderId="4" xfId="3" applyFont="1" applyFill="1" applyBorder="1" applyAlignment="1">
      <alignment horizontal="center"/>
    </xf>
    <xf numFmtId="0" fontId="46" fillId="18" borderId="4" xfId="1" applyFont="1" applyFill="1" applyBorder="1" applyAlignment="1" applyProtection="1">
      <alignment horizontal="center"/>
      <protection hidden="1"/>
    </xf>
    <xf numFmtId="0" fontId="46" fillId="18" borderId="4" xfId="3" applyFont="1" applyFill="1" applyBorder="1" applyAlignment="1">
      <alignment horizontal="center"/>
    </xf>
    <xf numFmtId="1" fontId="46" fillId="15" borderId="5" xfId="3" applyNumberFormat="1" applyFont="1" applyFill="1" applyBorder="1" applyAlignment="1">
      <alignment horizontal="center"/>
    </xf>
    <xf numFmtId="0" fontId="46" fillId="15" borderId="5" xfId="3" applyFont="1" applyFill="1" applyBorder="1" applyAlignment="1">
      <alignment horizontal="center"/>
    </xf>
    <xf numFmtId="1" fontId="49" fillId="16" borderId="5" xfId="3" applyNumberFormat="1" applyFont="1" applyFill="1" applyBorder="1" applyAlignment="1">
      <alignment horizontal="center"/>
    </xf>
    <xf numFmtId="0" fontId="46" fillId="17" borderId="5" xfId="3" applyFont="1" applyFill="1" applyBorder="1" applyAlignment="1">
      <alignment horizontal="center"/>
    </xf>
    <xf numFmtId="0" fontId="46" fillId="18" borderId="5" xfId="1" applyFont="1" applyFill="1" applyBorder="1" applyAlignment="1" applyProtection="1">
      <alignment horizontal="center"/>
      <protection hidden="1"/>
    </xf>
    <xf numFmtId="0" fontId="46" fillId="18" borderId="5" xfId="3" applyFont="1" applyFill="1" applyBorder="1" applyAlignment="1">
      <alignment horizontal="center"/>
    </xf>
    <xf numFmtId="0" fontId="48" fillId="10" borderId="24" xfId="3" applyFont="1" applyFill="1" applyBorder="1" applyAlignment="1">
      <alignment horizontal="center"/>
    </xf>
    <xf numFmtId="0" fontId="48" fillId="10" borderId="29" xfId="3" applyFont="1" applyFill="1" applyBorder="1" applyAlignment="1">
      <alignment horizontal="center"/>
    </xf>
    <xf numFmtId="1" fontId="46" fillId="8" borderId="3" xfId="3" applyNumberFormat="1" applyFont="1" applyFill="1" applyBorder="1" applyAlignment="1">
      <alignment horizontal="center"/>
    </xf>
    <xf numFmtId="0" fontId="46" fillId="8" borderId="3" xfId="3" applyFont="1" applyFill="1" applyBorder="1" applyAlignment="1">
      <alignment horizontal="center"/>
    </xf>
    <xf numFmtId="1" fontId="49" fillId="8" borderId="3" xfId="3" applyNumberFormat="1" applyFont="1" applyFill="1" applyBorder="1" applyAlignment="1">
      <alignment horizontal="center"/>
    </xf>
    <xf numFmtId="1" fontId="46" fillId="15" borderId="21" xfId="3" applyNumberFormat="1" applyFont="1" applyFill="1" applyBorder="1" applyAlignment="1">
      <alignment horizontal="center"/>
    </xf>
    <xf numFmtId="0" fontId="46" fillId="15" borderId="21" xfId="3" applyFont="1" applyFill="1" applyBorder="1" applyAlignment="1">
      <alignment horizontal="center"/>
    </xf>
    <xf numFmtId="1" fontId="49" fillId="15" borderId="21" xfId="3" applyNumberFormat="1" applyFont="1" applyFill="1" applyBorder="1" applyAlignment="1">
      <alignment horizontal="center"/>
    </xf>
    <xf numFmtId="1" fontId="49" fillId="16" borderId="21" xfId="3" applyNumberFormat="1" applyFont="1" applyFill="1" applyBorder="1" applyAlignment="1">
      <alignment horizontal="center"/>
    </xf>
    <xf numFmtId="0" fontId="46" fillId="17" borderId="21" xfId="3" applyFont="1" applyFill="1" applyBorder="1" applyAlignment="1">
      <alignment horizontal="center"/>
    </xf>
    <xf numFmtId="0" fontId="46" fillId="18" borderId="21" xfId="1" applyFont="1" applyFill="1" applyBorder="1" applyAlignment="1" applyProtection="1">
      <alignment horizontal="center"/>
      <protection hidden="1"/>
    </xf>
    <xf numFmtId="0" fontId="46" fillId="18" borderId="21" xfId="3" applyFont="1" applyFill="1" applyBorder="1" applyAlignment="1">
      <alignment horizontal="center"/>
    </xf>
    <xf numFmtId="1" fontId="49" fillId="15" borderId="4" xfId="3" applyNumberFormat="1" applyFont="1" applyFill="1" applyBorder="1" applyAlignment="1">
      <alignment horizontal="center"/>
    </xf>
    <xf numFmtId="0" fontId="48" fillId="10" borderId="4" xfId="3" applyFont="1" applyFill="1" applyBorder="1" applyAlignment="1">
      <alignment horizontal="center" vertical="center"/>
    </xf>
    <xf numFmtId="1" fontId="49" fillId="15" borderId="5" xfId="3" applyNumberFormat="1" applyFont="1" applyFill="1" applyBorder="1" applyAlignment="1">
      <alignment horizontal="center"/>
    </xf>
    <xf numFmtId="0" fontId="48" fillId="10" borderId="29" xfId="3" applyFont="1" applyFill="1" applyBorder="1" applyAlignment="1">
      <alignment horizontal="center" vertical="center"/>
    </xf>
    <xf numFmtId="0" fontId="46" fillId="8" borderId="3" xfId="1" applyFont="1" applyFill="1" applyBorder="1" applyAlignment="1" applyProtection="1">
      <alignment horizontal="center"/>
      <protection hidden="1"/>
    </xf>
    <xf numFmtId="0" fontId="48" fillId="10" borderId="5" xfId="3" applyFont="1" applyFill="1" applyBorder="1" applyAlignment="1">
      <alignment horizontal="center" vertical="center"/>
    </xf>
    <xf numFmtId="1" fontId="49" fillId="8" borderId="30" xfId="3" applyNumberFormat="1" applyFont="1" applyFill="1" applyBorder="1" applyAlignment="1">
      <alignment horizontal="center"/>
    </xf>
    <xf numFmtId="0" fontId="48" fillId="10" borderId="0" xfId="3" applyFont="1" applyFill="1" applyBorder="1" applyAlignment="1">
      <alignment horizontal="center" vertical="center"/>
    </xf>
    <xf numFmtId="0" fontId="48" fillId="10" borderId="0" xfId="3" applyFont="1" applyFill="1" applyBorder="1" applyAlignment="1">
      <alignment horizontal="right" vertical="center"/>
    </xf>
    <xf numFmtId="0" fontId="46" fillId="12" borderId="31" xfId="3" applyFont="1" applyFill="1" applyBorder="1" applyAlignment="1">
      <alignment horizontal="center" vertical="center" textRotation="90" wrapText="1"/>
    </xf>
    <xf numFmtId="0" fontId="46" fillId="12" borderId="14" xfId="3" applyFont="1" applyFill="1" applyBorder="1" applyAlignment="1">
      <alignment horizontal="center" vertical="center" textRotation="90" wrapText="1"/>
    </xf>
    <xf numFmtId="0" fontId="46" fillId="12" borderId="15" xfId="3" applyFont="1" applyFill="1" applyBorder="1" applyAlignment="1">
      <alignment horizontal="center" vertical="center" textRotation="90" wrapText="1"/>
    </xf>
    <xf numFmtId="0" fontId="46" fillId="8" borderId="31" xfId="3" applyFont="1" applyFill="1" applyBorder="1" applyAlignment="1">
      <alignment horizontal="center" vertical="center" textRotation="90" wrapText="1"/>
    </xf>
    <xf numFmtId="0" fontId="46" fillId="8" borderId="14" xfId="3" applyFont="1" applyFill="1" applyBorder="1" applyAlignment="1">
      <alignment horizontal="center" vertical="center" textRotation="90" wrapText="1"/>
    </xf>
    <xf numFmtId="0" fontId="46" fillId="8" borderId="15" xfId="3" applyFont="1" applyFill="1" applyBorder="1" applyAlignment="1">
      <alignment horizontal="center" vertical="center" textRotation="90" wrapText="1"/>
    </xf>
    <xf numFmtId="0" fontId="46" fillId="13" borderId="31" xfId="3" applyFont="1" applyFill="1" applyBorder="1" applyAlignment="1">
      <alignment horizontal="center" vertical="center" textRotation="90" wrapText="1"/>
    </xf>
    <xf numFmtId="0" fontId="46" fillId="13" borderId="14" xfId="3" applyFont="1" applyFill="1" applyBorder="1" applyAlignment="1">
      <alignment horizontal="center" vertical="center" textRotation="90" wrapText="1"/>
    </xf>
    <xf numFmtId="0" fontId="46" fillId="13" borderId="13" xfId="3" applyFont="1" applyFill="1" applyBorder="1" applyAlignment="1">
      <alignment horizontal="center" vertical="center" textRotation="90" wrapText="1"/>
    </xf>
    <xf numFmtId="0" fontId="46" fillId="14" borderId="31" xfId="3" applyFont="1" applyFill="1" applyBorder="1" applyAlignment="1">
      <alignment horizontal="center" vertical="center" textRotation="90" wrapText="1"/>
    </xf>
    <xf numFmtId="0" fontId="46" fillId="14" borderId="14" xfId="3" applyFont="1" applyFill="1" applyBorder="1" applyAlignment="1">
      <alignment horizontal="center" vertical="center" textRotation="90" wrapText="1"/>
    </xf>
    <xf numFmtId="0" fontId="46" fillId="14" borderId="13" xfId="3" applyFont="1" applyFill="1" applyBorder="1" applyAlignment="1">
      <alignment horizontal="center" vertical="center" textRotation="90" wrapText="1"/>
    </xf>
    <xf numFmtId="0" fontId="50" fillId="10" borderId="0" xfId="3" applyFont="1" applyFill="1" applyBorder="1" applyAlignment="1" applyProtection="1">
      <alignment horizontal="center" vertical="center"/>
      <protection locked="0"/>
    </xf>
    <xf numFmtId="0" fontId="51" fillId="10" borderId="0" xfId="3" applyFont="1" applyFill="1" applyBorder="1" applyAlignment="1" applyProtection="1">
      <alignment horizontal="center"/>
      <protection locked="0"/>
    </xf>
    <xf numFmtId="0" fontId="52" fillId="10" borderId="0" xfId="3" applyFont="1" applyFill="1" applyBorder="1" applyAlignment="1">
      <alignment horizontal="center"/>
    </xf>
    <xf numFmtId="0" fontId="53" fillId="10" borderId="0" xfId="3" applyFont="1" applyFill="1" applyBorder="1" applyAlignment="1">
      <alignment horizontal="center"/>
    </xf>
    <xf numFmtId="0" fontId="54" fillId="10" borderId="0" xfId="3" applyFont="1" applyFill="1" applyBorder="1" applyAlignment="1"/>
    <xf numFmtId="0" fontId="46" fillId="10" borderId="0" xfId="3" applyFont="1" applyFill="1" applyAlignment="1">
      <alignment horizontal="center" vertical="center"/>
    </xf>
    <xf numFmtId="0" fontId="55" fillId="10" borderId="0" xfId="3" applyFont="1" applyFill="1" applyAlignment="1">
      <alignment horizontal="center"/>
    </xf>
    <xf numFmtId="0" fontId="20" fillId="0" borderId="4" xfId="0" applyNumberFormat="1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shrinkToFit="1"/>
    </xf>
    <xf numFmtId="14" fontId="18" fillId="0" borderId="4" xfId="0" applyNumberFormat="1" applyFont="1" applyFill="1" applyBorder="1" applyAlignment="1">
      <alignment shrinkToFit="1"/>
    </xf>
    <xf numFmtId="3" fontId="18" fillId="0" borderId="4" xfId="0" applyNumberFormat="1" applyFont="1" applyFill="1" applyBorder="1" applyAlignment="1">
      <alignment shrinkToFit="1"/>
    </xf>
    <xf numFmtId="1" fontId="18" fillId="0" borderId="4" xfId="0" applyNumberFormat="1" applyFont="1" applyFill="1" applyBorder="1" applyAlignment="1">
      <alignment shrinkToFit="1"/>
    </xf>
    <xf numFmtId="0" fontId="0" fillId="0" borderId="0" xfId="0" applyFill="1" applyAlignment="1">
      <alignment horizontal="center"/>
    </xf>
    <xf numFmtId="0" fontId="57" fillId="0" borderId="0" xfId="0" applyFont="1" applyBorder="1" applyAlignment="1">
      <alignment horizontal="center" vertical="center" shrinkToFit="1"/>
    </xf>
    <xf numFmtId="0" fontId="59" fillId="0" borderId="0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/>
    </xf>
    <xf numFmtId="0" fontId="40" fillId="0" borderId="0" xfId="0" applyFont="1" applyBorder="1" applyAlignment="1">
      <alignment horizontal="center"/>
    </xf>
    <xf numFmtId="0" fontId="59" fillId="0" borderId="0" xfId="0" applyFont="1" applyAlignment="1">
      <alignment horizontal="center"/>
    </xf>
    <xf numFmtId="0" fontId="60" fillId="0" borderId="4" xfId="0" applyFont="1" applyBorder="1" applyAlignment="1">
      <alignment horizontal="center" vertical="center"/>
    </xf>
    <xf numFmtId="0" fontId="57" fillId="0" borderId="4" xfId="0" applyFont="1" applyBorder="1" applyAlignment="1">
      <alignment horizontal="center" vertical="center"/>
    </xf>
    <xf numFmtId="14" fontId="57" fillId="0" borderId="4" xfId="0" applyNumberFormat="1" applyFont="1" applyBorder="1" applyAlignment="1">
      <alignment horizontal="center" vertical="center"/>
    </xf>
    <xf numFmtId="0" fontId="57" fillId="0" borderId="4" xfId="0" applyFont="1" applyFill="1" applyBorder="1" applyAlignment="1">
      <alignment horizontal="center" vertical="center"/>
    </xf>
    <xf numFmtId="0" fontId="57" fillId="0" borderId="4" xfId="0" applyFont="1" applyBorder="1" applyAlignment="1">
      <alignment horizontal="center" vertical="center" shrinkToFit="1"/>
    </xf>
    <xf numFmtId="0" fontId="61" fillId="0" borderId="4" xfId="0" applyFont="1" applyBorder="1" applyAlignment="1">
      <alignment horizontal="center" vertical="center" shrinkToFit="1"/>
    </xf>
    <xf numFmtId="0" fontId="58" fillId="0" borderId="4" xfId="0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/>
    </xf>
    <xf numFmtId="0" fontId="60" fillId="0" borderId="4" xfId="0" applyFont="1" applyBorder="1" applyAlignment="1">
      <alignment horizontal="center" vertical="center" shrinkToFit="1"/>
    </xf>
    <xf numFmtId="0" fontId="59" fillId="0" borderId="4" xfId="0" applyFont="1" applyBorder="1" applyAlignment="1">
      <alignment vertical="center" shrinkToFit="1"/>
    </xf>
    <xf numFmtId="14" fontId="59" fillId="0" borderId="4" xfId="0" applyNumberFormat="1" applyFont="1" applyBorder="1" applyAlignment="1">
      <alignment horizontal="center" vertical="center"/>
    </xf>
    <xf numFmtId="0" fontId="59" fillId="0" borderId="4" xfId="0" applyFont="1" applyFill="1" applyBorder="1" applyAlignment="1">
      <alignment horizontal="center" vertical="center"/>
    </xf>
    <xf numFmtId="0" fontId="59" fillId="0" borderId="4" xfId="0" applyFont="1" applyBorder="1" applyAlignment="1">
      <alignment horizontal="center" vertical="center" shrinkToFit="1"/>
    </xf>
    <xf numFmtId="0" fontId="57" fillId="0" borderId="4" xfId="0" applyFont="1" applyBorder="1" applyAlignment="1">
      <alignment shrinkToFit="1"/>
    </xf>
    <xf numFmtId="0" fontId="59" fillId="0" borderId="0" xfId="0" applyFont="1" applyAlignment="1">
      <alignment horizontal="center" vertical="center"/>
    </xf>
    <xf numFmtId="14" fontId="59" fillId="0" borderId="0" xfId="0" applyNumberFormat="1" applyFont="1" applyAlignment="1">
      <alignment horizontal="center" vertical="center"/>
    </xf>
    <xf numFmtId="0" fontId="59" fillId="0" borderId="0" xfId="0" applyFont="1" applyAlignment="1">
      <alignment horizontal="center" vertical="center" shrinkToFit="1"/>
    </xf>
    <xf numFmtId="0" fontId="57" fillId="0" borderId="0" xfId="0" applyFont="1" applyAlignment="1">
      <alignment horizontal="center" shrinkToFit="1"/>
    </xf>
    <xf numFmtId="0" fontId="57" fillId="0" borderId="0" xfId="0" applyFont="1" applyBorder="1" applyAlignment="1">
      <alignment horizontal="center" vertical="center"/>
    </xf>
    <xf numFmtId="0" fontId="62" fillId="0" borderId="0" xfId="0" applyFont="1" applyBorder="1" applyAlignment="1">
      <alignment horizontal="center" vertical="center" shrinkToFit="1"/>
    </xf>
    <xf numFmtId="0" fontId="60" fillId="5" borderId="4" xfId="0" applyFont="1" applyFill="1" applyBorder="1" applyAlignment="1">
      <alignment horizontal="center" vertical="center"/>
    </xf>
    <xf numFmtId="0" fontId="57" fillId="5" borderId="4" xfId="0" applyFont="1" applyFill="1" applyBorder="1" applyAlignment="1">
      <alignment shrinkToFit="1"/>
    </xf>
    <xf numFmtId="0" fontId="57" fillId="5" borderId="4" xfId="0" applyFont="1" applyFill="1" applyBorder="1" applyAlignment="1">
      <alignment horizontal="center" vertical="center"/>
    </xf>
    <xf numFmtId="0" fontId="59" fillId="5" borderId="4" xfId="0" applyFont="1" applyFill="1" applyBorder="1" applyAlignment="1">
      <alignment horizontal="center" vertical="center"/>
    </xf>
    <xf numFmtId="14" fontId="57" fillId="5" borderId="4" xfId="0" applyNumberFormat="1" applyFont="1" applyFill="1" applyBorder="1" applyAlignment="1">
      <alignment horizontal="center" vertical="center"/>
    </xf>
    <xf numFmtId="3" fontId="57" fillId="5" borderId="4" xfId="0" applyNumberFormat="1" applyFont="1" applyFill="1" applyBorder="1" applyAlignment="1">
      <alignment horizontal="center" vertical="center" shrinkToFit="1"/>
    </xf>
    <xf numFmtId="0" fontId="57" fillId="5" borderId="4" xfId="0" applyFont="1" applyFill="1" applyBorder="1" applyAlignment="1">
      <alignment horizontal="center" vertical="center" shrinkToFit="1"/>
    </xf>
    <xf numFmtId="0" fontId="57" fillId="5" borderId="4" xfId="0" applyFont="1" applyFill="1" applyBorder="1" applyAlignment="1">
      <alignment vertical="center" shrinkToFit="1"/>
    </xf>
    <xf numFmtId="0" fontId="59" fillId="5" borderId="4" xfId="0" applyFont="1" applyFill="1" applyBorder="1" applyAlignment="1">
      <alignment shrinkToFit="1"/>
    </xf>
    <xf numFmtId="0" fontId="60" fillId="5" borderId="4" xfId="0" applyFont="1" applyFill="1" applyBorder="1" applyAlignment="1">
      <alignment horizontal="center" vertical="center" shrinkToFit="1"/>
    </xf>
    <xf numFmtId="0" fontId="57" fillId="0" borderId="0" xfId="0" applyFont="1" applyAlignment="1">
      <alignment horizontal="center" vertical="center" shrinkToFit="1"/>
    </xf>
    <xf numFmtId="0" fontId="57" fillId="0" borderId="4" xfId="0" applyFont="1" applyBorder="1"/>
    <xf numFmtId="0" fontId="57" fillId="0" borderId="0" xfId="0" applyFont="1" applyBorder="1" applyAlignment="1">
      <alignment horizontal="center" shrinkToFit="1"/>
    </xf>
    <xf numFmtId="0" fontId="63" fillId="0" borderId="0" xfId="0" applyFont="1" applyBorder="1" applyAlignment="1">
      <alignment horizontal="center" vertical="center" shrinkToFit="1"/>
    </xf>
    <xf numFmtId="0" fontId="65" fillId="0" borderId="0" xfId="0" applyFont="1" applyBorder="1" applyAlignment="1">
      <alignment horizontal="center" vertical="center" shrinkToFit="1"/>
    </xf>
    <xf numFmtId="0" fontId="66" fillId="0" borderId="0" xfId="0" applyFont="1" applyBorder="1" applyAlignment="1">
      <alignment horizontal="center" vertical="center" shrinkToFit="1"/>
    </xf>
    <xf numFmtId="0" fontId="67" fillId="0" borderId="0" xfId="0" applyFont="1" applyAlignment="1">
      <alignment horizontal="center" vertical="center"/>
    </xf>
    <xf numFmtId="0" fontId="68" fillId="5" borderId="4" xfId="0" applyFont="1" applyFill="1" applyBorder="1" applyAlignment="1">
      <alignment shrinkToFit="1"/>
    </xf>
    <xf numFmtId="0" fontId="68" fillId="5" borderId="4" xfId="0" applyFont="1" applyFill="1" applyBorder="1" applyAlignment="1">
      <alignment horizontal="center" vertical="center"/>
    </xf>
    <xf numFmtId="14" fontId="68" fillId="5" borderId="4" xfId="0" applyNumberFormat="1" applyFont="1" applyFill="1" applyBorder="1" applyAlignment="1">
      <alignment horizontal="center" vertical="center"/>
    </xf>
    <xf numFmtId="3" fontId="68" fillId="5" borderId="4" xfId="0" applyNumberFormat="1" applyFont="1" applyFill="1" applyBorder="1" applyAlignment="1">
      <alignment horizontal="center" vertical="center" shrinkToFit="1"/>
    </xf>
    <xf numFmtId="14" fontId="59" fillId="5" borderId="4" xfId="0" applyNumberFormat="1" applyFont="1" applyFill="1" applyBorder="1" applyAlignment="1">
      <alignment horizontal="center" vertical="center"/>
    </xf>
    <xf numFmtId="0" fontId="0" fillId="0" borderId="20" xfId="0" applyBorder="1"/>
    <xf numFmtId="0" fontId="0" fillId="0" borderId="20" xfId="0" applyBorder="1" applyAlignment="1">
      <alignment horizontal="center" shrinkToFit="1"/>
    </xf>
    <xf numFmtId="0" fontId="3" fillId="0" borderId="20" xfId="0" applyFont="1" applyBorder="1" applyAlignment="1">
      <alignment horizontal="center" vertical="center" shrinkToFit="1"/>
    </xf>
    <xf numFmtId="0" fontId="9" fillId="0" borderId="20" xfId="0" applyFont="1" applyBorder="1"/>
    <xf numFmtId="0" fontId="22" fillId="0" borderId="21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/>
    </xf>
    <xf numFmtId="14" fontId="38" fillId="0" borderId="4" xfId="0" applyNumberFormat="1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 shrinkToFit="1"/>
    </xf>
    <xf numFmtId="0" fontId="25" fillId="0" borderId="4" xfId="0" applyFont="1" applyBorder="1" applyAlignment="1">
      <alignment horizontal="center" shrinkToFit="1"/>
    </xf>
    <xf numFmtId="0" fontId="69" fillId="0" borderId="4" xfId="0" applyFont="1" applyBorder="1" applyAlignment="1">
      <alignment horizontal="center" vertical="center"/>
    </xf>
    <xf numFmtId="0" fontId="70" fillId="0" borderId="4" xfId="0" applyFont="1" applyBorder="1" applyAlignment="1">
      <alignment shrinkToFit="1"/>
    </xf>
    <xf numFmtId="0" fontId="70" fillId="0" borderId="4" xfId="0" applyFont="1" applyBorder="1" applyAlignment="1">
      <alignment horizontal="center" vertical="center"/>
    </xf>
    <xf numFmtId="14" fontId="70" fillId="0" borderId="4" xfId="0" applyNumberFormat="1" applyFont="1" applyBorder="1" applyAlignment="1">
      <alignment horizontal="center" vertical="center"/>
    </xf>
    <xf numFmtId="3" fontId="70" fillId="0" borderId="4" xfId="0" applyNumberFormat="1" applyFont="1" applyBorder="1" applyAlignment="1">
      <alignment horizontal="center" vertical="center" shrinkToFit="1"/>
    </xf>
    <xf numFmtId="0" fontId="71" fillId="0" borderId="4" xfId="0" applyFont="1" applyBorder="1" applyAlignment="1">
      <alignment horizontal="center" vertical="center" shrinkToFit="1"/>
    </xf>
    <xf numFmtId="0" fontId="72" fillId="0" borderId="4" xfId="0" applyFont="1" applyBorder="1" applyAlignment="1">
      <alignment horizontal="center" vertical="center"/>
    </xf>
    <xf numFmtId="0" fontId="70" fillId="5" borderId="4" xfId="0" applyFont="1" applyFill="1" applyBorder="1" applyAlignment="1">
      <alignment shrinkToFit="1"/>
    </xf>
    <xf numFmtId="0" fontId="70" fillId="5" borderId="4" xfId="0" applyFont="1" applyFill="1" applyBorder="1" applyAlignment="1">
      <alignment horizontal="center" vertical="center"/>
    </xf>
    <xf numFmtId="14" fontId="70" fillId="5" borderId="4" xfId="0" applyNumberFormat="1" applyFont="1" applyFill="1" applyBorder="1" applyAlignment="1">
      <alignment horizontal="center" vertical="center"/>
    </xf>
    <xf numFmtId="0" fontId="70" fillId="0" borderId="4" xfId="0" applyFont="1" applyFill="1" applyBorder="1" applyAlignment="1">
      <alignment horizontal="center" vertical="center"/>
    </xf>
    <xf numFmtId="3" fontId="71" fillId="0" borderId="4" xfId="0" applyNumberFormat="1" applyFont="1" applyBorder="1" applyAlignment="1">
      <alignment horizontal="center" vertical="center" shrinkToFit="1"/>
    </xf>
    <xf numFmtId="0" fontId="70" fillId="0" borderId="4" xfId="0" applyFont="1" applyBorder="1" applyAlignment="1">
      <alignment horizontal="left" vertical="top" wrapText="1" shrinkToFit="1"/>
    </xf>
    <xf numFmtId="0" fontId="70" fillId="0" borderId="4" xfId="0" applyFont="1" applyBorder="1" applyAlignment="1">
      <alignment horizontal="center" vertical="center" shrinkToFit="1"/>
    </xf>
    <xf numFmtId="0" fontId="72" fillId="0" borderId="4" xfId="0" applyFont="1" applyBorder="1" applyAlignment="1">
      <alignment shrinkToFit="1"/>
    </xf>
    <xf numFmtId="14" fontId="72" fillId="0" borderId="4" xfId="0" applyNumberFormat="1" applyFont="1" applyBorder="1" applyAlignment="1">
      <alignment horizontal="center" vertical="center"/>
    </xf>
    <xf numFmtId="0" fontId="72" fillId="0" borderId="4" xfId="0" applyFont="1" applyBorder="1" applyAlignment="1">
      <alignment horizontal="center" vertical="center" shrinkToFit="1"/>
    </xf>
    <xf numFmtId="0" fontId="25" fillId="0" borderId="4" xfId="0" applyFont="1" applyBorder="1" applyAlignment="1" applyProtection="1">
      <alignment horizontal="center" vertical="center"/>
    </xf>
    <xf numFmtId="0" fontId="18" fillId="0" borderId="4" xfId="0" applyFont="1" applyBorder="1" applyAlignment="1" applyProtection="1">
      <alignment horizontal="center" vertical="center"/>
    </xf>
    <xf numFmtId="1" fontId="22" fillId="0" borderId="4" xfId="0" applyNumberFormat="1" applyFont="1" applyBorder="1" applyAlignment="1" applyProtection="1">
      <alignment horizontal="center" vertical="center" shrinkToFit="1"/>
    </xf>
    <xf numFmtId="0" fontId="40" fillId="0" borderId="35" xfId="0" applyFont="1" applyBorder="1" applyAlignment="1" applyProtection="1">
      <alignment horizontal="center"/>
      <protection locked="0"/>
    </xf>
    <xf numFmtId="0" fontId="58" fillId="0" borderId="0" xfId="0" applyFont="1" applyBorder="1" applyAlignment="1" applyProtection="1">
      <alignment horizontal="center" shrinkToFit="1"/>
      <protection locked="0"/>
    </xf>
    <xf numFmtId="0" fontId="40" fillId="0" borderId="1" xfId="0" applyFont="1" applyBorder="1" applyAlignment="1" applyProtection="1">
      <alignment horizontal="center" vertical="center"/>
      <protection locked="0"/>
    </xf>
    <xf numFmtId="0" fontId="40" fillId="0" borderId="2" xfId="0" applyFont="1" applyBorder="1" applyAlignment="1" applyProtection="1">
      <alignment horizontal="center" vertical="center"/>
      <protection locked="0"/>
    </xf>
    <xf numFmtId="0" fontId="40" fillId="0" borderId="2" xfId="0" applyFont="1" applyBorder="1" applyAlignment="1" applyProtection="1">
      <alignment horizontal="center" shrinkToFit="1"/>
      <protection locked="0"/>
    </xf>
    <xf numFmtId="0" fontId="40" fillId="0" borderId="2" xfId="0" applyFont="1" applyBorder="1" applyAlignment="1" applyProtection="1">
      <alignment horizontal="center"/>
      <protection locked="0"/>
    </xf>
    <xf numFmtId="14" fontId="40" fillId="0" borderId="2" xfId="0" applyNumberFormat="1" applyFont="1" applyBorder="1" applyAlignment="1" applyProtection="1">
      <alignment horizontal="center" vertical="center"/>
      <protection locked="0"/>
    </xf>
    <xf numFmtId="0" fontId="40" fillId="0" borderId="2" xfId="0" applyFont="1" applyBorder="1" applyAlignment="1" applyProtection="1">
      <alignment horizontal="center" vertical="center" shrinkToFit="1"/>
      <protection locked="0"/>
    </xf>
    <xf numFmtId="0" fontId="56" fillId="0" borderId="2" xfId="0" applyFont="1" applyBorder="1" applyAlignment="1" applyProtection="1">
      <alignment horizontal="center" shrinkToFit="1"/>
      <protection locked="0"/>
    </xf>
    <xf numFmtId="0" fontId="58" fillId="0" borderId="2" xfId="0" applyFont="1" applyBorder="1" applyAlignment="1" applyProtection="1">
      <alignment horizontal="center" shrinkToFit="1"/>
      <protection locked="0"/>
    </xf>
    <xf numFmtId="0" fontId="25" fillId="0" borderId="4" xfId="0" applyFont="1" applyBorder="1" applyAlignment="1" applyProtection="1">
      <alignment horizontal="center" vertical="center"/>
      <protection locked="0"/>
    </xf>
    <xf numFmtId="0" fontId="18" fillId="0" borderId="4" xfId="0" applyFont="1" applyBorder="1" applyAlignment="1" applyProtection="1">
      <alignment horizontal="center" vertical="center" shrinkToFit="1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0" fontId="18" fillId="0" borderId="4" xfId="0" applyFont="1" applyBorder="1" applyAlignment="1" applyProtection="1">
      <alignment horizontal="center" vertical="center"/>
      <protection locked="0"/>
    </xf>
    <xf numFmtId="14" fontId="18" fillId="0" borderId="4" xfId="0" applyNumberFormat="1" applyFont="1" applyBorder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 shrinkToFit="1"/>
      <protection locked="0"/>
    </xf>
    <xf numFmtId="14" fontId="25" fillId="0" borderId="4" xfId="0" applyNumberFormat="1" applyFont="1" applyBorder="1" applyAlignment="1" applyProtection="1">
      <alignment horizontal="center" vertical="center"/>
      <protection locked="0"/>
    </xf>
    <xf numFmtId="0" fontId="25" fillId="0" borderId="4" xfId="0" applyFont="1" applyFill="1" applyBorder="1" applyAlignment="1" applyProtection="1">
      <alignment horizontal="center" vertical="center"/>
      <protection locked="0"/>
    </xf>
    <xf numFmtId="3" fontId="25" fillId="0" borderId="4" xfId="0" applyNumberFormat="1" applyFont="1" applyBorder="1" applyAlignment="1" applyProtection="1">
      <alignment horizontal="center" vertical="center" shrinkToFit="1"/>
      <protection locked="0"/>
    </xf>
    <xf numFmtId="3" fontId="25" fillId="0" borderId="4" xfId="0" applyNumberFormat="1" applyFont="1" applyFill="1" applyBorder="1" applyAlignment="1" applyProtection="1">
      <alignment horizontal="center" vertical="center" shrinkToFit="1"/>
      <protection locked="0"/>
    </xf>
    <xf numFmtId="0" fontId="25" fillId="0" borderId="4" xfId="0" applyFont="1" applyBorder="1" applyAlignment="1" applyProtection="1">
      <alignment horizontal="center" vertical="center" shrinkToFit="1"/>
      <protection locked="0"/>
    </xf>
    <xf numFmtId="0" fontId="58" fillId="0" borderId="2" xfId="0" applyFont="1" applyBorder="1" applyAlignment="1" applyProtection="1">
      <alignment horizontal="center" vertical="center" shrinkToFit="1"/>
      <protection locked="0"/>
    </xf>
    <xf numFmtId="0" fontId="18" fillId="0" borderId="4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4" fontId="25" fillId="0" borderId="4" xfId="0" applyNumberFormat="1" applyFont="1" applyFill="1" applyBorder="1" applyAlignment="1" applyProtection="1">
      <alignment horizontal="center" vertical="center"/>
      <protection locked="0"/>
    </xf>
    <xf numFmtId="0" fontId="25" fillId="0" borderId="4" xfId="0" applyFont="1" applyFill="1" applyBorder="1" applyAlignment="1" applyProtection="1">
      <alignment horizontal="center" vertical="center" shrinkToFit="1"/>
      <protection locked="0"/>
    </xf>
    <xf numFmtId="3" fontId="73" fillId="0" borderId="4" xfId="0" applyNumberFormat="1" applyFont="1" applyBorder="1" applyAlignment="1" applyProtection="1">
      <alignment horizontal="center" vertical="center" shrinkToFit="1"/>
      <protection locked="0"/>
    </xf>
    <xf numFmtId="0" fontId="73" fillId="0" borderId="4" xfId="0" applyFont="1" applyBorder="1" applyAlignment="1" applyProtection="1">
      <alignment horizontal="center" vertical="center"/>
      <protection locked="0"/>
    </xf>
    <xf numFmtId="14" fontId="73" fillId="0" borderId="4" xfId="0" applyNumberFormat="1" applyFont="1" applyBorder="1" applyAlignment="1" applyProtection="1">
      <alignment horizontal="center" vertical="center"/>
      <protection locked="0"/>
    </xf>
    <xf numFmtId="0" fontId="73" fillId="0" borderId="4" xfId="0" applyFont="1" applyBorder="1" applyAlignment="1" applyProtection="1">
      <alignment horizontal="center" vertical="center" shrinkToFit="1"/>
      <protection locked="0"/>
    </xf>
    <xf numFmtId="0" fontId="19" fillId="0" borderId="4" xfId="0" applyFont="1" applyFill="1" applyBorder="1" applyAlignment="1" applyProtection="1">
      <alignment horizontal="center" vertical="center"/>
      <protection locked="0"/>
    </xf>
    <xf numFmtId="0" fontId="22" fillId="0" borderId="22" xfId="0" applyFont="1" applyBorder="1" applyAlignment="1" applyProtection="1">
      <alignment horizontal="center" vertical="center"/>
    </xf>
    <xf numFmtId="0" fontId="18" fillId="0" borderId="4" xfId="0" applyNumberFormat="1" applyFont="1" applyFill="1" applyBorder="1" applyAlignment="1">
      <alignment shrinkToFit="1"/>
    </xf>
    <xf numFmtId="0" fontId="0" fillId="0" borderId="4" xfId="0" applyNumberFormat="1" applyFill="1" applyBorder="1"/>
    <xf numFmtId="3" fontId="0" fillId="0" borderId="4" xfId="0" applyNumberFormat="1" applyFill="1" applyBorder="1"/>
    <xf numFmtId="0" fontId="25" fillId="0" borderId="4" xfId="0" applyFont="1" applyBorder="1" applyAlignment="1" applyProtection="1">
      <alignment horizontal="center" vertical="center" shrinkToFit="1"/>
    </xf>
    <xf numFmtId="0" fontId="59" fillId="0" borderId="4" xfId="0" applyFont="1" applyBorder="1" applyAlignment="1">
      <alignment horizontal="center"/>
    </xf>
    <xf numFmtId="0" fontId="57" fillId="0" borderId="4" xfId="0" applyFont="1" applyBorder="1" applyAlignment="1">
      <alignment horizontal="center" shrinkToFit="1"/>
    </xf>
    <xf numFmtId="14" fontId="25" fillId="0" borderId="4" xfId="0" applyNumberFormat="1" applyFont="1" applyBorder="1" applyAlignment="1" applyProtection="1">
      <alignment horizontal="center" vertical="center"/>
    </xf>
    <xf numFmtId="0" fontId="58" fillId="0" borderId="10" xfId="0" applyFont="1" applyBorder="1" applyAlignment="1" applyProtection="1">
      <alignment horizontal="center" shrinkToFit="1"/>
      <protection locked="0"/>
    </xf>
    <xf numFmtId="1" fontId="22" fillId="0" borderId="23" xfId="0" applyNumberFormat="1" applyFont="1" applyBorder="1" applyAlignment="1" applyProtection="1">
      <alignment horizontal="center" vertical="center" shrinkToFit="1"/>
    </xf>
    <xf numFmtId="1" fontId="22" fillId="0" borderId="19" xfId="0" applyNumberFormat="1" applyFont="1" applyBorder="1" applyAlignment="1" applyProtection="1">
      <alignment horizontal="center" vertical="center" shrinkToFit="1"/>
    </xf>
    <xf numFmtId="0" fontId="58" fillId="0" borderId="39" xfId="0" applyFont="1" applyBorder="1" applyAlignment="1" applyProtection="1">
      <alignment horizontal="center" shrinkToFit="1"/>
      <protection locked="0"/>
    </xf>
    <xf numFmtId="0" fontId="8" fillId="0" borderId="4" xfId="0" applyFont="1" applyBorder="1" applyAlignment="1">
      <alignment horizontal="center" vertical="center"/>
    </xf>
    <xf numFmtId="0" fontId="79" fillId="0" borderId="4" xfId="1" applyFont="1" applyFill="1" applyBorder="1" applyAlignment="1" applyProtection="1">
      <alignment horizontal="center" vertical="center" shrinkToFit="1"/>
      <protection locked="0" hidden="1"/>
    </xf>
    <xf numFmtId="0" fontId="20" fillId="0" borderId="4" xfId="0" applyFont="1" applyBorder="1" applyAlignment="1" applyProtection="1">
      <alignment horizontal="center" vertical="center" shrinkToFit="1"/>
      <protection locked="0"/>
    </xf>
    <xf numFmtId="3" fontId="80" fillId="0" borderId="4" xfId="0" applyNumberFormat="1" applyFont="1" applyBorder="1" applyAlignment="1" applyProtection="1">
      <alignment horizontal="center" vertical="center" shrinkToFit="1"/>
      <protection locked="0"/>
    </xf>
    <xf numFmtId="0" fontId="81" fillId="0" borderId="4" xfId="0" applyFont="1" applyBorder="1" applyAlignment="1" applyProtection="1">
      <alignment horizontal="center" vertical="center"/>
      <protection locked="0"/>
    </xf>
    <xf numFmtId="14" fontId="81" fillId="0" borderId="4" xfId="0" applyNumberFormat="1" applyFont="1" applyBorder="1" applyAlignment="1" applyProtection="1">
      <alignment horizontal="center" vertical="center"/>
      <protection locked="0"/>
    </xf>
    <xf numFmtId="3" fontId="81" fillId="0" borderId="4" xfId="0" applyNumberFormat="1" applyFont="1" applyBorder="1" applyAlignment="1" applyProtection="1">
      <alignment horizontal="center" vertical="center" shrinkToFit="1"/>
      <protection locked="0"/>
    </xf>
    <xf numFmtId="0" fontId="82" fillId="19" borderId="4" xfId="1" applyFont="1" applyFill="1" applyBorder="1" applyAlignment="1" applyProtection="1">
      <alignment horizontal="center"/>
      <protection locked="0" hidden="1"/>
    </xf>
    <xf numFmtId="0" fontId="58" fillId="0" borderId="4" xfId="0" applyFont="1" applyBorder="1" applyAlignment="1" applyProtection="1">
      <alignment horizontal="center" shrinkToFit="1"/>
      <protection locked="0"/>
    </xf>
    <xf numFmtId="0" fontId="82" fillId="0" borderId="4" xfId="1" applyFont="1" applyBorder="1" applyAlignment="1" applyProtection="1">
      <alignment horizontal="center" vertical="center" shrinkToFit="1"/>
      <protection locked="0" hidden="1"/>
    </xf>
    <xf numFmtId="0" fontId="0" fillId="0" borderId="4" xfId="0" applyFill="1" applyBorder="1" applyAlignment="1">
      <alignment horizontal="center"/>
    </xf>
    <xf numFmtId="0" fontId="0" fillId="0" borderId="4" xfId="0" applyFill="1" applyBorder="1"/>
    <xf numFmtId="0" fontId="1" fillId="0" borderId="42" xfId="1" applyFont="1" applyFill="1" applyBorder="1" applyAlignment="1" applyProtection="1">
      <alignment horizontal="center"/>
      <protection hidden="1"/>
    </xf>
    <xf numFmtId="0" fontId="83" fillId="0" borderId="42" xfId="1" applyFont="1" applyFill="1" applyBorder="1" applyAlignment="1" applyProtection="1">
      <alignment horizontal="center"/>
      <protection hidden="1"/>
    </xf>
    <xf numFmtId="0" fontId="0" fillId="20" borderId="4" xfId="0" applyFill="1" applyBorder="1" applyAlignment="1">
      <alignment horizontal="right"/>
    </xf>
    <xf numFmtId="0" fontId="18" fillId="20" borderId="4" xfId="0" applyFont="1" applyFill="1" applyBorder="1" applyAlignment="1">
      <alignment horizontal="center" vertical="center"/>
    </xf>
    <xf numFmtId="0" fontId="20" fillId="20" borderId="4" xfId="0" applyNumberFormat="1" applyFont="1" applyFill="1" applyBorder="1" applyAlignment="1">
      <alignment horizontal="center" vertical="center"/>
    </xf>
    <xf numFmtId="0" fontId="18" fillId="20" borderId="4" xfId="0" applyNumberFormat="1" applyFont="1" applyFill="1" applyBorder="1" applyAlignment="1">
      <alignment shrinkToFit="1"/>
    </xf>
    <xf numFmtId="0" fontId="18" fillId="20" borderId="4" xfId="0" applyFont="1" applyFill="1" applyBorder="1" applyAlignment="1">
      <alignment shrinkToFit="1"/>
    </xf>
    <xf numFmtId="14" fontId="18" fillId="20" borderId="4" xfId="0" applyNumberFormat="1" applyFont="1" applyFill="1" applyBorder="1" applyAlignment="1">
      <alignment shrinkToFit="1"/>
    </xf>
    <xf numFmtId="0" fontId="0" fillId="20" borderId="4" xfId="0" applyNumberFormat="1" applyFill="1" applyBorder="1"/>
    <xf numFmtId="1" fontId="18" fillId="20" borderId="4" xfId="0" applyNumberFormat="1" applyFont="1" applyFill="1" applyBorder="1" applyAlignment="1">
      <alignment shrinkToFit="1"/>
    </xf>
    <xf numFmtId="0" fontId="0" fillId="20" borderId="0" xfId="0" applyFill="1" applyAlignment="1">
      <alignment horizontal="center"/>
    </xf>
    <xf numFmtId="0" fontId="0" fillId="20" borderId="0" xfId="0" quotePrefix="1" applyFill="1"/>
    <xf numFmtId="0" fontId="0" fillId="20" borderId="4" xfId="0" applyFill="1" applyBorder="1" applyAlignment="1">
      <alignment horizontal="center"/>
    </xf>
    <xf numFmtId="0" fontId="0" fillId="20" borderId="4" xfId="0" applyFill="1" applyBorder="1"/>
    <xf numFmtId="0" fontId="1" fillId="20" borderId="42" xfId="1" applyFont="1" applyFill="1" applyBorder="1" applyAlignment="1" applyProtection="1">
      <alignment horizontal="center"/>
      <protection hidden="1"/>
    </xf>
    <xf numFmtId="0" fontId="75" fillId="20" borderId="0" xfId="0" applyFont="1" applyFill="1" applyAlignment="1">
      <alignment horizontal="center"/>
    </xf>
    <xf numFmtId="3" fontId="18" fillId="20" borderId="4" xfId="0" applyNumberFormat="1" applyFont="1" applyFill="1" applyBorder="1" applyAlignment="1">
      <alignment shrinkToFit="1"/>
    </xf>
    <xf numFmtId="3" fontId="0" fillId="20" borderId="4" xfId="0" applyNumberFormat="1" applyFill="1" applyBorder="1"/>
    <xf numFmtId="0" fontId="0" fillId="20" borderId="40" xfId="0" applyFill="1" applyBorder="1" applyAlignment="1">
      <alignment horizontal="right"/>
    </xf>
    <xf numFmtId="0" fontId="18" fillId="20" borderId="33" xfId="0" applyFont="1" applyFill="1" applyBorder="1" applyAlignment="1">
      <alignment horizontal="center" vertical="center"/>
    </xf>
    <xf numFmtId="0" fontId="20" fillId="20" borderId="33" xfId="0" applyNumberFormat="1" applyFont="1" applyFill="1" applyBorder="1" applyAlignment="1">
      <alignment horizontal="center" vertical="center"/>
    </xf>
    <xf numFmtId="0" fontId="18" fillId="20" borderId="33" xfId="0" applyNumberFormat="1" applyFont="1" applyFill="1" applyBorder="1" applyAlignment="1">
      <alignment shrinkToFit="1"/>
    </xf>
    <xf numFmtId="0" fontId="18" fillId="20" borderId="33" xfId="0" applyFont="1" applyFill="1" applyBorder="1" applyAlignment="1">
      <alignment shrinkToFit="1"/>
    </xf>
    <xf numFmtId="14" fontId="18" fillId="20" borderId="33" xfId="0" applyNumberFormat="1" applyFont="1" applyFill="1" applyBorder="1" applyAlignment="1">
      <alignment shrinkToFit="1"/>
    </xf>
    <xf numFmtId="0" fontId="0" fillId="20" borderId="41" xfId="0" applyFill="1" applyBorder="1" applyAlignment="1">
      <alignment horizontal="center"/>
    </xf>
    <xf numFmtId="0" fontId="0" fillId="20" borderId="41" xfId="0" quotePrefix="1" applyFill="1" applyBorder="1"/>
    <xf numFmtId="0" fontId="0" fillId="20" borderId="33" xfId="0" applyFill="1" applyBorder="1" applyAlignment="1">
      <alignment horizontal="center"/>
    </xf>
    <xf numFmtId="0" fontId="0" fillId="20" borderId="33" xfId="0" applyFill="1" applyBorder="1"/>
    <xf numFmtId="0" fontId="0" fillId="20" borderId="34" xfId="0" applyFill="1" applyBorder="1"/>
    <xf numFmtId="14" fontId="85" fillId="0" borderId="4" xfId="0" applyNumberFormat="1" applyFont="1" applyBorder="1" applyAlignment="1" applyProtection="1">
      <alignment horizontal="center" vertical="center"/>
    </xf>
    <xf numFmtId="0" fontId="0" fillId="0" borderId="0" xfId="0" quotePrefix="1" applyFill="1"/>
    <xf numFmtId="0" fontId="0" fillId="0" borderId="4" xfId="0" applyFill="1" applyBorder="1" applyAlignment="1">
      <alignment horizontal="right"/>
    </xf>
    <xf numFmtId="0" fontId="8" fillId="0" borderId="17" xfId="0" applyFont="1" applyFill="1" applyBorder="1" applyAlignment="1">
      <alignment horizontal="right" vertical="center"/>
    </xf>
    <xf numFmtId="0" fontId="8" fillId="0" borderId="17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8" fillId="0" borderId="18" xfId="0" applyNumberFormat="1" applyFont="1" applyFill="1" applyBorder="1" applyAlignment="1">
      <alignment horizontal="center" shrinkToFit="1"/>
    </xf>
    <xf numFmtId="0" fontId="8" fillId="0" borderId="18" xfId="0" applyFont="1" applyFill="1" applyBorder="1" applyAlignment="1">
      <alignment horizontal="center"/>
    </xf>
    <xf numFmtId="0" fontId="16" fillId="0" borderId="18" xfId="0" applyFont="1" applyFill="1" applyBorder="1" applyAlignment="1">
      <alignment horizontal="center"/>
    </xf>
    <xf numFmtId="14" fontId="8" fillId="0" borderId="18" xfId="0" applyNumberFormat="1" applyFont="1" applyFill="1" applyBorder="1" applyAlignment="1">
      <alignment horizontal="center" vertical="center"/>
    </xf>
    <xf numFmtId="0" fontId="8" fillId="0" borderId="18" xfId="0" applyNumberFormat="1" applyFont="1" applyFill="1" applyBorder="1" applyAlignment="1">
      <alignment horizontal="center" vertical="center"/>
    </xf>
    <xf numFmtId="0" fontId="8" fillId="0" borderId="18" xfId="0" applyNumberFormat="1" applyFont="1" applyFill="1" applyBorder="1" applyAlignment="1">
      <alignment horizontal="center" vertical="center" shrinkToFit="1"/>
    </xf>
    <xf numFmtId="0" fontId="8" fillId="0" borderId="33" xfId="0" applyNumberFormat="1" applyFont="1" applyFill="1" applyBorder="1" applyAlignment="1">
      <alignment horizontal="center" vertical="center"/>
    </xf>
    <xf numFmtId="0" fontId="8" fillId="0" borderId="33" xfId="0" applyNumberFormat="1" applyFont="1" applyFill="1" applyBorder="1" applyAlignment="1">
      <alignment horizontal="center" shrinkToFit="1"/>
    </xf>
    <xf numFmtId="0" fontId="8" fillId="0" borderId="34" xfId="0" applyNumberFormat="1" applyFont="1" applyFill="1" applyBorder="1" applyAlignment="1">
      <alignment horizontal="center" vertical="center" shrinkToFit="1"/>
    </xf>
    <xf numFmtId="0" fontId="8" fillId="0" borderId="8" xfId="0" applyNumberFormat="1" applyFont="1" applyFill="1" applyBorder="1" applyAlignment="1">
      <alignment horizontal="center" shrinkToFit="1"/>
    </xf>
    <xf numFmtId="0" fontId="82" fillId="0" borderId="4" xfId="1" applyFont="1" applyFill="1" applyBorder="1" applyAlignment="1" applyProtection="1">
      <alignment horizontal="center" vertical="center" shrinkToFit="1"/>
      <protection locked="0" hidden="1"/>
    </xf>
    <xf numFmtId="0" fontId="82" fillId="0" borderId="19" xfId="1" applyFont="1" applyFill="1" applyBorder="1" applyAlignment="1" applyProtection="1">
      <alignment horizontal="center" vertical="center" shrinkToFit="1"/>
      <protection locked="0" hidden="1"/>
    </xf>
    <xf numFmtId="0" fontId="82" fillId="0" borderId="4" xfId="1" applyFont="1" applyFill="1" applyBorder="1" applyAlignment="1" applyProtection="1">
      <alignment horizontal="center"/>
      <protection locked="0" hidden="1"/>
    </xf>
    <xf numFmtId="0" fontId="82" fillId="0" borderId="42" xfId="1" applyFont="1" applyFill="1" applyBorder="1" applyAlignment="1" applyProtection="1">
      <alignment horizontal="center" vertical="center" shrinkToFit="1"/>
      <protection locked="0" hidden="1"/>
    </xf>
    <xf numFmtId="0" fontId="84" fillId="0" borderId="42" xfId="1" applyFont="1" applyFill="1" applyBorder="1" applyAlignment="1" applyProtection="1">
      <alignment horizontal="center" vertical="center"/>
      <protection hidden="1"/>
    </xf>
    <xf numFmtId="0" fontId="0" fillId="0" borderId="0" xfId="0" applyFill="1"/>
    <xf numFmtId="0" fontId="0" fillId="0" borderId="5" xfId="0" applyFill="1" applyBorder="1" applyAlignment="1">
      <alignment horizontal="right"/>
    </xf>
    <xf numFmtId="0" fontId="0" fillId="0" borderId="21" xfId="0" applyFill="1" applyBorder="1" applyAlignment="1">
      <alignment horizontal="right"/>
    </xf>
    <xf numFmtId="0" fontId="0" fillId="0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shrinkToFit="1"/>
    </xf>
    <xf numFmtId="0" fontId="0" fillId="0" borderId="4" xfId="0" applyFont="1" applyFill="1" applyBorder="1" applyAlignment="1">
      <alignment horizontal="center"/>
    </xf>
    <xf numFmtId="14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 shrinkToFit="1"/>
    </xf>
    <xf numFmtId="0" fontId="0" fillId="0" borderId="4" xfId="0" applyNumberFormat="1" applyFont="1" applyFill="1" applyBorder="1" applyAlignment="1">
      <alignment horizontal="center" shrinkToFit="1"/>
    </xf>
    <xf numFmtId="0" fontId="0" fillId="0" borderId="4" xfId="0" applyNumberFormat="1" applyFont="1" applyFill="1" applyBorder="1"/>
    <xf numFmtId="0" fontId="0" fillId="20" borderId="0" xfId="0" applyFill="1"/>
    <xf numFmtId="0" fontId="61" fillId="0" borderId="4" xfId="0" applyFont="1" applyBorder="1" applyAlignment="1">
      <alignment horizontal="center"/>
    </xf>
    <xf numFmtId="0" fontId="86" fillId="0" borderId="4" xfId="0" applyFont="1" applyBorder="1" applyAlignment="1">
      <alignment horizontal="center"/>
    </xf>
    <xf numFmtId="0" fontId="18" fillId="0" borderId="4" xfId="0" quotePrefix="1" applyFont="1" applyBorder="1" applyAlignment="1">
      <alignment horizontal="center" vertical="center"/>
    </xf>
    <xf numFmtId="49" fontId="18" fillId="0" borderId="4" xfId="0" applyNumberFormat="1" applyFont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22" fillId="0" borderId="4" xfId="0" applyFont="1" applyBorder="1" applyAlignment="1" applyProtection="1">
      <alignment horizontal="center" vertical="center"/>
    </xf>
    <xf numFmtId="0" fontId="79" fillId="0" borderId="19" xfId="1" applyFont="1" applyFill="1" applyBorder="1" applyAlignment="1" applyProtection="1">
      <alignment horizontal="center" vertical="center" shrinkToFit="1"/>
      <protection locked="0" hidden="1"/>
    </xf>
    <xf numFmtId="0" fontId="0" fillId="0" borderId="19" xfId="0" applyBorder="1" applyAlignment="1">
      <alignment horizontal="center"/>
    </xf>
    <xf numFmtId="0" fontId="40" fillId="0" borderId="4" xfId="0" applyFont="1" applyBorder="1" applyAlignment="1" applyProtection="1">
      <alignment horizontal="center" vertical="center"/>
      <protection locked="0"/>
    </xf>
    <xf numFmtId="0" fontId="40" fillId="0" borderId="4" xfId="0" applyFont="1" applyBorder="1" applyAlignment="1" applyProtection="1">
      <alignment horizontal="center" shrinkToFit="1"/>
      <protection locked="0"/>
    </xf>
    <xf numFmtId="0" fontId="40" fillId="0" borderId="4" xfId="0" applyFont="1" applyBorder="1" applyAlignment="1" applyProtection="1">
      <alignment horizontal="center"/>
      <protection locked="0"/>
    </xf>
    <xf numFmtId="14" fontId="40" fillId="0" borderId="4" xfId="0" applyNumberFormat="1" applyFont="1" applyBorder="1" applyAlignment="1" applyProtection="1">
      <alignment horizontal="center" vertical="center"/>
      <protection locked="0"/>
    </xf>
    <xf numFmtId="0" fontId="40" fillId="0" borderId="4" xfId="0" applyFont="1" applyBorder="1" applyAlignment="1" applyProtection="1">
      <alignment horizontal="center" vertical="center" shrinkToFit="1"/>
      <protection locked="0"/>
    </xf>
    <xf numFmtId="0" fontId="56" fillId="0" borderId="4" xfId="0" applyFont="1" applyBorder="1" applyAlignment="1" applyProtection="1">
      <alignment horizontal="center" shrinkToFit="1"/>
      <protection locked="0"/>
    </xf>
    <xf numFmtId="0" fontId="58" fillId="0" borderId="4" xfId="0" applyFont="1" applyBorder="1" applyAlignment="1" applyProtection="1">
      <alignment horizontal="center" vertical="center" shrinkToFit="1"/>
      <protection locked="0"/>
    </xf>
    <xf numFmtId="0" fontId="22" fillId="0" borderId="4" xfId="0" applyFont="1" applyBorder="1" applyAlignment="1" applyProtection="1">
      <alignment horizontal="center" vertical="center" shrinkToFit="1"/>
    </xf>
    <xf numFmtId="14" fontId="59" fillId="0" borderId="4" xfId="0" applyNumberFormat="1" applyFont="1" applyBorder="1" applyAlignment="1">
      <alignment horizontal="center"/>
    </xf>
    <xf numFmtId="0" fontId="60" fillId="0" borderId="4" xfId="0" applyFont="1" applyBorder="1" applyAlignment="1">
      <alignment horizontal="center"/>
    </xf>
    <xf numFmtId="0" fontId="20" fillId="0" borderId="4" xfId="0" applyFont="1" applyBorder="1" applyAlignment="1" applyProtection="1">
      <alignment horizontal="center" vertical="center"/>
      <protection locked="0"/>
    </xf>
    <xf numFmtId="0" fontId="19" fillId="0" borderId="4" xfId="0" applyFont="1" applyBorder="1" applyAlignment="1" applyProtection="1">
      <alignment horizontal="center" vertical="center"/>
      <protection locked="0"/>
    </xf>
    <xf numFmtId="0" fontId="19" fillId="0" borderId="4" xfId="0" applyFont="1" applyBorder="1" applyAlignment="1" applyProtection="1">
      <alignment horizontal="center" vertical="center"/>
    </xf>
    <xf numFmtId="14" fontId="19" fillId="0" borderId="4" xfId="0" applyNumberFormat="1" applyFont="1" applyBorder="1" applyAlignment="1" applyProtection="1">
      <alignment horizontal="center" vertical="center"/>
      <protection locked="0"/>
    </xf>
    <xf numFmtId="0" fontId="19" fillId="0" borderId="4" xfId="0" applyFont="1" applyBorder="1" applyAlignment="1">
      <alignment horizontal="center" vertical="center"/>
    </xf>
    <xf numFmtId="0" fontId="21" fillId="0" borderId="4" xfId="0" applyFont="1" applyBorder="1" applyAlignment="1" applyProtection="1">
      <alignment horizontal="center" vertical="center" shrinkToFit="1"/>
      <protection locked="0"/>
    </xf>
    <xf numFmtId="0" fontId="75" fillId="0" borderId="0" xfId="0" applyFont="1" applyFill="1" applyAlignment="1">
      <alignment horizontal="center"/>
    </xf>
    <xf numFmtId="3" fontId="0" fillId="20" borderId="33" xfId="0" applyNumberFormat="1" applyFill="1" applyBorder="1"/>
    <xf numFmtId="0" fontId="18" fillId="0" borderId="33" xfId="0" applyFont="1" applyFill="1" applyBorder="1" applyAlignment="1">
      <alignment horizontal="center" vertical="center"/>
    </xf>
    <xf numFmtId="0" fontId="20" fillId="0" borderId="33" xfId="0" applyNumberFormat="1" applyFont="1" applyFill="1" applyBorder="1" applyAlignment="1">
      <alignment horizontal="center" vertical="center"/>
    </xf>
    <xf numFmtId="0" fontId="18" fillId="0" borderId="33" xfId="0" applyNumberFormat="1" applyFont="1" applyFill="1" applyBorder="1" applyAlignment="1">
      <alignment shrinkToFit="1"/>
    </xf>
    <xf numFmtId="0" fontId="18" fillId="0" borderId="33" xfId="0" applyFont="1" applyFill="1" applyBorder="1" applyAlignment="1">
      <alignment shrinkToFit="1"/>
    </xf>
    <xf numFmtId="14" fontId="18" fillId="0" borderId="33" xfId="0" applyNumberFormat="1" applyFont="1" applyFill="1" applyBorder="1" applyAlignment="1">
      <alignment shrinkToFit="1"/>
    </xf>
    <xf numFmtId="3" fontId="0" fillId="0" borderId="33" xfId="0" applyNumberFormat="1" applyFill="1" applyBorder="1"/>
    <xf numFmtId="0" fontId="0" fillId="0" borderId="33" xfId="0" applyFill="1" applyBorder="1" applyAlignment="1">
      <alignment horizontal="center"/>
    </xf>
    <xf numFmtId="0" fontId="0" fillId="0" borderId="33" xfId="0" applyFill="1" applyBorder="1"/>
    <xf numFmtId="0" fontId="0" fillId="0" borderId="34" xfId="0" applyFill="1" applyBorder="1"/>
    <xf numFmtId="0" fontId="0" fillId="20" borderId="4" xfId="0" applyFont="1" applyFill="1" applyBorder="1" applyAlignment="1">
      <alignment horizontal="right"/>
    </xf>
    <xf numFmtId="3" fontId="0" fillId="20" borderId="4" xfId="0" applyNumberFormat="1" applyFont="1" applyFill="1" applyBorder="1"/>
    <xf numFmtId="0" fontId="0" fillId="20" borderId="0" xfId="0" applyFont="1" applyFill="1" applyAlignment="1">
      <alignment horizontal="center"/>
    </xf>
    <xf numFmtId="0" fontId="0" fillId="20" borderId="0" xfId="0" quotePrefix="1" applyFont="1" applyFill="1"/>
    <xf numFmtId="0" fontId="0" fillId="20" borderId="0" xfId="0" applyFont="1" applyFill="1"/>
    <xf numFmtId="0" fontId="0" fillId="20" borderId="4" xfId="0" applyFont="1" applyFill="1" applyBorder="1" applyAlignment="1">
      <alignment horizontal="center"/>
    </xf>
    <xf numFmtId="0" fontId="0" fillId="20" borderId="4" xfId="0" applyFont="1" applyFill="1" applyBorder="1"/>
    <xf numFmtId="0" fontId="88" fillId="20" borderId="42" xfId="1" applyFont="1" applyFill="1" applyBorder="1" applyAlignment="1" applyProtection="1">
      <alignment horizontal="center"/>
      <protection hidden="1"/>
    </xf>
    <xf numFmtId="0" fontId="20" fillId="0" borderId="4" xfId="0" applyFont="1" applyBorder="1" applyAlignment="1" applyProtection="1">
      <alignment horizontal="center" vertical="center"/>
    </xf>
    <xf numFmtId="14" fontId="20" fillId="0" borderId="4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Fill="1" applyAlignment="1">
      <alignment horizontal="center"/>
    </xf>
    <xf numFmtId="14" fontId="18" fillId="0" borderId="20" xfId="0" applyNumberFormat="1" applyFont="1" applyBorder="1" applyAlignment="1" applyProtection="1">
      <alignment horizontal="center" vertical="center"/>
      <protection locked="0"/>
    </xf>
    <xf numFmtId="2" fontId="18" fillId="0" borderId="20" xfId="0" applyNumberFormat="1" applyFont="1" applyBorder="1" applyAlignment="1" applyProtection="1">
      <alignment horizontal="center" vertical="center"/>
      <protection locked="0"/>
    </xf>
    <xf numFmtId="0" fontId="22" fillId="0" borderId="5" xfId="0" applyFont="1" applyBorder="1" applyAlignment="1" applyProtection="1">
      <alignment horizontal="center" vertical="center"/>
    </xf>
    <xf numFmtId="0" fontId="60" fillId="0" borderId="5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0" fontId="25" fillId="0" borderId="5" xfId="0" applyFont="1" applyBorder="1" applyAlignment="1" applyProtection="1">
      <alignment horizontal="center" vertical="center"/>
    </xf>
    <xf numFmtId="14" fontId="59" fillId="0" borderId="5" xfId="0" applyNumberFormat="1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 shrinkToFit="1"/>
    </xf>
    <xf numFmtId="0" fontId="59" fillId="0" borderId="21" xfId="0" applyFont="1" applyBorder="1" applyAlignment="1">
      <alignment horizontal="center" vertical="center"/>
    </xf>
    <xf numFmtId="14" fontId="22" fillId="0" borderId="4" xfId="0" applyNumberFormat="1" applyFont="1" applyBorder="1" applyAlignment="1" applyProtection="1">
      <alignment horizontal="center" vertical="center"/>
      <protection locked="0"/>
    </xf>
    <xf numFmtId="0" fontId="58" fillId="0" borderId="0" xfId="0" applyFont="1" applyBorder="1" applyAlignment="1">
      <alignment horizontal="center" vertical="center" shrinkToFit="1"/>
    </xf>
    <xf numFmtId="0" fontId="40" fillId="0" borderId="9" xfId="0" applyFont="1" applyBorder="1" applyAlignment="1" applyProtection="1">
      <alignment horizontal="center" vertical="center"/>
      <protection locked="0"/>
    </xf>
    <xf numFmtId="0" fontId="64" fillId="0" borderId="0" xfId="0" applyFont="1" applyBorder="1" applyAlignment="1">
      <alignment horizontal="center" vertical="center" shrinkToFit="1"/>
    </xf>
    <xf numFmtId="0" fontId="24" fillId="0" borderId="4" xfId="0" applyFont="1" applyBorder="1" applyAlignment="1" applyProtection="1">
      <alignment horizontal="center" vertical="center"/>
    </xf>
    <xf numFmtId="0" fontId="59" fillId="0" borderId="15" xfId="0" applyFont="1" applyBorder="1" applyAlignment="1" applyProtection="1">
      <alignment horizontal="center"/>
      <protection locked="0"/>
    </xf>
    <xf numFmtId="14" fontId="74" fillId="0" borderId="10" xfId="0" applyNumberFormat="1" applyFont="1" applyBorder="1" applyAlignment="1" applyProtection="1">
      <alignment horizontal="center"/>
      <protection locked="0"/>
    </xf>
    <xf numFmtId="0" fontId="27" fillId="0" borderId="19" xfId="1396" applyFont="1" applyBorder="1" applyAlignment="1">
      <alignment horizontal="center"/>
    </xf>
    <xf numFmtId="0" fontId="27" fillId="19" borderId="19" xfId="1" applyFont="1" applyFill="1" applyBorder="1" applyAlignment="1" applyProtection="1">
      <alignment horizontal="center"/>
      <protection locked="0" hidden="1"/>
    </xf>
    <xf numFmtId="0" fontId="18" fillId="0" borderId="0" xfId="0" applyFont="1" applyAlignment="1">
      <alignment horizontal="center" vertical="center"/>
    </xf>
    <xf numFmtId="0" fontId="59" fillId="0" borderId="0" xfId="0" applyFont="1" applyAlignment="1">
      <alignment horizontal="center" shrinkToFit="1"/>
    </xf>
    <xf numFmtId="0" fontId="40" fillId="0" borderId="0" xfId="0" applyFont="1" applyBorder="1" applyAlignment="1" applyProtection="1">
      <alignment horizontal="center" vertical="center"/>
      <protection locked="0"/>
    </xf>
    <xf numFmtId="0" fontId="27" fillId="0" borderId="4" xfId="1396" applyFont="1" applyBorder="1" applyAlignment="1">
      <alignment horizontal="center"/>
    </xf>
    <xf numFmtId="0" fontId="27" fillId="19" borderId="4" xfId="1" applyFont="1" applyFill="1" applyBorder="1" applyAlignment="1" applyProtection="1">
      <alignment horizontal="center"/>
      <protection locked="0" hidden="1"/>
    </xf>
    <xf numFmtId="0" fontId="25" fillId="5" borderId="4" xfId="0" applyFont="1" applyFill="1" applyBorder="1" applyAlignment="1" applyProtection="1">
      <alignment horizontal="center" vertical="center" shrinkToFit="1"/>
      <protection locked="0"/>
    </xf>
    <xf numFmtId="0" fontId="25" fillId="5" borderId="4" xfId="0" applyFont="1" applyFill="1" applyBorder="1" applyAlignment="1" applyProtection="1">
      <alignment horizontal="center" vertical="center"/>
      <protection locked="0"/>
    </xf>
    <xf numFmtId="0" fontId="18" fillId="0" borderId="0" xfId="0" applyFont="1" applyFill="1" applyAlignment="1">
      <alignment horizontal="center" vertical="center"/>
    </xf>
    <xf numFmtId="0" fontId="81" fillId="5" borderId="4" xfId="0" applyFont="1" applyFill="1" applyBorder="1" applyAlignment="1" applyProtection="1">
      <alignment horizontal="center" vertical="center" shrinkToFit="1"/>
      <protection locked="0"/>
    </xf>
    <xf numFmtId="0" fontId="18" fillId="5" borderId="4" xfId="0" applyFont="1" applyFill="1" applyBorder="1" applyAlignment="1" applyProtection="1">
      <alignment horizontal="center" vertical="center" shrinkToFit="1"/>
      <protection locked="0"/>
    </xf>
    <xf numFmtId="0" fontId="59" fillId="0" borderId="4" xfId="0" applyFont="1" applyBorder="1" applyAlignment="1">
      <alignment horizontal="center" shrinkToFit="1"/>
    </xf>
    <xf numFmtId="0" fontId="20" fillId="5" borderId="4" xfId="0" applyFont="1" applyFill="1" applyBorder="1" applyAlignment="1" applyProtection="1">
      <alignment horizontal="center" vertical="center" shrinkToFit="1"/>
      <protection locked="0"/>
    </xf>
    <xf numFmtId="0" fontId="61" fillId="0" borderId="0" xfId="0" applyFont="1" applyAlignment="1">
      <alignment horizontal="center"/>
    </xf>
    <xf numFmtId="0" fontId="65" fillId="0" borderId="0" xfId="0" applyFont="1" applyAlignment="1">
      <alignment horizontal="center" vertical="center"/>
    </xf>
    <xf numFmtId="0" fontId="19" fillId="0" borderId="4" xfId="0" applyFont="1" applyBorder="1" applyAlignment="1" applyProtection="1">
      <alignment horizontal="center" vertical="center" shrinkToFit="1"/>
      <protection locked="0"/>
    </xf>
    <xf numFmtId="0" fontId="87" fillId="0" borderId="4" xfId="1396" applyFont="1" applyBorder="1" applyAlignment="1">
      <alignment horizontal="center"/>
    </xf>
    <xf numFmtId="0" fontId="87" fillId="19" borderId="4" xfId="1" applyFont="1" applyFill="1" applyBorder="1" applyAlignment="1" applyProtection="1">
      <alignment horizontal="center"/>
      <protection locked="0" hidden="1"/>
    </xf>
    <xf numFmtId="0" fontId="19" fillId="0" borderId="0" xfId="0" applyFont="1" applyAlignment="1">
      <alignment horizontal="center" vertical="center"/>
    </xf>
    <xf numFmtId="0" fontId="60" fillId="0" borderId="5" xfId="0" applyFont="1" applyBorder="1" applyAlignment="1">
      <alignment horizontal="center" vertical="center" shrinkToFit="1"/>
    </xf>
    <xf numFmtId="0" fontId="21" fillId="0" borderId="4" xfId="0" applyFont="1" applyBorder="1" applyAlignment="1" applyProtection="1">
      <alignment horizontal="center" vertical="center"/>
      <protection locked="0"/>
    </xf>
    <xf numFmtId="0" fontId="21" fillId="0" borderId="4" xfId="0" applyFont="1" applyBorder="1" applyAlignment="1" applyProtection="1">
      <alignment horizontal="center" vertical="center"/>
    </xf>
    <xf numFmtId="14" fontId="21" fillId="0" borderId="4" xfId="0" applyNumberFormat="1" applyFont="1" applyBorder="1" applyAlignment="1" applyProtection="1">
      <alignment horizontal="center" vertical="center"/>
      <protection locked="0"/>
    </xf>
    <xf numFmtId="0" fontId="61" fillId="0" borderId="4" xfId="0" applyFont="1" applyBorder="1" applyAlignment="1">
      <alignment horizontal="center" vertical="center"/>
    </xf>
    <xf numFmtId="14" fontId="61" fillId="0" borderId="4" xfId="0" applyNumberFormat="1" applyFont="1" applyBorder="1" applyAlignment="1">
      <alignment horizontal="center" vertical="center"/>
    </xf>
    <xf numFmtId="14" fontId="89" fillId="0" borderId="4" xfId="0" applyNumberFormat="1" applyFont="1" applyBorder="1" applyAlignment="1" applyProtection="1">
      <alignment horizontal="center" vertical="center"/>
    </xf>
    <xf numFmtId="0" fontId="68" fillId="0" borderId="4" xfId="0" applyFont="1" applyBorder="1" applyAlignment="1">
      <alignment horizontal="center" vertical="center"/>
    </xf>
    <xf numFmtId="0" fontId="68" fillId="0" borderId="4" xfId="0" applyFont="1" applyBorder="1" applyAlignment="1">
      <alignment horizontal="center" vertical="center" shrinkToFit="1"/>
    </xf>
    <xf numFmtId="14" fontId="68" fillId="0" borderId="4" xfId="0" applyNumberFormat="1" applyFont="1" applyBorder="1" applyAlignment="1">
      <alignment horizontal="center" vertical="center"/>
    </xf>
    <xf numFmtId="0" fontId="90" fillId="0" borderId="4" xfId="0" applyFont="1" applyBorder="1" applyAlignment="1" applyProtection="1">
      <alignment horizontal="center" vertical="center"/>
      <protection locked="0"/>
    </xf>
    <xf numFmtId="0" fontId="90" fillId="0" borderId="4" xfId="0" applyFont="1" applyBorder="1" applyAlignment="1" applyProtection="1">
      <alignment horizontal="center" vertical="center" shrinkToFit="1"/>
      <protection locked="0"/>
    </xf>
    <xf numFmtId="0" fontId="90" fillId="0" borderId="4" xfId="0" applyFont="1" applyBorder="1" applyAlignment="1">
      <alignment horizontal="center" vertical="center"/>
    </xf>
    <xf numFmtId="0" fontId="68" fillId="0" borderId="4" xfId="0" applyFont="1" applyBorder="1" applyAlignment="1">
      <alignment horizontal="center"/>
    </xf>
    <xf numFmtId="14" fontId="90" fillId="0" borderId="4" xfId="0" applyNumberFormat="1" applyFont="1" applyBorder="1" applyAlignment="1">
      <alignment horizontal="center" vertical="center"/>
    </xf>
    <xf numFmtId="0" fontId="46" fillId="14" borderId="19" xfId="3" applyFont="1" applyFill="1" applyBorder="1" applyAlignment="1">
      <alignment horizontal="center" vertical="center" wrapText="1"/>
    </xf>
    <xf numFmtId="0" fontId="46" fillId="14" borderId="24" xfId="3" applyFont="1" applyFill="1" applyBorder="1" applyAlignment="1">
      <alignment horizontal="center" vertical="center" wrapText="1"/>
    </xf>
    <xf numFmtId="0" fontId="46" fillId="14" borderId="20" xfId="3" applyFont="1" applyFill="1" applyBorder="1" applyAlignment="1">
      <alignment horizontal="center" vertical="center" wrapText="1"/>
    </xf>
    <xf numFmtId="0" fontId="48" fillId="10" borderId="4" xfId="3" applyFont="1" applyFill="1" applyBorder="1" applyAlignment="1">
      <alignment horizontal="center"/>
    </xf>
    <xf numFmtId="0" fontId="45" fillId="10" borderId="25" xfId="3" applyFont="1" applyFill="1" applyBorder="1" applyAlignment="1" applyProtection="1">
      <alignment horizontal="center" vertical="center"/>
      <protection locked="0"/>
    </xf>
    <xf numFmtId="0" fontId="45" fillId="10" borderId="26" xfId="3" applyFont="1" applyFill="1" applyBorder="1" applyAlignment="1" applyProtection="1">
      <alignment horizontal="center" vertical="center"/>
      <protection locked="0"/>
    </xf>
    <xf numFmtId="0" fontId="45" fillId="10" borderId="27" xfId="3" applyFont="1" applyFill="1" applyBorder="1" applyAlignment="1" applyProtection="1">
      <alignment horizontal="center" vertical="center"/>
      <protection locked="0"/>
    </xf>
    <xf numFmtId="0" fontId="45" fillId="10" borderId="28" xfId="3" applyFont="1" applyFill="1" applyBorder="1" applyAlignment="1" applyProtection="1">
      <alignment horizontal="center" vertical="center"/>
      <protection locked="0"/>
    </xf>
    <xf numFmtId="0" fontId="46" fillId="12" borderId="19" xfId="3" applyFont="1" applyFill="1" applyBorder="1" applyAlignment="1">
      <alignment horizontal="center" vertical="center" wrapText="1"/>
    </xf>
    <xf numFmtId="0" fontId="46" fillId="12" borderId="24" xfId="3" applyFont="1" applyFill="1" applyBorder="1" applyAlignment="1">
      <alignment horizontal="center" vertical="center" wrapText="1"/>
    </xf>
    <xf numFmtId="0" fontId="46" fillId="12" borderId="20" xfId="3" applyFont="1" applyFill="1" applyBorder="1" applyAlignment="1">
      <alignment horizontal="center" vertical="center" wrapText="1"/>
    </xf>
    <xf numFmtId="0" fontId="47" fillId="8" borderId="19" xfId="3" applyFont="1" applyFill="1" applyBorder="1" applyAlignment="1">
      <alignment horizontal="center" vertical="center" wrapText="1"/>
    </xf>
    <xf numFmtId="0" fontId="47" fillId="8" borderId="24" xfId="3" applyFont="1" applyFill="1" applyBorder="1" applyAlignment="1">
      <alignment horizontal="center" vertical="center" wrapText="1"/>
    </xf>
    <xf numFmtId="0" fontId="47" fillId="8" borderId="20" xfId="3" applyFont="1" applyFill="1" applyBorder="1" applyAlignment="1">
      <alignment horizontal="center" vertical="center" wrapText="1"/>
    </xf>
    <xf numFmtId="0" fontId="46" fillId="13" borderId="19" xfId="3" applyFont="1" applyFill="1" applyBorder="1" applyAlignment="1">
      <alignment horizontal="center" vertical="center" wrapText="1"/>
    </xf>
    <xf numFmtId="0" fontId="46" fillId="13" borderId="24" xfId="3" applyFont="1" applyFill="1" applyBorder="1" applyAlignment="1">
      <alignment horizontal="center" vertical="center" wrapText="1"/>
    </xf>
    <xf numFmtId="0" fontId="46" fillId="13" borderId="20" xfId="3" applyFont="1" applyFill="1" applyBorder="1" applyAlignment="1">
      <alignment horizontal="center" vertical="center" wrapText="1"/>
    </xf>
    <xf numFmtId="0" fontId="44" fillId="11" borderId="19" xfId="3" applyFont="1" applyFill="1" applyBorder="1" applyAlignment="1">
      <alignment horizontal="center" vertical="center"/>
    </xf>
    <xf numFmtId="0" fontId="44" fillId="11" borderId="24" xfId="3" applyFont="1" applyFill="1" applyBorder="1" applyAlignment="1">
      <alignment horizontal="center" vertical="center"/>
    </xf>
    <xf numFmtId="0" fontId="48" fillId="8" borderId="3" xfId="3" applyFont="1" applyFill="1" applyBorder="1" applyAlignment="1">
      <alignment horizontal="center"/>
    </xf>
    <xf numFmtId="0" fontId="48" fillId="10" borderId="19" xfId="3" applyFont="1" applyFill="1" applyBorder="1" applyAlignment="1">
      <alignment horizontal="center"/>
    </xf>
    <xf numFmtId="0" fontId="48" fillId="10" borderId="20" xfId="3" applyFont="1" applyFill="1" applyBorder="1" applyAlignment="1">
      <alignment horizontal="center"/>
    </xf>
    <xf numFmtId="0" fontId="58" fillId="0" borderId="0" xfId="0" applyFont="1" applyBorder="1" applyAlignment="1">
      <alignment horizontal="center" vertical="center" shrinkToFit="1"/>
    </xf>
    <xf numFmtId="0" fontId="40" fillId="0" borderId="32" xfId="0" applyFont="1" applyBorder="1" applyAlignment="1" applyProtection="1">
      <alignment horizontal="center" vertical="center"/>
      <protection locked="0"/>
    </xf>
    <xf numFmtId="0" fontId="40" fillId="0" borderId="9" xfId="0" applyFont="1" applyBorder="1" applyAlignment="1" applyProtection="1">
      <alignment horizontal="center" vertical="center"/>
      <protection locked="0"/>
    </xf>
    <xf numFmtId="0" fontId="40" fillId="0" borderId="15" xfId="0" applyFont="1" applyBorder="1" applyAlignment="1" applyProtection="1">
      <alignment horizontal="center"/>
      <protection locked="0"/>
    </xf>
    <xf numFmtId="0" fontId="40" fillId="0" borderId="9" xfId="0" applyFont="1" applyBorder="1" applyAlignment="1" applyProtection="1">
      <alignment horizontal="center"/>
      <protection locked="0"/>
    </xf>
    <xf numFmtId="0" fontId="64" fillId="0" borderId="0" xfId="0" applyFont="1" applyBorder="1" applyAlignment="1">
      <alignment horizontal="center" vertical="center" shrinkToFit="1"/>
    </xf>
    <xf numFmtId="0" fontId="58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0" fillId="8" borderId="36" xfId="0" applyFont="1" applyFill="1" applyBorder="1" applyAlignment="1">
      <alignment horizontal="center"/>
    </xf>
    <xf numFmtId="0" fontId="40" fillId="8" borderId="0" xfId="0" applyFont="1" applyFill="1" applyBorder="1" applyAlignment="1">
      <alignment horizontal="center"/>
    </xf>
    <xf numFmtId="0" fontId="40" fillId="8" borderId="37" xfId="0" applyFont="1" applyFill="1" applyBorder="1" applyAlignment="1">
      <alignment horizontal="center"/>
    </xf>
    <xf numFmtId="0" fontId="40" fillId="8" borderId="38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shrinkToFit="1"/>
    </xf>
    <xf numFmtId="0" fontId="32" fillId="8" borderId="12" xfId="0" applyFont="1" applyFill="1" applyBorder="1" applyAlignment="1">
      <alignment horizontal="center" vertical="center"/>
    </xf>
    <xf numFmtId="0" fontId="32" fillId="8" borderId="6" xfId="0" applyFont="1" applyFill="1" applyBorder="1" applyAlignment="1">
      <alignment horizontal="center" vertical="center"/>
    </xf>
    <xf numFmtId="0" fontId="32" fillId="8" borderId="7" xfId="0" applyFont="1" applyFill="1" applyBorder="1" applyAlignment="1">
      <alignment horizontal="center" vertical="center"/>
    </xf>
  </cellXfs>
  <cellStyles count="1423">
    <cellStyle name="Hiperlink 2" xfId="964"/>
    <cellStyle name="Hyperlink 2" xfId="2"/>
    <cellStyle name="Normal" xfId="0" builtinId="0"/>
    <cellStyle name="Normal 10" xfId="3"/>
    <cellStyle name="Normal 100" xfId="4"/>
    <cellStyle name="Normal 101" xfId="5"/>
    <cellStyle name="Normal 102" xfId="6"/>
    <cellStyle name="Normal 103" xfId="7"/>
    <cellStyle name="Normal 104" xfId="8"/>
    <cellStyle name="Normal 105" xfId="9"/>
    <cellStyle name="Normal 106" xfId="10"/>
    <cellStyle name="Normal 107" xfId="11"/>
    <cellStyle name="Normal 108" xfId="12"/>
    <cellStyle name="Normal 109" xfId="13"/>
    <cellStyle name="Normal 11" xfId="14"/>
    <cellStyle name="Normal 110" xfId="15"/>
    <cellStyle name="Normal 111" xfId="16"/>
    <cellStyle name="Normal 112" xfId="17"/>
    <cellStyle name="Normal 113" xfId="18"/>
    <cellStyle name="Normal 114" xfId="19"/>
    <cellStyle name="Normal 115" xfId="20"/>
    <cellStyle name="Normal 116" xfId="21"/>
    <cellStyle name="Normal 117" xfId="22"/>
    <cellStyle name="Normal 118" xfId="23"/>
    <cellStyle name="Normal 119" xfId="24"/>
    <cellStyle name="Normal 12" xfId="25"/>
    <cellStyle name="Normal 120" xfId="26"/>
    <cellStyle name="Normal 121" xfId="27"/>
    <cellStyle name="Normal 122" xfId="28"/>
    <cellStyle name="Normal 123" xfId="29"/>
    <cellStyle name="Normal 124" xfId="30"/>
    <cellStyle name="Normal 125" xfId="31"/>
    <cellStyle name="Normal 126" xfId="32"/>
    <cellStyle name="Normal 127" xfId="33"/>
    <cellStyle name="Normal 128" xfId="34"/>
    <cellStyle name="Normal 129" xfId="35"/>
    <cellStyle name="Normal 13" xfId="36"/>
    <cellStyle name="Normal 130" xfId="37"/>
    <cellStyle name="Normal 131" xfId="38"/>
    <cellStyle name="Normal 132" xfId="39"/>
    <cellStyle name="Normal 133" xfId="40"/>
    <cellStyle name="Normal 134" xfId="41"/>
    <cellStyle name="Normal 135" xfId="42"/>
    <cellStyle name="Normal 136" xfId="43"/>
    <cellStyle name="Normal 137" xfId="44"/>
    <cellStyle name="Normal 138" xfId="45"/>
    <cellStyle name="Normal 139" xfId="46"/>
    <cellStyle name="Normal 14" xfId="1396"/>
    <cellStyle name="Normal 140" xfId="47"/>
    <cellStyle name="Normal 141" xfId="48"/>
    <cellStyle name="Normal 142" xfId="49"/>
    <cellStyle name="Normal 143" xfId="50"/>
    <cellStyle name="Normal 144" xfId="51"/>
    <cellStyle name="Normal 145" xfId="961"/>
    <cellStyle name="Normal 145 2" xfId="1402"/>
    <cellStyle name="Normal 15" xfId="52"/>
    <cellStyle name="Normal 16" xfId="53"/>
    <cellStyle name="Normal 17" xfId="54"/>
    <cellStyle name="Normal 18" xfId="55"/>
    <cellStyle name="Normal 19" xfId="56"/>
    <cellStyle name="Normal 2" xfId="1"/>
    <cellStyle name="Normal 2 10" xfId="57"/>
    <cellStyle name="Normal 2 100" xfId="58"/>
    <cellStyle name="Normal 2 101" xfId="59"/>
    <cellStyle name="Normal 2 102" xfId="60"/>
    <cellStyle name="Normal 2 103" xfId="61"/>
    <cellStyle name="Normal 2 104" xfId="62"/>
    <cellStyle name="Normal 2 105" xfId="63"/>
    <cellStyle name="Normal 2 106" xfId="64"/>
    <cellStyle name="Normal 2 107" xfId="65"/>
    <cellStyle name="Normal 2 108" xfId="66"/>
    <cellStyle name="Normal 2 109" xfId="67"/>
    <cellStyle name="Normal 2 11" xfId="68"/>
    <cellStyle name="Normal 2 110" xfId="69"/>
    <cellStyle name="Normal 2 111" xfId="70"/>
    <cellStyle name="Normal 2 112" xfId="71"/>
    <cellStyle name="Normal 2 113" xfId="72"/>
    <cellStyle name="Normal 2 114" xfId="73"/>
    <cellStyle name="Normal 2 115" xfId="74"/>
    <cellStyle name="Normal 2 116" xfId="75"/>
    <cellStyle name="Normal 2 117" xfId="76"/>
    <cellStyle name="Normal 2 118" xfId="77"/>
    <cellStyle name="Normal 2 119" xfId="78"/>
    <cellStyle name="Normal 2 12" xfId="79"/>
    <cellStyle name="Normal 2 120" xfId="80"/>
    <cellStyle name="Normal 2 121" xfId="81"/>
    <cellStyle name="Normal 2 122" xfId="82"/>
    <cellStyle name="Normal 2 123" xfId="83"/>
    <cellStyle name="Normal 2 124" xfId="84"/>
    <cellStyle name="Normal 2 125" xfId="85"/>
    <cellStyle name="Normal 2 126" xfId="86"/>
    <cellStyle name="Normal 2 127" xfId="87"/>
    <cellStyle name="Normal 2 128" xfId="88"/>
    <cellStyle name="Normal 2 129" xfId="89"/>
    <cellStyle name="Normal 2 13" xfId="90"/>
    <cellStyle name="Normal 2 130" xfId="91"/>
    <cellStyle name="Normal 2 131" xfId="92"/>
    <cellStyle name="Normal 2 132" xfId="93"/>
    <cellStyle name="Normal 2 133" xfId="94"/>
    <cellStyle name="Normal 2 134" xfId="95"/>
    <cellStyle name="Normal 2 135" xfId="96"/>
    <cellStyle name="Normal 2 136" xfId="97"/>
    <cellStyle name="Normal 2 137" xfId="98"/>
    <cellStyle name="Normal 2 14" xfId="99"/>
    <cellStyle name="Normal 2 15" xfId="100"/>
    <cellStyle name="Normal 2 16" xfId="101"/>
    <cellStyle name="Normal 2 17" xfId="102"/>
    <cellStyle name="Normal 2 18" xfId="103"/>
    <cellStyle name="Normal 2 19" xfId="104"/>
    <cellStyle name="Normal 2 2" xfId="105"/>
    <cellStyle name="Normal 2 20" xfId="106"/>
    <cellStyle name="Normal 2 21" xfId="107"/>
    <cellStyle name="Normal 2 22" xfId="108"/>
    <cellStyle name="Normal 2 23" xfId="109"/>
    <cellStyle name="Normal 2 24" xfId="110"/>
    <cellStyle name="Normal 2 25" xfId="111"/>
    <cellStyle name="Normal 2 26" xfId="112"/>
    <cellStyle name="Normal 2 27" xfId="113"/>
    <cellStyle name="Normal 2 28" xfId="114"/>
    <cellStyle name="Normal 2 29" xfId="115"/>
    <cellStyle name="Normal 2 3" xfId="116"/>
    <cellStyle name="Normal 2 30" xfId="117"/>
    <cellStyle name="Normal 2 31" xfId="118"/>
    <cellStyle name="Normal 2 32" xfId="119"/>
    <cellStyle name="Normal 2 33" xfId="120"/>
    <cellStyle name="Normal 2 34" xfId="121"/>
    <cellStyle name="Normal 2 35" xfId="122"/>
    <cellStyle name="Normal 2 36" xfId="123"/>
    <cellStyle name="Normal 2 37" xfId="124"/>
    <cellStyle name="Normal 2 38" xfId="125"/>
    <cellStyle name="Normal 2 39" xfId="126"/>
    <cellStyle name="Normal 2 4" xfId="127"/>
    <cellStyle name="Normal 2 40" xfId="128"/>
    <cellStyle name="Normal 2 41" xfId="129"/>
    <cellStyle name="Normal 2 42" xfId="130"/>
    <cellStyle name="Normal 2 43" xfId="131"/>
    <cellStyle name="Normal 2 44" xfId="132"/>
    <cellStyle name="Normal 2 45" xfId="133"/>
    <cellStyle name="Normal 2 46" xfId="134"/>
    <cellStyle name="Normal 2 47" xfId="135"/>
    <cellStyle name="Normal 2 48" xfId="136"/>
    <cellStyle name="Normal 2 49" xfId="137"/>
    <cellStyle name="Normal 2 5" xfId="138"/>
    <cellStyle name="Normal 2 50" xfId="139"/>
    <cellStyle name="Normal 2 51" xfId="140"/>
    <cellStyle name="Normal 2 52" xfId="141"/>
    <cellStyle name="Normal 2 53" xfId="142"/>
    <cellStyle name="Normal 2 54" xfId="143"/>
    <cellStyle name="Normal 2 55" xfId="144"/>
    <cellStyle name="Normal 2 56" xfId="145"/>
    <cellStyle name="Normal 2 57" xfId="146"/>
    <cellStyle name="Normal 2 58" xfId="147"/>
    <cellStyle name="Normal 2 59" xfId="148"/>
    <cellStyle name="Normal 2 6" xfId="149"/>
    <cellStyle name="Normal 2 60" xfId="150"/>
    <cellStyle name="Normal 2 61" xfId="151"/>
    <cellStyle name="Normal 2 62" xfId="152"/>
    <cellStyle name="Normal 2 63" xfId="153"/>
    <cellStyle name="Normal 2 64" xfId="154"/>
    <cellStyle name="Normal 2 65" xfId="155"/>
    <cellStyle name="Normal 2 66" xfId="156"/>
    <cellStyle name="Normal 2 67" xfId="157"/>
    <cellStyle name="Normal 2 68" xfId="158"/>
    <cellStyle name="Normal 2 69" xfId="159"/>
    <cellStyle name="Normal 2 7" xfId="160"/>
    <cellStyle name="Normal 2 70" xfId="161"/>
    <cellStyle name="Normal 2 71" xfId="162"/>
    <cellStyle name="Normal 2 72" xfId="163"/>
    <cellStyle name="Normal 2 73" xfId="164"/>
    <cellStyle name="Normal 2 74" xfId="165"/>
    <cellStyle name="Normal 2 75" xfId="166"/>
    <cellStyle name="Normal 2 76" xfId="167"/>
    <cellStyle name="Normal 2 77" xfId="168"/>
    <cellStyle name="Normal 2 78" xfId="169"/>
    <cellStyle name="Normal 2 79" xfId="170"/>
    <cellStyle name="Normal 2 8" xfId="171"/>
    <cellStyle name="Normal 2 80" xfId="172"/>
    <cellStyle name="Normal 2 81" xfId="173"/>
    <cellStyle name="Normal 2 82" xfId="174"/>
    <cellStyle name="Normal 2 83" xfId="175"/>
    <cellStyle name="Normal 2 84" xfId="176"/>
    <cellStyle name="Normal 2 85" xfId="177"/>
    <cellStyle name="Normal 2 86" xfId="178"/>
    <cellStyle name="Normal 2 87" xfId="179"/>
    <cellStyle name="Normal 2 88" xfId="180"/>
    <cellStyle name="Normal 2 89" xfId="181"/>
    <cellStyle name="Normal 2 9" xfId="182"/>
    <cellStyle name="Normal 2 90" xfId="183"/>
    <cellStyle name="Normal 2 91" xfId="184"/>
    <cellStyle name="Normal 2 92" xfId="185"/>
    <cellStyle name="Normal 2 93" xfId="186"/>
    <cellStyle name="Normal 2 94" xfId="187"/>
    <cellStyle name="Normal 2 95" xfId="188"/>
    <cellStyle name="Normal 2 96" xfId="189"/>
    <cellStyle name="Normal 2 97" xfId="190"/>
    <cellStyle name="Normal 2 98" xfId="191"/>
    <cellStyle name="Normal 2 99" xfId="192"/>
    <cellStyle name="Normal 20" xfId="193"/>
    <cellStyle name="Normal 21" xfId="194"/>
    <cellStyle name="Normal 22" xfId="195"/>
    <cellStyle name="Normal 23" xfId="196"/>
    <cellStyle name="Normal 24" xfId="197"/>
    <cellStyle name="Normal 25" xfId="198"/>
    <cellStyle name="Normal 26" xfId="199"/>
    <cellStyle name="Normal 27" xfId="200"/>
    <cellStyle name="Normal 28" xfId="201"/>
    <cellStyle name="Normal 29" xfId="202"/>
    <cellStyle name="Normal 3" xfId="203"/>
    <cellStyle name="Normal 3 10" xfId="204"/>
    <cellStyle name="Normal 3 100" xfId="205"/>
    <cellStyle name="Normal 3 101" xfId="206"/>
    <cellStyle name="Normal 3 102" xfId="207"/>
    <cellStyle name="Normal 3 103" xfId="208"/>
    <cellStyle name="Normal 3 104" xfId="209"/>
    <cellStyle name="Normal 3 105" xfId="210"/>
    <cellStyle name="Normal 3 106" xfId="211"/>
    <cellStyle name="Normal 3 107" xfId="212"/>
    <cellStyle name="Normal 3 108" xfId="213"/>
    <cellStyle name="Normal 3 109" xfId="214"/>
    <cellStyle name="Normal 3 11" xfId="215"/>
    <cellStyle name="Normal 3 110" xfId="216"/>
    <cellStyle name="Normal 3 111" xfId="217"/>
    <cellStyle name="Normal 3 112" xfId="218"/>
    <cellStyle name="Normal 3 113" xfId="219"/>
    <cellStyle name="Normal 3 114" xfId="220"/>
    <cellStyle name="Normal 3 115" xfId="221"/>
    <cellStyle name="Normal 3 116" xfId="222"/>
    <cellStyle name="Normal 3 117" xfId="223"/>
    <cellStyle name="Normal 3 118" xfId="224"/>
    <cellStyle name="Normal 3 119" xfId="225"/>
    <cellStyle name="Normal 3 12" xfId="226"/>
    <cellStyle name="Normal 3 120" xfId="227"/>
    <cellStyle name="Normal 3 121" xfId="228"/>
    <cellStyle name="Normal 3 122" xfId="229"/>
    <cellStyle name="Normal 3 123" xfId="230"/>
    <cellStyle name="Normal 3 124" xfId="231"/>
    <cellStyle name="Normal 3 125" xfId="232"/>
    <cellStyle name="Normal 3 126" xfId="233"/>
    <cellStyle name="Normal 3 127" xfId="234"/>
    <cellStyle name="Normal 3 128" xfId="235"/>
    <cellStyle name="Normal 3 129" xfId="236"/>
    <cellStyle name="Normal 3 13" xfId="237"/>
    <cellStyle name="Normal 3 130" xfId="238"/>
    <cellStyle name="Normal 3 131" xfId="239"/>
    <cellStyle name="Normal 3 132" xfId="240"/>
    <cellStyle name="Normal 3 133" xfId="241"/>
    <cellStyle name="Normal 3 134" xfId="242"/>
    <cellStyle name="Normal 3 135" xfId="243"/>
    <cellStyle name="Normal 3 136" xfId="244"/>
    <cellStyle name="Normal 3 137" xfId="963"/>
    <cellStyle name="Normal 3 138" xfId="1247"/>
    <cellStyle name="Normal 3 139" xfId="962"/>
    <cellStyle name="Normal 3 14" xfId="245"/>
    <cellStyle name="Normal 3 15" xfId="246"/>
    <cellStyle name="Normal 3 16" xfId="247"/>
    <cellStyle name="Normal 3 17" xfId="248"/>
    <cellStyle name="Normal 3 18" xfId="249"/>
    <cellStyle name="Normal 3 19" xfId="250"/>
    <cellStyle name="Normal 3 2" xfId="251"/>
    <cellStyle name="Normal 3 20" xfId="252"/>
    <cellStyle name="Normal 3 21" xfId="253"/>
    <cellStyle name="Normal 3 22" xfId="254"/>
    <cellStyle name="Normal 3 23" xfId="255"/>
    <cellStyle name="Normal 3 24" xfId="256"/>
    <cellStyle name="Normal 3 25" xfId="257"/>
    <cellStyle name="Normal 3 26" xfId="258"/>
    <cellStyle name="Normal 3 27" xfId="259"/>
    <cellStyle name="Normal 3 28" xfId="260"/>
    <cellStyle name="Normal 3 29" xfId="261"/>
    <cellStyle name="Normal 3 3" xfId="262"/>
    <cellStyle name="Normal 3 30" xfId="263"/>
    <cellStyle name="Normal 3 31" xfId="264"/>
    <cellStyle name="Normal 3 32" xfId="265"/>
    <cellStyle name="Normal 3 33" xfId="266"/>
    <cellStyle name="Normal 3 34" xfId="267"/>
    <cellStyle name="Normal 3 35" xfId="268"/>
    <cellStyle name="Normal 3 36" xfId="269"/>
    <cellStyle name="Normal 3 37" xfId="270"/>
    <cellStyle name="Normal 3 38" xfId="271"/>
    <cellStyle name="Normal 3 39" xfId="272"/>
    <cellStyle name="Normal 3 4" xfId="273"/>
    <cellStyle name="Normal 3 40" xfId="274"/>
    <cellStyle name="Normal 3 41" xfId="275"/>
    <cellStyle name="Normal 3 42" xfId="276"/>
    <cellStyle name="Normal 3 43" xfId="277"/>
    <cellStyle name="Normal 3 44" xfId="278"/>
    <cellStyle name="Normal 3 45" xfId="279"/>
    <cellStyle name="Normal 3 46" xfId="280"/>
    <cellStyle name="Normal 3 47" xfId="281"/>
    <cellStyle name="Normal 3 48" xfId="282"/>
    <cellStyle name="Normal 3 49" xfId="283"/>
    <cellStyle name="Normal 3 5" xfId="284"/>
    <cellStyle name="Normal 3 50" xfId="285"/>
    <cellStyle name="Normal 3 51" xfId="286"/>
    <cellStyle name="Normal 3 52" xfId="287"/>
    <cellStyle name="Normal 3 53" xfId="288"/>
    <cellStyle name="Normal 3 54" xfId="289"/>
    <cellStyle name="Normal 3 55" xfId="290"/>
    <cellStyle name="Normal 3 56" xfId="291"/>
    <cellStyle name="Normal 3 57" xfId="292"/>
    <cellStyle name="Normal 3 58" xfId="293"/>
    <cellStyle name="Normal 3 59" xfId="294"/>
    <cellStyle name="Normal 3 6" xfId="295"/>
    <cellStyle name="Normal 3 60" xfId="296"/>
    <cellStyle name="Normal 3 61" xfId="297"/>
    <cellStyle name="Normal 3 62" xfId="298"/>
    <cellStyle name="Normal 3 63" xfId="299"/>
    <cellStyle name="Normal 3 64" xfId="300"/>
    <cellStyle name="Normal 3 65" xfId="301"/>
    <cellStyle name="Normal 3 66" xfId="302"/>
    <cellStyle name="Normal 3 67" xfId="303"/>
    <cellStyle name="Normal 3 68" xfId="304"/>
    <cellStyle name="Normal 3 69" xfId="305"/>
    <cellStyle name="Normal 3 7" xfId="306"/>
    <cellStyle name="Normal 3 70" xfId="307"/>
    <cellStyle name="Normal 3 71" xfId="308"/>
    <cellStyle name="Normal 3 72" xfId="309"/>
    <cellStyle name="Normal 3 73" xfId="310"/>
    <cellStyle name="Normal 3 74" xfId="311"/>
    <cellStyle name="Normal 3 75" xfId="312"/>
    <cellStyle name="Normal 3 76" xfId="313"/>
    <cellStyle name="Normal 3 77" xfId="314"/>
    <cellStyle name="Normal 3 78" xfId="315"/>
    <cellStyle name="Normal 3 79" xfId="316"/>
    <cellStyle name="Normal 3 8" xfId="317"/>
    <cellStyle name="Normal 3 80" xfId="318"/>
    <cellStyle name="Normal 3 81" xfId="319"/>
    <cellStyle name="Normal 3 82" xfId="320"/>
    <cellStyle name="Normal 3 83" xfId="321"/>
    <cellStyle name="Normal 3 84" xfId="322"/>
    <cellStyle name="Normal 3 85" xfId="323"/>
    <cellStyle name="Normal 3 86" xfId="324"/>
    <cellStyle name="Normal 3 87" xfId="325"/>
    <cellStyle name="Normal 3 88" xfId="326"/>
    <cellStyle name="Normal 3 89" xfId="327"/>
    <cellStyle name="Normal 3 9" xfId="328"/>
    <cellStyle name="Normal 3 90" xfId="329"/>
    <cellStyle name="Normal 3 91" xfId="330"/>
    <cellStyle name="Normal 3 92" xfId="331"/>
    <cellStyle name="Normal 3 93" xfId="332"/>
    <cellStyle name="Normal 3 94" xfId="333"/>
    <cellStyle name="Normal 3 95" xfId="334"/>
    <cellStyle name="Normal 3 96" xfId="335"/>
    <cellStyle name="Normal 3 97" xfId="336"/>
    <cellStyle name="Normal 3 98" xfId="337"/>
    <cellStyle name="Normal 3 99" xfId="338"/>
    <cellStyle name="Normal 30" xfId="339"/>
    <cellStyle name="Normal 31" xfId="340"/>
    <cellStyle name="Normal 32" xfId="341"/>
    <cellStyle name="Normal 33" xfId="342"/>
    <cellStyle name="Normal 34" xfId="343"/>
    <cellStyle name="Normal 35" xfId="344"/>
    <cellStyle name="Normal 36" xfId="345"/>
    <cellStyle name="Normal 37" xfId="346"/>
    <cellStyle name="Normal 38" xfId="347"/>
    <cellStyle name="Normal 39" xfId="348"/>
    <cellStyle name="Normal 4" xfId="349"/>
    <cellStyle name="Normal 4 10" xfId="350"/>
    <cellStyle name="Normal 4 10 2" xfId="967"/>
    <cellStyle name="Normal 4 10 2 2" xfId="1251"/>
    <cellStyle name="Normal 4 10 3" xfId="1112"/>
    <cellStyle name="Normal 4 100" xfId="351"/>
    <cellStyle name="Normal 4 100 2" xfId="968"/>
    <cellStyle name="Normal 4 100 2 2" xfId="1252"/>
    <cellStyle name="Normal 4 100 3" xfId="1113"/>
    <cellStyle name="Normal 4 101" xfId="352"/>
    <cellStyle name="Normal 4 101 2" xfId="969"/>
    <cellStyle name="Normal 4 101 2 2" xfId="1253"/>
    <cellStyle name="Normal 4 101 3" xfId="1114"/>
    <cellStyle name="Normal 4 102" xfId="353"/>
    <cellStyle name="Normal 4 102 2" xfId="970"/>
    <cellStyle name="Normal 4 102 2 2" xfId="1254"/>
    <cellStyle name="Normal 4 102 3" xfId="1115"/>
    <cellStyle name="Normal 4 103" xfId="354"/>
    <cellStyle name="Normal 4 103 2" xfId="971"/>
    <cellStyle name="Normal 4 103 2 2" xfId="1255"/>
    <cellStyle name="Normal 4 103 3" xfId="1116"/>
    <cellStyle name="Normal 4 104" xfId="355"/>
    <cellStyle name="Normal 4 104 2" xfId="972"/>
    <cellStyle name="Normal 4 104 2 2" xfId="1256"/>
    <cellStyle name="Normal 4 104 3" xfId="1117"/>
    <cellStyle name="Normal 4 105" xfId="356"/>
    <cellStyle name="Normal 4 105 2" xfId="973"/>
    <cellStyle name="Normal 4 105 2 2" xfId="1257"/>
    <cellStyle name="Normal 4 105 3" xfId="1118"/>
    <cellStyle name="Normal 4 106" xfId="357"/>
    <cellStyle name="Normal 4 106 2" xfId="974"/>
    <cellStyle name="Normal 4 106 2 2" xfId="1258"/>
    <cellStyle name="Normal 4 106 3" xfId="1119"/>
    <cellStyle name="Normal 4 107" xfId="358"/>
    <cellStyle name="Normal 4 107 2" xfId="975"/>
    <cellStyle name="Normal 4 107 2 2" xfId="1259"/>
    <cellStyle name="Normal 4 107 3" xfId="1120"/>
    <cellStyle name="Normal 4 108" xfId="359"/>
    <cellStyle name="Normal 4 108 2" xfId="976"/>
    <cellStyle name="Normal 4 108 2 2" xfId="1260"/>
    <cellStyle name="Normal 4 108 3" xfId="1121"/>
    <cellStyle name="Normal 4 109" xfId="360"/>
    <cellStyle name="Normal 4 109 2" xfId="977"/>
    <cellStyle name="Normal 4 109 2 2" xfId="1261"/>
    <cellStyle name="Normal 4 109 3" xfId="1122"/>
    <cellStyle name="Normal 4 11" xfId="361"/>
    <cellStyle name="Normal 4 11 2" xfId="978"/>
    <cellStyle name="Normal 4 11 2 2" xfId="1262"/>
    <cellStyle name="Normal 4 11 3" xfId="1123"/>
    <cellStyle name="Normal 4 110" xfId="362"/>
    <cellStyle name="Normal 4 110 2" xfId="979"/>
    <cellStyle name="Normal 4 110 2 2" xfId="1263"/>
    <cellStyle name="Normal 4 110 3" xfId="1124"/>
    <cellStyle name="Normal 4 111" xfId="363"/>
    <cellStyle name="Normal 4 111 2" xfId="980"/>
    <cellStyle name="Normal 4 111 2 2" xfId="1264"/>
    <cellStyle name="Normal 4 111 3" xfId="1125"/>
    <cellStyle name="Normal 4 112" xfId="364"/>
    <cellStyle name="Normal 4 112 2" xfId="981"/>
    <cellStyle name="Normal 4 112 2 2" xfId="1265"/>
    <cellStyle name="Normal 4 112 3" xfId="1126"/>
    <cellStyle name="Normal 4 113" xfId="365"/>
    <cellStyle name="Normal 4 113 2" xfId="982"/>
    <cellStyle name="Normal 4 113 2 2" xfId="1266"/>
    <cellStyle name="Normal 4 113 3" xfId="1127"/>
    <cellStyle name="Normal 4 114" xfId="366"/>
    <cellStyle name="Normal 4 114 2" xfId="983"/>
    <cellStyle name="Normal 4 114 2 2" xfId="1267"/>
    <cellStyle name="Normal 4 114 3" xfId="1128"/>
    <cellStyle name="Normal 4 115" xfId="367"/>
    <cellStyle name="Normal 4 115 2" xfId="984"/>
    <cellStyle name="Normal 4 115 2 2" xfId="1268"/>
    <cellStyle name="Normal 4 115 3" xfId="1129"/>
    <cellStyle name="Normal 4 116" xfId="368"/>
    <cellStyle name="Normal 4 116 2" xfId="985"/>
    <cellStyle name="Normal 4 116 2 2" xfId="1269"/>
    <cellStyle name="Normal 4 116 3" xfId="1130"/>
    <cellStyle name="Normal 4 117" xfId="369"/>
    <cellStyle name="Normal 4 117 2" xfId="986"/>
    <cellStyle name="Normal 4 117 2 2" xfId="1270"/>
    <cellStyle name="Normal 4 117 3" xfId="1131"/>
    <cellStyle name="Normal 4 118" xfId="370"/>
    <cellStyle name="Normal 4 118 2" xfId="987"/>
    <cellStyle name="Normal 4 118 2 2" xfId="1271"/>
    <cellStyle name="Normal 4 118 3" xfId="1132"/>
    <cellStyle name="Normal 4 119" xfId="371"/>
    <cellStyle name="Normal 4 119 2" xfId="988"/>
    <cellStyle name="Normal 4 119 2 2" xfId="1272"/>
    <cellStyle name="Normal 4 119 3" xfId="1133"/>
    <cellStyle name="Normal 4 12" xfId="372"/>
    <cellStyle name="Normal 4 12 2" xfId="989"/>
    <cellStyle name="Normal 4 12 2 2" xfId="1273"/>
    <cellStyle name="Normal 4 12 3" xfId="1134"/>
    <cellStyle name="Normal 4 120" xfId="373"/>
    <cellStyle name="Normal 4 120 2" xfId="990"/>
    <cellStyle name="Normal 4 120 2 2" xfId="1274"/>
    <cellStyle name="Normal 4 120 3" xfId="1135"/>
    <cellStyle name="Normal 4 121" xfId="374"/>
    <cellStyle name="Normal 4 121 2" xfId="991"/>
    <cellStyle name="Normal 4 121 2 2" xfId="1275"/>
    <cellStyle name="Normal 4 121 3" xfId="1136"/>
    <cellStyle name="Normal 4 122" xfId="375"/>
    <cellStyle name="Normal 4 122 2" xfId="992"/>
    <cellStyle name="Normal 4 122 2 2" xfId="1276"/>
    <cellStyle name="Normal 4 122 3" xfId="1137"/>
    <cellStyle name="Normal 4 123" xfId="376"/>
    <cellStyle name="Normal 4 123 2" xfId="993"/>
    <cellStyle name="Normal 4 123 2 2" xfId="1277"/>
    <cellStyle name="Normal 4 123 3" xfId="1138"/>
    <cellStyle name="Normal 4 124" xfId="377"/>
    <cellStyle name="Normal 4 124 2" xfId="994"/>
    <cellStyle name="Normal 4 124 2 2" xfId="1278"/>
    <cellStyle name="Normal 4 124 3" xfId="1139"/>
    <cellStyle name="Normal 4 125" xfId="378"/>
    <cellStyle name="Normal 4 125 2" xfId="995"/>
    <cellStyle name="Normal 4 125 2 2" xfId="1279"/>
    <cellStyle name="Normal 4 125 3" xfId="1140"/>
    <cellStyle name="Normal 4 126" xfId="379"/>
    <cellStyle name="Normal 4 126 2" xfId="996"/>
    <cellStyle name="Normal 4 126 2 2" xfId="1280"/>
    <cellStyle name="Normal 4 126 3" xfId="1141"/>
    <cellStyle name="Normal 4 127" xfId="380"/>
    <cellStyle name="Normal 4 127 2" xfId="997"/>
    <cellStyle name="Normal 4 127 2 2" xfId="1281"/>
    <cellStyle name="Normal 4 127 3" xfId="1142"/>
    <cellStyle name="Normal 4 128" xfId="381"/>
    <cellStyle name="Normal 4 128 2" xfId="998"/>
    <cellStyle name="Normal 4 128 2 2" xfId="1282"/>
    <cellStyle name="Normal 4 128 3" xfId="1143"/>
    <cellStyle name="Normal 4 129" xfId="382"/>
    <cellStyle name="Normal 4 129 2" xfId="999"/>
    <cellStyle name="Normal 4 129 2 2" xfId="1283"/>
    <cellStyle name="Normal 4 129 3" xfId="1144"/>
    <cellStyle name="Normal 4 13" xfId="383"/>
    <cellStyle name="Normal 4 13 2" xfId="1000"/>
    <cellStyle name="Normal 4 13 2 2" xfId="1284"/>
    <cellStyle name="Normal 4 13 3" xfId="1145"/>
    <cellStyle name="Normal 4 130" xfId="384"/>
    <cellStyle name="Normal 4 130 2" xfId="1001"/>
    <cellStyle name="Normal 4 130 2 2" xfId="1285"/>
    <cellStyle name="Normal 4 130 3" xfId="1146"/>
    <cellStyle name="Normal 4 131" xfId="385"/>
    <cellStyle name="Normal 4 131 2" xfId="1002"/>
    <cellStyle name="Normal 4 131 2 2" xfId="1286"/>
    <cellStyle name="Normal 4 131 3" xfId="1147"/>
    <cellStyle name="Normal 4 132" xfId="386"/>
    <cellStyle name="Normal 4 132 2" xfId="1003"/>
    <cellStyle name="Normal 4 132 2 2" xfId="1287"/>
    <cellStyle name="Normal 4 132 3" xfId="1148"/>
    <cellStyle name="Normal 4 133" xfId="387"/>
    <cellStyle name="Normal 4 134" xfId="388"/>
    <cellStyle name="Normal 4 135" xfId="389"/>
    <cellStyle name="Normal 4 136" xfId="390"/>
    <cellStyle name="Normal 4 137" xfId="966"/>
    <cellStyle name="Normal 4 137 2" xfId="1250"/>
    <cellStyle name="Normal 4 138" xfId="1248"/>
    <cellStyle name="Normal 4 14" xfId="391"/>
    <cellStyle name="Normal 4 14 2" xfId="1004"/>
    <cellStyle name="Normal 4 14 2 2" xfId="1288"/>
    <cellStyle name="Normal 4 14 3" xfId="1149"/>
    <cellStyle name="Normal 4 15" xfId="392"/>
    <cellStyle name="Normal 4 15 2" xfId="1005"/>
    <cellStyle name="Normal 4 15 2 2" xfId="1289"/>
    <cellStyle name="Normal 4 15 3" xfId="1150"/>
    <cellStyle name="Normal 4 16" xfId="393"/>
    <cellStyle name="Normal 4 16 2" xfId="1006"/>
    <cellStyle name="Normal 4 16 2 2" xfId="1290"/>
    <cellStyle name="Normal 4 16 3" xfId="1151"/>
    <cellStyle name="Normal 4 17" xfId="394"/>
    <cellStyle name="Normal 4 17 2" xfId="1007"/>
    <cellStyle name="Normal 4 17 2 2" xfId="1291"/>
    <cellStyle name="Normal 4 17 3" xfId="1152"/>
    <cellStyle name="Normal 4 18" xfId="395"/>
    <cellStyle name="Normal 4 18 2" xfId="1008"/>
    <cellStyle name="Normal 4 18 2 2" xfId="1292"/>
    <cellStyle name="Normal 4 18 3" xfId="1153"/>
    <cellStyle name="Normal 4 19" xfId="396"/>
    <cellStyle name="Normal 4 19 2" xfId="1009"/>
    <cellStyle name="Normal 4 19 2 2" xfId="1293"/>
    <cellStyle name="Normal 4 19 3" xfId="1154"/>
    <cellStyle name="Normal 4 2" xfId="397"/>
    <cellStyle name="Normal 4 2 2" xfId="398"/>
    <cellStyle name="Normal 4 2 2 2" xfId="1010"/>
    <cellStyle name="Normal 4 2 2 2 2" xfId="1294"/>
    <cellStyle name="Normal 4 2 2 3" xfId="1155"/>
    <cellStyle name="Normal 4 2 3" xfId="399"/>
    <cellStyle name="Normal 4 2 3 2" xfId="1011"/>
    <cellStyle name="Normal 4 2 3 2 2" xfId="1295"/>
    <cellStyle name="Normal 4 2 3 3" xfId="1156"/>
    <cellStyle name="Normal 4 2 4" xfId="400"/>
    <cellStyle name="Normal 4 2 4 2" xfId="1012"/>
    <cellStyle name="Normal 4 2 4 2 2" xfId="1296"/>
    <cellStyle name="Normal 4 2 4 3" xfId="1157"/>
    <cellStyle name="Normal 4 2 5" xfId="401"/>
    <cellStyle name="Normal 4 2 5 2" xfId="1013"/>
    <cellStyle name="Normal 4 2 5 2 2" xfId="1297"/>
    <cellStyle name="Normal 4 2 5 3" xfId="1158"/>
    <cellStyle name="Normal 4 2 6" xfId="402"/>
    <cellStyle name="Normal 4 2 6 2" xfId="1014"/>
    <cellStyle name="Normal 4 2 6 2 2" xfId="1298"/>
    <cellStyle name="Normal 4 2 6 3" xfId="1159"/>
    <cellStyle name="Normal 4 20" xfId="403"/>
    <cellStyle name="Normal 4 20 2" xfId="1015"/>
    <cellStyle name="Normal 4 20 2 2" xfId="1299"/>
    <cellStyle name="Normal 4 20 3" xfId="1160"/>
    <cellStyle name="Normal 4 21" xfId="404"/>
    <cellStyle name="Normal 4 21 2" xfId="1016"/>
    <cellStyle name="Normal 4 21 2 2" xfId="1300"/>
    <cellStyle name="Normal 4 21 3" xfId="1161"/>
    <cellStyle name="Normal 4 22" xfId="405"/>
    <cellStyle name="Normal 4 22 2" xfId="1017"/>
    <cellStyle name="Normal 4 22 2 2" xfId="1301"/>
    <cellStyle name="Normal 4 22 3" xfId="1162"/>
    <cellStyle name="Normal 4 23" xfId="406"/>
    <cellStyle name="Normal 4 23 2" xfId="1018"/>
    <cellStyle name="Normal 4 23 2 2" xfId="1302"/>
    <cellStyle name="Normal 4 23 3" xfId="1163"/>
    <cellStyle name="Normal 4 24" xfId="407"/>
    <cellStyle name="Normal 4 24 2" xfId="1019"/>
    <cellStyle name="Normal 4 24 2 2" xfId="1303"/>
    <cellStyle name="Normal 4 24 3" xfId="1164"/>
    <cellStyle name="Normal 4 25" xfId="408"/>
    <cellStyle name="Normal 4 25 2" xfId="1020"/>
    <cellStyle name="Normal 4 25 2 2" xfId="1304"/>
    <cellStyle name="Normal 4 25 3" xfId="1165"/>
    <cellStyle name="Normal 4 26" xfId="409"/>
    <cellStyle name="Normal 4 26 2" xfId="1021"/>
    <cellStyle name="Normal 4 26 2 2" xfId="1305"/>
    <cellStyle name="Normal 4 26 3" xfId="1166"/>
    <cellStyle name="Normal 4 27" xfId="410"/>
    <cellStyle name="Normal 4 27 2" xfId="1022"/>
    <cellStyle name="Normal 4 27 2 2" xfId="1306"/>
    <cellStyle name="Normal 4 27 3" xfId="1167"/>
    <cellStyle name="Normal 4 28" xfId="411"/>
    <cellStyle name="Normal 4 28 2" xfId="1023"/>
    <cellStyle name="Normal 4 28 2 2" xfId="1307"/>
    <cellStyle name="Normal 4 28 3" xfId="1168"/>
    <cellStyle name="Normal 4 29" xfId="412"/>
    <cellStyle name="Normal 4 29 2" xfId="1024"/>
    <cellStyle name="Normal 4 29 2 2" xfId="1308"/>
    <cellStyle name="Normal 4 29 3" xfId="1169"/>
    <cellStyle name="Normal 4 3" xfId="413"/>
    <cellStyle name="Normal 4 3 2" xfId="1025"/>
    <cellStyle name="Normal 4 3 2 2" xfId="1309"/>
    <cellStyle name="Normal 4 3 3" xfId="1170"/>
    <cellStyle name="Normal 4 30" xfId="414"/>
    <cellStyle name="Normal 4 30 2" xfId="1026"/>
    <cellStyle name="Normal 4 30 2 2" xfId="1310"/>
    <cellStyle name="Normal 4 30 3" xfId="1171"/>
    <cellStyle name="Normal 4 31" xfId="415"/>
    <cellStyle name="Normal 4 31 2" xfId="1027"/>
    <cellStyle name="Normal 4 31 2 2" xfId="1311"/>
    <cellStyle name="Normal 4 31 3" xfId="1172"/>
    <cellStyle name="Normal 4 32" xfId="416"/>
    <cellStyle name="Normal 4 32 2" xfId="1028"/>
    <cellStyle name="Normal 4 32 2 2" xfId="1312"/>
    <cellStyle name="Normal 4 32 3" xfId="1173"/>
    <cellStyle name="Normal 4 33" xfId="417"/>
    <cellStyle name="Normal 4 33 2" xfId="1029"/>
    <cellStyle name="Normal 4 33 2 2" xfId="1313"/>
    <cellStyle name="Normal 4 33 3" xfId="1174"/>
    <cellStyle name="Normal 4 34" xfId="418"/>
    <cellStyle name="Normal 4 34 2" xfId="1030"/>
    <cellStyle name="Normal 4 34 2 2" xfId="1314"/>
    <cellStyle name="Normal 4 34 3" xfId="1175"/>
    <cellStyle name="Normal 4 35" xfId="419"/>
    <cellStyle name="Normal 4 35 2" xfId="1031"/>
    <cellStyle name="Normal 4 35 2 2" xfId="1315"/>
    <cellStyle name="Normal 4 35 3" xfId="1176"/>
    <cellStyle name="Normal 4 36" xfId="420"/>
    <cellStyle name="Normal 4 36 2" xfId="1032"/>
    <cellStyle name="Normal 4 36 2 2" xfId="1316"/>
    <cellStyle name="Normal 4 36 3" xfId="1177"/>
    <cellStyle name="Normal 4 37" xfId="421"/>
    <cellStyle name="Normal 4 37 2" xfId="1033"/>
    <cellStyle name="Normal 4 37 2 2" xfId="1317"/>
    <cellStyle name="Normal 4 37 3" xfId="1178"/>
    <cellStyle name="Normal 4 38" xfId="422"/>
    <cellStyle name="Normal 4 38 2" xfId="1034"/>
    <cellStyle name="Normal 4 38 2 2" xfId="1318"/>
    <cellStyle name="Normal 4 38 3" xfId="1179"/>
    <cellStyle name="Normal 4 39" xfId="423"/>
    <cellStyle name="Normal 4 39 2" xfId="1035"/>
    <cellStyle name="Normal 4 39 2 2" xfId="1319"/>
    <cellStyle name="Normal 4 39 3" xfId="1180"/>
    <cellStyle name="Normal 4 4" xfId="424"/>
    <cellStyle name="Normal 4 4 2" xfId="1036"/>
    <cellStyle name="Normal 4 4 2 2" xfId="1320"/>
    <cellStyle name="Normal 4 4 3" xfId="1181"/>
    <cellStyle name="Normal 4 40" xfId="425"/>
    <cellStyle name="Normal 4 40 2" xfId="1037"/>
    <cellStyle name="Normal 4 40 2 2" xfId="1321"/>
    <cellStyle name="Normal 4 40 3" xfId="1182"/>
    <cellStyle name="Normal 4 41" xfId="426"/>
    <cellStyle name="Normal 4 41 2" xfId="1038"/>
    <cellStyle name="Normal 4 41 2 2" xfId="1322"/>
    <cellStyle name="Normal 4 41 3" xfId="1183"/>
    <cellStyle name="Normal 4 42" xfId="427"/>
    <cellStyle name="Normal 4 42 2" xfId="1039"/>
    <cellStyle name="Normal 4 42 2 2" xfId="1323"/>
    <cellStyle name="Normal 4 42 3" xfId="1184"/>
    <cellStyle name="Normal 4 43" xfId="428"/>
    <cellStyle name="Normal 4 43 2" xfId="1040"/>
    <cellStyle name="Normal 4 43 2 2" xfId="1324"/>
    <cellStyle name="Normal 4 43 3" xfId="1185"/>
    <cellStyle name="Normal 4 44" xfId="429"/>
    <cellStyle name="Normal 4 44 2" xfId="1041"/>
    <cellStyle name="Normal 4 44 2 2" xfId="1325"/>
    <cellStyle name="Normal 4 44 3" xfId="1186"/>
    <cellStyle name="Normal 4 45" xfId="430"/>
    <cellStyle name="Normal 4 45 2" xfId="1042"/>
    <cellStyle name="Normal 4 45 2 2" xfId="1326"/>
    <cellStyle name="Normal 4 45 3" xfId="1187"/>
    <cellStyle name="Normal 4 46" xfId="431"/>
    <cellStyle name="Normal 4 46 2" xfId="1043"/>
    <cellStyle name="Normal 4 46 2 2" xfId="1327"/>
    <cellStyle name="Normal 4 46 3" xfId="1188"/>
    <cellStyle name="Normal 4 47" xfId="432"/>
    <cellStyle name="Normal 4 47 2" xfId="1044"/>
    <cellStyle name="Normal 4 47 2 2" xfId="1328"/>
    <cellStyle name="Normal 4 47 3" xfId="1189"/>
    <cellStyle name="Normal 4 48" xfId="433"/>
    <cellStyle name="Normal 4 48 2" xfId="1045"/>
    <cellStyle name="Normal 4 48 2 2" xfId="1329"/>
    <cellStyle name="Normal 4 48 3" xfId="1190"/>
    <cellStyle name="Normal 4 49" xfId="434"/>
    <cellStyle name="Normal 4 49 2" xfId="1046"/>
    <cellStyle name="Normal 4 49 2 2" xfId="1330"/>
    <cellStyle name="Normal 4 49 3" xfId="1191"/>
    <cellStyle name="Normal 4 5" xfId="435"/>
    <cellStyle name="Normal 4 5 2" xfId="1047"/>
    <cellStyle name="Normal 4 5 2 2" xfId="1331"/>
    <cellStyle name="Normal 4 5 3" xfId="1192"/>
    <cellStyle name="Normal 4 50" xfId="436"/>
    <cellStyle name="Normal 4 50 2" xfId="1048"/>
    <cellStyle name="Normal 4 50 2 2" xfId="1332"/>
    <cellStyle name="Normal 4 50 3" xfId="1193"/>
    <cellStyle name="Normal 4 51" xfId="437"/>
    <cellStyle name="Normal 4 51 2" xfId="1049"/>
    <cellStyle name="Normal 4 51 2 2" xfId="1333"/>
    <cellStyle name="Normal 4 51 3" xfId="1194"/>
    <cellStyle name="Normal 4 52" xfId="438"/>
    <cellStyle name="Normal 4 52 2" xfId="1050"/>
    <cellStyle name="Normal 4 52 2 2" xfId="1334"/>
    <cellStyle name="Normal 4 52 3" xfId="1195"/>
    <cellStyle name="Normal 4 53" xfId="439"/>
    <cellStyle name="Normal 4 53 2" xfId="1051"/>
    <cellStyle name="Normal 4 53 2 2" xfId="1335"/>
    <cellStyle name="Normal 4 53 3" xfId="1196"/>
    <cellStyle name="Normal 4 54" xfId="440"/>
    <cellStyle name="Normal 4 54 2" xfId="1052"/>
    <cellStyle name="Normal 4 54 2 2" xfId="1336"/>
    <cellStyle name="Normal 4 54 3" xfId="1197"/>
    <cellStyle name="Normal 4 55" xfId="441"/>
    <cellStyle name="Normal 4 55 2" xfId="1053"/>
    <cellStyle name="Normal 4 55 2 2" xfId="1337"/>
    <cellStyle name="Normal 4 55 3" xfId="1198"/>
    <cellStyle name="Normal 4 56" xfId="442"/>
    <cellStyle name="Normal 4 56 2" xfId="1054"/>
    <cellStyle name="Normal 4 56 2 2" xfId="1338"/>
    <cellStyle name="Normal 4 56 3" xfId="1199"/>
    <cellStyle name="Normal 4 57" xfId="443"/>
    <cellStyle name="Normal 4 57 2" xfId="1055"/>
    <cellStyle name="Normal 4 57 2 2" xfId="1339"/>
    <cellStyle name="Normal 4 57 3" xfId="1200"/>
    <cellStyle name="Normal 4 58" xfId="444"/>
    <cellStyle name="Normal 4 58 2" xfId="1056"/>
    <cellStyle name="Normal 4 58 2 2" xfId="1340"/>
    <cellStyle name="Normal 4 58 3" xfId="1201"/>
    <cellStyle name="Normal 4 59" xfId="445"/>
    <cellStyle name="Normal 4 59 2" xfId="1057"/>
    <cellStyle name="Normal 4 59 2 2" xfId="1341"/>
    <cellStyle name="Normal 4 59 3" xfId="1202"/>
    <cellStyle name="Normal 4 6" xfId="446"/>
    <cellStyle name="Normal 4 6 2" xfId="1058"/>
    <cellStyle name="Normal 4 6 2 2" xfId="1342"/>
    <cellStyle name="Normal 4 6 3" xfId="1203"/>
    <cellStyle name="Normal 4 60" xfId="447"/>
    <cellStyle name="Normal 4 60 2" xfId="1059"/>
    <cellStyle name="Normal 4 60 2 2" xfId="1343"/>
    <cellStyle name="Normal 4 60 3" xfId="1204"/>
    <cellStyle name="Normal 4 61" xfId="448"/>
    <cellStyle name="Normal 4 61 2" xfId="1060"/>
    <cellStyle name="Normal 4 61 2 2" xfId="1344"/>
    <cellStyle name="Normal 4 61 3" xfId="1205"/>
    <cellStyle name="Normal 4 62" xfId="449"/>
    <cellStyle name="Normal 4 62 2" xfId="1061"/>
    <cellStyle name="Normal 4 62 2 2" xfId="1345"/>
    <cellStyle name="Normal 4 62 3" xfId="1206"/>
    <cellStyle name="Normal 4 63" xfId="450"/>
    <cellStyle name="Normal 4 63 2" xfId="1062"/>
    <cellStyle name="Normal 4 63 2 2" xfId="1346"/>
    <cellStyle name="Normal 4 63 3" xfId="1207"/>
    <cellStyle name="Normal 4 64" xfId="451"/>
    <cellStyle name="Normal 4 64 2" xfId="1063"/>
    <cellStyle name="Normal 4 64 2 2" xfId="1347"/>
    <cellStyle name="Normal 4 64 3" xfId="1208"/>
    <cellStyle name="Normal 4 65" xfId="452"/>
    <cellStyle name="Normal 4 65 2" xfId="1064"/>
    <cellStyle name="Normal 4 65 2 2" xfId="1348"/>
    <cellStyle name="Normal 4 65 3" xfId="1209"/>
    <cellStyle name="Normal 4 66" xfId="453"/>
    <cellStyle name="Normal 4 66 2" xfId="1065"/>
    <cellStyle name="Normal 4 66 2 2" xfId="1349"/>
    <cellStyle name="Normal 4 66 3" xfId="1210"/>
    <cellStyle name="Normal 4 67" xfId="454"/>
    <cellStyle name="Normal 4 67 2" xfId="1066"/>
    <cellStyle name="Normal 4 67 2 2" xfId="1350"/>
    <cellStyle name="Normal 4 67 3" xfId="1211"/>
    <cellStyle name="Normal 4 68" xfId="455"/>
    <cellStyle name="Normal 4 68 2" xfId="1067"/>
    <cellStyle name="Normal 4 68 2 2" xfId="1351"/>
    <cellStyle name="Normal 4 68 3" xfId="1212"/>
    <cellStyle name="Normal 4 69" xfId="456"/>
    <cellStyle name="Normal 4 69 2" xfId="1068"/>
    <cellStyle name="Normal 4 69 2 2" xfId="1352"/>
    <cellStyle name="Normal 4 69 3" xfId="1213"/>
    <cellStyle name="Normal 4 7" xfId="457"/>
    <cellStyle name="Normal 4 7 2" xfId="1069"/>
    <cellStyle name="Normal 4 7 2 2" xfId="1353"/>
    <cellStyle name="Normal 4 7 3" xfId="1214"/>
    <cellStyle name="Normal 4 70" xfId="458"/>
    <cellStyle name="Normal 4 70 2" xfId="1070"/>
    <cellStyle name="Normal 4 70 2 2" xfId="1354"/>
    <cellStyle name="Normal 4 70 3" xfId="1215"/>
    <cellStyle name="Normal 4 71" xfId="459"/>
    <cellStyle name="Normal 4 71 2" xfId="1071"/>
    <cellStyle name="Normal 4 71 2 2" xfId="1355"/>
    <cellStyle name="Normal 4 71 3" xfId="1216"/>
    <cellStyle name="Normal 4 72" xfId="460"/>
    <cellStyle name="Normal 4 72 2" xfId="1072"/>
    <cellStyle name="Normal 4 72 2 2" xfId="1356"/>
    <cellStyle name="Normal 4 72 3" xfId="1217"/>
    <cellStyle name="Normal 4 73" xfId="461"/>
    <cellStyle name="Normal 4 73 2" xfId="1073"/>
    <cellStyle name="Normal 4 73 2 2" xfId="1357"/>
    <cellStyle name="Normal 4 73 3" xfId="1218"/>
    <cellStyle name="Normal 4 74" xfId="462"/>
    <cellStyle name="Normal 4 74 2" xfId="1074"/>
    <cellStyle name="Normal 4 74 2 2" xfId="1358"/>
    <cellStyle name="Normal 4 74 3" xfId="1219"/>
    <cellStyle name="Normal 4 75" xfId="463"/>
    <cellStyle name="Normal 4 75 2" xfId="1075"/>
    <cellStyle name="Normal 4 75 2 2" xfId="1359"/>
    <cellStyle name="Normal 4 75 3" xfId="1220"/>
    <cellStyle name="Normal 4 76" xfId="464"/>
    <cellStyle name="Normal 4 76 2" xfId="1076"/>
    <cellStyle name="Normal 4 76 2 2" xfId="1360"/>
    <cellStyle name="Normal 4 76 3" xfId="1221"/>
    <cellStyle name="Normal 4 77" xfId="465"/>
    <cellStyle name="Normal 4 77 2" xfId="1077"/>
    <cellStyle name="Normal 4 77 2 2" xfId="1361"/>
    <cellStyle name="Normal 4 77 3" xfId="1222"/>
    <cellStyle name="Normal 4 78" xfId="466"/>
    <cellStyle name="Normal 4 78 2" xfId="1078"/>
    <cellStyle name="Normal 4 78 2 2" xfId="1362"/>
    <cellStyle name="Normal 4 78 3" xfId="1223"/>
    <cellStyle name="Normal 4 79" xfId="467"/>
    <cellStyle name="Normal 4 79 2" xfId="1079"/>
    <cellStyle name="Normal 4 79 2 2" xfId="1363"/>
    <cellStyle name="Normal 4 79 3" xfId="1224"/>
    <cellStyle name="Normal 4 8" xfId="468"/>
    <cellStyle name="Normal 4 8 2" xfId="1080"/>
    <cellStyle name="Normal 4 8 2 2" xfId="1364"/>
    <cellStyle name="Normal 4 8 3" xfId="1225"/>
    <cellStyle name="Normal 4 80" xfId="469"/>
    <cellStyle name="Normal 4 80 2" xfId="1081"/>
    <cellStyle name="Normal 4 80 2 2" xfId="1365"/>
    <cellStyle name="Normal 4 80 3" xfId="1226"/>
    <cellStyle name="Normal 4 81" xfId="470"/>
    <cellStyle name="Normal 4 81 2" xfId="1082"/>
    <cellStyle name="Normal 4 81 2 2" xfId="1366"/>
    <cellStyle name="Normal 4 81 3" xfId="1227"/>
    <cellStyle name="Normal 4 82" xfId="471"/>
    <cellStyle name="Normal 4 82 2" xfId="1083"/>
    <cellStyle name="Normal 4 82 2 2" xfId="1367"/>
    <cellStyle name="Normal 4 82 3" xfId="1228"/>
    <cellStyle name="Normal 4 83" xfId="472"/>
    <cellStyle name="Normal 4 83 2" xfId="1084"/>
    <cellStyle name="Normal 4 83 2 2" xfId="1368"/>
    <cellStyle name="Normal 4 83 3" xfId="1229"/>
    <cellStyle name="Normal 4 84" xfId="473"/>
    <cellStyle name="Normal 4 84 2" xfId="1085"/>
    <cellStyle name="Normal 4 84 2 2" xfId="1369"/>
    <cellStyle name="Normal 4 84 3" xfId="1230"/>
    <cellStyle name="Normal 4 85" xfId="474"/>
    <cellStyle name="Normal 4 85 2" xfId="1086"/>
    <cellStyle name="Normal 4 85 2 2" xfId="1370"/>
    <cellStyle name="Normal 4 85 3" xfId="1231"/>
    <cellStyle name="Normal 4 86" xfId="475"/>
    <cellStyle name="Normal 4 86 2" xfId="1087"/>
    <cellStyle name="Normal 4 86 2 2" xfId="1371"/>
    <cellStyle name="Normal 4 86 3" xfId="1232"/>
    <cellStyle name="Normal 4 87" xfId="476"/>
    <cellStyle name="Normal 4 87 2" xfId="1088"/>
    <cellStyle name="Normal 4 87 2 2" xfId="1372"/>
    <cellStyle name="Normal 4 87 3" xfId="1233"/>
    <cellStyle name="Normal 4 88" xfId="477"/>
    <cellStyle name="Normal 4 88 2" xfId="1089"/>
    <cellStyle name="Normal 4 88 2 2" xfId="1373"/>
    <cellStyle name="Normal 4 88 3" xfId="1234"/>
    <cellStyle name="Normal 4 89" xfId="478"/>
    <cellStyle name="Normal 4 89 2" xfId="1090"/>
    <cellStyle name="Normal 4 89 2 2" xfId="1374"/>
    <cellStyle name="Normal 4 89 3" xfId="1235"/>
    <cellStyle name="Normal 4 9" xfId="479"/>
    <cellStyle name="Normal 4 9 2" xfId="1091"/>
    <cellStyle name="Normal 4 9 2 2" xfId="1375"/>
    <cellStyle name="Normal 4 9 3" xfId="1236"/>
    <cellStyle name="Normal 4 90" xfId="480"/>
    <cellStyle name="Normal 4 90 2" xfId="1092"/>
    <cellStyle name="Normal 4 90 2 2" xfId="1376"/>
    <cellStyle name="Normal 4 90 3" xfId="1237"/>
    <cellStyle name="Normal 4 91" xfId="481"/>
    <cellStyle name="Normal 4 91 2" xfId="1093"/>
    <cellStyle name="Normal 4 91 2 2" xfId="1377"/>
    <cellStyle name="Normal 4 91 3" xfId="1238"/>
    <cellStyle name="Normal 4 92" xfId="482"/>
    <cellStyle name="Normal 4 92 2" xfId="1094"/>
    <cellStyle name="Normal 4 92 2 2" xfId="1378"/>
    <cellStyle name="Normal 4 92 3" xfId="1239"/>
    <cellStyle name="Normal 4 93" xfId="483"/>
    <cellStyle name="Normal 4 93 2" xfId="1095"/>
    <cellStyle name="Normal 4 93 2 2" xfId="1379"/>
    <cellStyle name="Normal 4 93 3" xfId="1240"/>
    <cellStyle name="Normal 4 94" xfId="484"/>
    <cellStyle name="Normal 4 94 2" xfId="1096"/>
    <cellStyle name="Normal 4 94 2 2" xfId="1380"/>
    <cellStyle name="Normal 4 94 3" xfId="1241"/>
    <cellStyle name="Normal 4 95" xfId="485"/>
    <cellStyle name="Normal 4 95 2" xfId="1097"/>
    <cellStyle name="Normal 4 95 2 2" xfId="1381"/>
    <cellStyle name="Normal 4 95 3" xfId="1242"/>
    <cellStyle name="Normal 4 96" xfId="486"/>
    <cellStyle name="Normal 4 96 2" xfId="1098"/>
    <cellStyle name="Normal 4 96 2 2" xfId="1382"/>
    <cellStyle name="Normal 4 96 3" xfId="1243"/>
    <cellStyle name="Normal 4 97" xfId="487"/>
    <cellStyle name="Normal 4 97 2" xfId="1099"/>
    <cellStyle name="Normal 4 97 2 2" xfId="1383"/>
    <cellStyle name="Normal 4 97 3" xfId="1244"/>
    <cellStyle name="Normal 4 98" xfId="488"/>
    <cellStyle name="Normal 4 98 2" xfId="1100"/>
    <cellStyle name="Normal 4 98 2 2" xfId="1384"/>
    <cellStyle name="Normal 4 98 3" xfId="1245"/>
    <cellStyle name="Normal 4 99" xfId="489"/>
    <cellStyle name="Normal 4 99 2" xfId="1101"/>
    <cellStyle name="Normal 4 99 2 2" xfId="1385"/>
    <cellStyle name="Normal 4 99 3" xfId="1246"/>
    <cellStyle name="Normal 40" xfId="490"/>
    <cellStyle name="Normal 41" xfId="491"/>
    <cellStyle name="Normal 42" xfId="492"/>
    <cellStyle name="Normal 43" xfId="493"/>
    <cellStyle name="Normal 44" xfId="494"/>
    <cellStyle name="Normal 45" xfId="495"/>
    <cellStyle name="Normal 46" xfId="496"/>
    <cellStyle name="Normal 47" xfId="497"/>
    <cellStyle name="Normal 48" xfId="498"/>
    <cellStyle name="Normal 49" xfId="499"/>
    <cellStyle name="Normal 5" xfId="965"/>
    <cellStyle name="Normal 5 10" xfId="500"/>
    <cellStyle name="Normal 5 100" xfId="501"/>
    <cellStyle name="Normal 5 101" xfId="502"/>
    <cellStyle name="Normal 5 102" xfId="503"/>
    <cellStyle name="Normal 5 103" xfId="504"/>
    <cellStyle name="Normal 5 104" xfId="505"/>
    <cellStyle name="Normal 5 105" xfId="506"/>
    <cellStyle name="Normal 5 106" xfId="507"/>
    <cellStyle name="Normal 5 107" xfId="508"/>
    <cellStyle name="Normal 5 108" xfId="509"/>
    <cellStyle name="Normal 5 109" xfId="510"/>
    <cellStyle name="Normal 5 11" xfId="511"/>
    <cellStyle name="Normal 5 110" xfId="512"/>
    <cellStyle name="Normal 5 111" xfId="513"/>
    <cellStyle name="Normal 5 112" xfId="514"/>
    <cellStyle name="Normal 5 113" xfId="515"/>
    <cellStyle name="Normal 5 114" xfId="516"/>
    <cellStyle name="Normal 5 115" xfId="517"/>
    <cellStyle name="Normal 5 116" xfId="518"/>
    <cellStyle name="Normal 5 117" xfId="519"/>
    <cellStyle name="Normal 5 118" xfId="520"/>
    <cellStyle name="Normal 5 119" xfId="521"/>
    <cellStyle name="Normal 5 12" xfId="522"/>
    <cellStyle name="Normal 5 120" xfId="523"/>
    <cellStyle name="Normal 5 121" xfId="524"/>
    <cellStyle name="Normal 5 122" xfId="525"/>
    <cellStyle name="Normal 5 123" xfId="526"/>
    <cellStyle name="Normal 5 124" xfId="527"/>
    <cellStyle name="Normal 5 125" xfId="528"/>
    <cellStyle name="Normal 5 126" xfId="529"/>
    <cellStyle name="Normal 5 127" xfId="530"/>
    <cellStyle name="Normal 5 128" xfId="531"/>
    <cellStyle name="Normal 5 129" xfId="532"/>
    <cellStyle name="Normal 5 13" xfId="533"/>
    <cellStyle name="Normal 5 130" xfId="534"/>
    <cellStyle name="Normal 5 131" xfId="535"/>
    <cellStyle name="Normal 5 132" xfId="536"/>
    <cellStyle name="Normal 5 133" xfId="537"/>
    <cellStyle name="Normal 5 134" xfId="538"/>
    <cellStyle name="Normal 5 135" xfId="539"/>
    <cellStyle name="Normal 5 136" xfId="540"/>
    <cellStyle name="Normal 5 137" xfId="1249"/>
    <cellStyle name="Normal 5 14" xfId="541"/>
    <cellStyle name="Normal 5 15" xfId="542"/>
    <cellStyle name="Normal 5 16" xfId="543"/>
    <cellStyle name="Normal 5 17" xfId="544"/>
    <cellStyle name="Normal 5 18" xfId="545"/>
    <cellStyle name="Normal 5 19" xfId="546"/>
    <cellStyle name="Normal 5 2" xfId="547"/>
    <cellStyle name="Normal 5 20" xfId="548"/>
    <cellStyle name="Normal 5 21" xfId="549"/>
    <cellStyle name="Normal 5 22" xfId="550"/>
    <cellStyle name="Normal 5 23" xfId="551"/>
    <cellStyle name="Normal 5 24" xfId="552"/>
    <cellStyle name="Normal 5 25" xfId="553"/>
    <cellStyle name="Normal 5 26" xfId="554"/>
    <cellStyle name="Normal 5 27" xfId="555"/>
    <cellStyle name="Normal 5 28" xfId="556"/>
    <cellStyle name="Normal 5 29" xfId="557"/>
    <cellStyle name="Normal 5 3" xfId="558"/>
    <cellStyle name="Normal 5 30" xfId="559"/>
    <cellStyle name="Normal 5 31" xfId="560"/>
    <cellStyle name="Normal 5 32" xfId="561"/>
    <cellStyle name="Normal 5 33" xfId="562"/>
    <cellStyle name="Normal 5 34" xfId="563"/>
    <cellStyle name="Normal 5 35" xfId="564"/>
    <cellStyle name="Normal 5 36" xfId="565"/>
    <cellStyle name="Normal 5 37" xfId="566"/>
    <cellStyle name="Normal 5 38" xfId="567"/>
    <cellStyle name="Normal 5 39" xfId="568"/>
    <cellStyle name="Normal 5 4" xfId="569"/>
    <cellStyle name="Normal 5 40" xfId="570"/>
    <cellStyle name="Normal 5 41" xfId="571"/>
    <cellStyle name="Normal 5 42" xfId="572"/>
    <cellStyle name="Normal 5 43" xfId="573"/>
    <cellStyle name="Normal 5 44" xfId="574"/>
    <cellStyle name="Normal 5 45" xfId="575"/>
    <cellStyle name="Normal 5 46" xfId="576"/>
    <cellStyle name="Normal 5 47" xfId="577"/>
    <cellStyle name="Normal 5 48" xfId="578"/>
    <cellStyle name="Normal 5 49" xfId="579"/>
    <cellStyle name="Normal 5 5" xfId="580"/>
    <cellStyle name="Normal 5 50" xfId="581"/>
    <cellStyle name="Normal 5 51" xfId="582"/>
    <cellStyle name="Normal 5 52" xfId="583"/>
    <cellStyle name="Normal 5 53" xfId="584"/>
    <cellStyle name="Normal 5 54" xfId="585"/>
    <cellStyle name="Normal 5 55" xfId="586"/>
    <cellStyle name="Normal 5 56" xfId="587"/>
    <cellStyle name="Normal 5 57" xfId="588"/>
    <cellStyle name="Normal 5 58" xfId="589"/>
    <cellStyle name="Normal 5 59" xfId="590"/>
    <cellStyle name="Normal 5 6" xfId="591"/>
    <cellStyle name="Normal 5 60" xfId="592"/>
    <cellStyle name="Normal 5 61" xfId="593"/>
    <cellStyle name="Normal 5 62" xfId="594"/>
    <cellStyle name="Normal 5 63" xfId="595"/>
    <cellStyle name="Normal 5 64" xfId="596"/>
    <cellStyle name="Normal 5 65" xfId="597"/>
    <cellStyle name="Normal 5 66" xfId="598"/>
    <cellStyle name="Normal 5 67" xfId="599"/>
    <cellStyle name="Normal 5 68" xfId="600"/>
    <cellStyle name="Normal 5 69" xfId="601"/>
    <cellStyle name="Normal 5 7" xfId="602"/>
    <cellStyle name="Normal 5 70" xfId="603"/>
    <cellStyle name="Normal 5 71" xfId="604"/>
    <cellStyle name="Normal 5 72" xfId="605"/>
    <cellStyle name="Normal 5 73" xfId="606"/>
    <cellStyle name="Normal 5 74" xfId="607"/>
    <cellStyle name="Normal 5 75" xfId="608"/>
    <cellStyle name="Normal 5 76" xfId="609"/>
    <cellStyle name="Normal 5 77" xfId="610"/>
    <cellStyle name="Normal 5 78" xfId="611"/>
    <cellStyle name="Normal 5 79" xfId="612"/>
    <cellStyle name="Normal 5 8" xfId="613"/>
    <cellStyle name="Normal 5 80" xfId="614"/>
    <cellStyle name="Normal 5 81" xfId="615"/>
    <cellStyle name="Normal 5 82" xfId="616"/>
    <cellStyle name="Normal 5 83" xfId="617"/>
    <cellStyle name="Normal 5 84" xfId="618"/>
    <cellStyle name="Normal 5 85" xfId="619"/>
    <cellStyle name="Normal 5 86" xfId="620"/>
    <cellStyle name="Normal 5 87" xfId="621"/>
    <cellStyle name="Normal 5 88" xfId="622"/>
    <cellStyle name="Normal 5 89" xfId="623"/>
    <cellStyle name="Normal 5 9" xfId="624"/>
    <cellStyle name="Normal 5 90" xfId="625"/>
    <cellStyle name="Normal 5 91" xfId="626"/>
    <cellStyle name="Normal 5 92" xfId="627"/>
    <cellStyle name="Normal 5 93" xfId="628"/>
    <cellStyle name="Normal 5 94" xfId="629"/>
    <cellStyle name="Normal 5 95" xfId="630"/>
    <cellStyle name="Normal 5 96" xfId="631"/>
    <cellStyle name="Normal 5 97" xfId="632"/>
    <cellStyle name="Normal 5 98" xfId="633"/>
    <cellStyle name="Normal 5 99" xfId="634"/>
    <cellStyle name="Normal 50" xfId="635"/>
    <cellStyle name="Normal 51" xfId="636"/>
    <cellStyle name="Normal 52" xfId="637"/>
    <cellStyle name="Normal 53" xfId="638"/>
    <cellStyle name="Normal 54" xfId="639"/>
    <cellStyle name="Normal 55" xfId="640"/>
    <cellStyle name="Normal 56" xfId="641"/>
    <cellStyle name="Normal 57" xfId="642"/>
    <cellStyle name="Normal 58" xfId="643"/>
    <cellStyle name="Normal 59" xfId="644"/>
    <cellStyle name="Normal 6" xfId="645"/>
    <cellStyle name="Normal 6 10" xfId="646"/>
    <cellStyle name="Normal 6 100" xfId="647"/>
    <cellStyle name="Normal 6 101" xfId="648"/>
    <cellStyle name="Normal 6 102" xfId="649"/>
    <cellStyle name="Normal 6 103" xfId="650"/>
    <cellStyle name="Normal 6 104" xfId="651"/>
    <cellStyle name="Normal 6 105" xfId="652"/>
    <cellStyle name="Normal 6 106" xfId="653"/>
    <cellStyle name="Normal 6 107" xfId="654"/>
    <cellStyle name="Normal 6 108" xfId="655"/>
    <cellStyle name="Normal 6 109" xfId="656"/>
    <cellStyle name="Normal 6 11" xfId="657"/>
    <cellStyle name="Normal 6 110" xfId="658"/>
    <cellStyle name="Normal 6 111" xfId="659"/>
    <cellStyle name="Normal 6 112" xfId="660"/>
    <cellStyle name="Normal 6 113" xfId="661"/>
    <cellStyle name="Normal 6 114" xfId="662"/>
    <cellStyle name="Normal 6 115" xfId="663"/>
    <cellStyle name="Normal 6 116" xfId="664"/>
    <cellStyle name="Normal 6 117" xfId="665"/>
    <cellStyle name="Normal 6 118" xfId="666"/>
    <cellStyle name="Normal 6 119" xfId="667"/>
    <cellStyle name="Normal 6 12" xfId="668"/>
    <cellStyle name="Normal 6 120" xfId="669"/>
    <cellStyle name="Normal 6 121" xfId="670"/>
    <cellStyle name="Normal 6 122" xfId="671"/>
    <cellStyle name="Normal 6 123" xfId="672"/>
    <cellStyle name="Normal 6 124" xfId="673"/>
    <cellStyle name="Normal 6 125" xfId="674"/>
    <cellStyle name="Normal 6 126" xfId="675"/>
    <cellStyle name="Normal 6 127" xfId="676"/>
    <cellStyle name="Normal 6 128" xfId="677"/>
    <cellStyle name="Normal 6 129" xfId="678"/>
    <cellStyle name="Normal 6 13" xfId="679"/>
    <cellStyle name="Normal 6 130" xfId="680"/>
    <cellStyle name="Normal 6 131" xfId="681"/>
    <cellStyle name="Normal 6 132" xfId="682"/>
    <cellStyle name="Normal 6 14" xfId="683"/>
    <cellStyle name="Normal 6 15" xfId="684"/>
    <cellStyle name="Normal 6 16" xfId="685"/>
    <cellStyle name="Normal 6 17" xfId="686"/>
    <cellStyle name="Normal 6 18" xfId="687"/>
    <cellStyle name="Normal 6 19" xfId="688"/>
    <cellStyle name="Normal 6 2" xfId="689"/>
    <cellStyle name="Normal 6 20" xfId="690"/>
    <cellStyle name="Normal 6 21" xfId="691"/>
    <cellStyle name="Normal 6 22" xfId="692"/>
    <cellStyle name="Normal 6 23" xfId="693"/>
    <cellStyle name="Normal 6 24" xfId="694"/>
    <cellStyle name="Normal 6 25" xfId="695"/>
    <cellStyle name="Normal 6 26" xfId="696"/>
    <cellStyle name="Normal 6 27" xfId="697"/>
    <cellStyle name="Normal 6 28" xfId="698"/>
    <cellStyle name="Normal 6 29" xfId="699"/>
    <cellStyle name="Normal 6 3" xfId="700"/>
    <cellStyle name="Normal 6 30" xfId="701"/>
    <cellStyle name="Normal 6 31" xfId="702"/>
    <cellStyle name="Normal 6 32" xfId="703"/>
    <cellStyle name="Normal 6 33" xfId="704"/>
    <cellStyle name="Normal 6 34" xfId="705"/>
    <cellStyle name="Normal 6 35" xfId="706"/>
    <cellStyle name="Normal 6 36" xfId="707"/>
    <cellStyle name="Normal 6 37" xfId="708"/>
    <cellStyle name="Normal 6 38" xfId="709"/>
    <cellStyle name="Normal 6 39" xfId="710"/>
    <cellStyle name="Normal 6 4" xfId="711"/>
    <cellStyle name="Normal 6 40" xfId="712"/>
    <cellStyle name="Normal 6 41" xfId="713"/>
    <cellStyle name="Normal 6 42" xfId="714"/>
    <cellStyle name="Normal 6 43" xfId="715"/>
    <cellStyle name="Normal 6 44" xfId="716"/>
    <cellStyle name="Normal 6 45" xfId="717"/>
    <cellStyle name="Normal 6 46" xfId="718"/>
    <cellStyle name="Normal 6 47" xfId="719"/>
    <cellStyle name="Normal 6 48" xfId="720"/>
    <cellStyle name="Normal 6 49" xfId="721"/>
    <cellStyle name="Normal 6 5" xfId="722"/>
    <cellStyle name="Normal 6 50" xfId="723"/>
    <cellStyle name="Normal 6 51" xfId="724"/>
    <cellStyle name="Normal 6 52" xfId="725"/>
    <cellStyle name="Normal 6 53" xfId="726"/>
    <cellStyle name="Normal 6 54" xfId="727"/>
    <cellStyle name="Normal 6 55" xfId="728"/>
    <cellStyle name="Normal 6 56" xfId="729"/>
    <cellStyle name="Normal 6 57" xfId="730"/>
    <cellStyle name="Normal 6 58" xfId="731"/>
    <cellStyle name="Normal 6 59" xfId="732"/>
    <cellStyle name="Normal 6 6" xfId="733"/>
    <cellStyle name="Normal 6 60" xfId="734"/>
    <cellStyle name="Normal 6 61" xfId="735"/>
    <cellStyle name="Normal 6 62" xfId="736"/>
    <cellStyle name="Normal 6 63" xfId="737"/>
    <cellStyle name="Normal 6 64" xfId="738"/>
    <cellStyle name="Normal 6 65" xfId="739"/>
    <cellStyle name="Normal 6 66" xfId="740"/>
    <cellStyle name="Normal 6 67" xfId="741"/>
    <cellStyle name="Normal 6 68" xfId="742"/>
    <cellStyle name="Normal 6 69" xfId="743"/>
    <cellStyle name="Normal 6 7" xfId="744"/>
    <cellStyle name="Normal 6 70" xfId="745"/>
    <cellStyle name="Normal 6 71" xfId="746"/>
    <cellStyle name="Normal 6 72" xfId="747"/>
    <cellStyle name="Normal 6 73" xfId="748"/>
    <cellStyle name="Normal 6 74" xfId="749"/>
    <cellStyle name="Normal 6 75" xfId="750"/>
    <cellStyle name="Normal 6 76" xfId="751"/>
    <cellStyle name="Normal 6 77" xfId="752"/>
    <cellStyle name="Normal 6 78" xfId="753"/>
    <cellStyle name="Normal 6 79" xfId="754"/>
    <cellStyle name="Normal 6 8" xfId="755"/>
    <cellStyle name="Normal 6 80" xfId="756"/>
    <cellStyle name="Normal 6 81" xfId="757"/>
    <cellStyle name="Normal 6 82" xfId="758"/>
    <cellStyle name="Normal 6 83" xfId="759"/>
    <cellStyle name="Normal 6 84" xfId="760"/>
    <cellStyle name="Normal 6 85" xfId="761"/>
    <cellStyle name="Normal 6 86" xfId="762"/>
    <cellStyle name="Normal 6 87" xfId="763"/>
    <cellStyle name="Normal 6 88" xfId="764"/>
    <cellStyle name="Normal 6 89" xfId="765"/>
    <cellStyle name="Normal 6 9" xfId="766"/>
    <cellStyle name="Normal 6 90" xfId="767"/>
    <cellStyle name="Normal 6 91" xfId="768"/>
    <cellStyle name="Normal 6 92" xfId="769"/>
    <cellStyle name="Normal 6 93" xfId="770"/>
    <cellStyle name="Normal 6 94" xfId="771"/>
    <cellStyle name="Normal 6 95" xfId="772"/>
    <cellStyle name="Normal 6 96" xfId="773"/>
    <cellStyle name="Normal 6 97" xfId="774"/>
    <cellStyle name="Normal 6 98" xfId="775"/>
    <cellStyle name="Normal 6 99" xfId="776"/>
    <cellStyle name="Normal 60" xfId="777"/>
    <cellStyle name="Normal 61" xfId="778"/>
    <cellStyle name="Normal 62" xfId="779"/>
    <cellStyle name="Normal 63" xfId="780"/>
    <cellStyle name="Normal 64" xfId="781"/>
    <cellStyle name="Normal 65" xfId="782"/>
    <cellStyle name="Normal 66" xfId="783"/>
    <cellStyle name="Normal 67" xfId="784"/>
    <cellStyle name="Normal 68" xfId="785"/>
    <cellStyle name="Normal 69" xfId="786"/>
    <cellStyle name="Normal 7" xfId="787"/>
    <cellStyle name="Normal 7 10" xfId="788"/>
    <cellStyle name="Normal 7 100" xfId="789"/>
    <cellStyle name="Normal 7 101" xfId="790"/>
    <cellStyle name="Normal 7 102" xfId="791"/>
    <cellStyle name="Normal 7 103" xfId="792"/>
    <cellStyle name="Normal 7 104" xfId="793"/>
    <cellStyle name="Normal 7 105" xfId="794"/>
    <cellStyle name="Normal 7 106" xfId="795"/>
    <cellStyle name="Normal 7 107" xfId="796"/>
    <cellStyle name="Normal 7 108" xfId="797"/>
    <cellStyle name="Normal 7 109" xfId="798"/>
    <cellStyle name="Normal 7 11" xfId="799"/>
    <cellStyle name="Normal 7 110" xfId="800"/>
    <cellStyle name="Normal 7 111" xfId="801"/>
    <cellStyle name="Normal 7 112" xfId="802"/>
    <cellStyle name="Normal 7 113" xfId="803"/>
    <cellStyle name="Normal 7 114" xfId="804"/>
    <cellStyle name="Normal 7 115" xfId="805"/>
    <cellStyle name="Normal 7 116" xfId="806"/>
    <cellStyle name="Normal 7 117" xfId="807"/>
    <cellStyle name="Normal 7 118" xfId="808"/>
    <cellStyle name="Normal 7 119" xfId="809"/>
    <cellStyle name="Normal 7 12" xfId="810"/>
    <cellStyle name="Normal 7 120" xfId="811"/>
    <cellStyle name="Normal 7 121" xfId="812"/>
    <cellStyle name="Normal 7 122" xfId="813"/>
    <cellStyle name="Normal 7 123" xfId="814"/>
    <cellStyle name="Normal 7 124" xfId="815"/>
    <cellStyle name="Normal 7 125" xfId="816"/>
    <cellStyle name="Normal 7 126" xfId="817"/>
    <cellStyle name="Normal 7 127" xfId="818"/>
    <cellStyle name="Normal 7 128" xfId="819"/>
    <cellStyle name="Normal 7 129" xfId="820"/>
    <cellStyle name="Normal 7 13" xfId="821"/>
    <cellStyle name="Normal 7 130" xfId="822"/>
    <cellStyle name="Normal 7 131" xfId="823"/>
    <cellStyle name="Normal 7 132" xfId="824"/>
    <cellStyle name="Normal 7 14" xfId="825"/>
    <cellStyle name="Normal 7 15" xfId="826"/>
    <cellStyle name="Normal 7 16" xfId="827"/>
    <cellStyle name="Normal 7 17" xfId="828"/>
    <cellStyle name="Normal 7 18" xfId="829"/>
    <cellStyle name="Normal 7 19" xfId="830"/>
    <cellStyle name="Normal 7 2" xfId="831"/>
    <cellStyle name="Normal 7 20" xfId="832"/>
    <cellStyle name="Normal 7 21" xfId="833"/>
    <cellStyle name="Normal 7 22" xfId="834"/>
    <cellStyle name="Normal 7 23" xfId="835"/>
    <cellStyle name="Normal 7 24" xfId="836"/>
    <cellStyle name="Normal 7 25" xfId="837"/>
    <cellStyle name="Normal 7 26" xfId="838"/>
    <cellStyle name="Normal 7 27" xfId="839"/>
    <cellStyle name="Normal 7 28" xfId="840"/>
    <cellStyle name="Normal 7 29" xfId="841"/>
    <cellStyle name="Normal 7 3" xfId="842"/>
    <cellStyle name="Normal 7 30" xfId="843"/>
    <cellStyle name="Normal 7 31" xfId="844"/>
    <cellStyle name="Normal 7 32" xfId="845"/>
    <cellStyle name="Normal 7 33" xfId="846"/>
    <cellStyle name="Normal 7 34" xfId="847"/>
    <cellStyle name="Normal 7 35" xfId="848"/>
    <cellStyle name="Normal 7 36" xfId="849"/>
    <cellStyle name="Normal 7 37" xfId="850"/>
    <cellStyle name="Normal 7 38" xfId="851"/>
    <cellStyle name="Normal 7 39" xfId="852"/>
    <cellStyle name="Normal 7 4" xfId="853"/>
    <cellStyle name="Normal 7 40" xfId="854"/>
    <cellStyle name="Normal 7 41" xfId="855"/>
    <cellStyle name="Normal 7 42" xfId="856"/>
    <cellStyle name="Normal 7 43" xfId="857"/>
    <cellStyle name="Normal 7 44" xfId="858"/>
    <cellStyle name="Normal 7 45" xfId="859"/>
    <cellStyle name="Normal 7 46" xfId="860"/>
    <cellStyle name="Normal 7 47" xfId="861"/>
    <cellStyle name="Normal 7 48" xfId="862"/>
    <cellStyle name="Normal 7 49" xfId="863"/>
    <cellStyle name="Normal 7 5" xfId="864"/>
    <cellStyle name="Normal 7 50" xfId="865"/>
    <cellStyle name="Normal 7 51" xfId="866"/>
    <cellStyle name="Normal 7 52" xfId="867"/>
    <cellStyle name="Normal 7 53" xfId="868"/>
    <cellStyle name="Normal 7 54" xfId="869"/>
    <cellStyle name="Normal 7 55" xfId="870"/>
    <cellStyle name="Normal 7 56" xfId="871"/>
    <cellStyle name="Normal 7 57" xfId="872"/>
    <cellStyle name="Normal 7 58" xfId="873"/>
    <cellStyle name="Normal 7 59" xfId="874"/>
    <cellStyle name="Normal 7 6" xfId="875"/>
    <cellStyle name="Normal 7 60" xfId="876"/>
    <cellStyle name="Normal 7 61" xfId="877"/>
    <cellStyle name="Normal 7 62" xfId="878"/>
    <cellStyle name="Normal 7 63" xfId="879"/>
    <cellStyle name="Normal 7 64" xfId="880"/>
    <cellStyle name="Normal 7 65" xfId="881"/>
    <cellStyle name="Normal 7 66" xfId="882"/>
    <cellStyle name="Normal 7 67" xfId="883"/>
    <cellStyle name="Normal 7 68" xfId="884"/>
    <cellStyle name="Normal 7 69" xfId="885"/>
    <cellStyle name="Normal 7 7" xfId="886"/>
    <cellStyle name="Normal 7 70" xfId="887"/>
    <cellStyle name="Normal 7 71" xfId="888"/>
    <cellStyle name="Normal 7 72" xfId="889"/>
    <cellStyle name="Normal 7 73" xfId="890"/>
    <cellStyle name="Normal 7 74" xfId="891"/>
    <cellStyle name="Normal 7 75" xfId="892"/>
    <cellStyle name="Normal 7 76" xfId="893"/>
    <cellStyle name="Normal 7 77" xfId="894"/>
    <cellStyle name="Normal 7 78" xfId="895"/>
    <cellStyle name="Normal 7 79" xfId="896"/>
    <cellStyle name="Normal 7 8" xfId="897"/>
    <cellStyle name="Normal 7 80" xfId="898"/>
    <cellStyle name="Normal 7 81" xfId="899"/>
    <cellStyle name="Normal 7 82" xfId="900"/>
    <cellStyle name="Normal 7 83" xfId="901"/>
    <cellStyle name="Normal 7 84" xfId="902"/>
    <cellStyle name="Normal 7 85" xfId="903"/>
    <cellStyle name="Normal 7 86" xfId="904"/>
    <cellStyle name="Normal 7 87" xfId="905"/>
    <cellStyle name="Normal 7 88" xfId="906"/>
    <cellStyle name="Normal 7 89" xfId="907"/>
    <cellStyle name="Normal 7 9" xfId="908"/>
    <cellStyle name="Normal 7 90" xfId="909"/>
    <cellStyle name="Normal 7 91" xfId="910"/>
    <cellStyle name="Normal 7 92" xfId="911"/>
    <cellStyle name="Normal 7 93" xfId="912"/>
    <cellStyle name="Normal 7 94" xfId="913"/>
    <cellStyle name="Normal 7 95" xfId="914"/>
    <cellStyle name="Normal 7 96" xfId="915"/>
    <cellStyle name="Normal 7 97" xfId="916"/>
    <cellStyle name="Normal 7 98" xfId="917"/>
    <cellStyle name="Normal 7 99" xfId="918"/>
    <cellStyle name="Normal 70" xfId="919"/>
    <cellStyle name="Normal 71" xfId="920"/>
    <cellStyle name="Normal 72" xfId="921"/>
    <cellStyle name="Normal 73" xfId="922"/>
    <cellStyle name="Normal 74" xfId="923"/>
    <cellStyle name="Normal 75" xfId="924"/>
    <cellStyle name="Normal 76" xfId="925"/>
    <cellStyle name="Normal 77" xfId="926"/>
    <cellStyle name="Normal 78" xfId="927"/>
    <cellStyle name="Normal 79" xfId="928"/>
    <cellStyle name="Normal 8" xfId="929"/>
    <cellStyle name="Normal 80" xfId="930"/>
    <cellStyle name="Normal 81" xfId="931"/>
    <cellStyle name="Normal 82" xfId="932"/>
    <cellStyle name="Normal 83" xfId="933"/>
    <cellStyle name="Normal 84" xfId="934"/>
    <cellStyle name="Normal 85" xfId="935"/>
    <cellStyle name="Normal 86" xfId="936"/>
    <cellStyle name="Normal 87" xfId="937"/>
    <cellStyle name="Normal 88" xfId="938"/>
    <cellStyle name="Normal 89" xfId="939"/>
    <cellStyle name="Normal 9" xfId="940"/>
    <cellStyle name="Normal 90" xfId="941"/>
    <cellStyle name="Normal 91" xfId="942"/>
    <cellStyle name="Normal 92" xfId="943"/>
    <cellStyle name="Normal 93" xfId="944"/>
    <cellStyle name="Normal 94" xfId="945"/>
    <cellStyle name="Normal 95" xfId="946"/>
    <cellStyle name="Normal 96" xfId="947"/>
    <cellStyle name="Normal 97" xfId="948"/>
    <cellStyle name="Normal 98" xfId="949"/>
    <cellStyle name="Normal 99" xfId="950"/>
    <cellStyle name="Separador de milhares 2" xfId="951"/>
    <cellStyle name="Separador de milhares 2 2" xfId="952"/>
    <cellStyle name="Separador de milhares 2 2 2" xfId="957"/>
    <cellStyle name="Separador de milhares 2 2 2 2" xfId="1392"/>
    <cellStyle name="Separador de milhares 2 2 2 2 2" xfId="1419"/>
    <cellStyle name="Separador de milhares 2 2 2 3" xfId="1108"/>
    <cellStyle name="Separador de milhares 2 2 2 3 2" xfId="1409"/>
    <cellStyle name="Separador de milhares 2 2 2 4" xfId="1398"/>
    <cellStyle name="Separador de milhares 2 2 3" xfId="1103"/>
    <cellStyle name="Separador de milhares 2 2 3 2" xfId="1387"/>
    <cellStyle name="Separador de milhares 2 2 3 2 2" xfId="1414"/>
    <cellStyle name="Separador de milhares 2 2 3 3" xfId="1404"/>
    <cellStyle name="Separador de milhares 2 3" xfId="953"/>
    <cellStyle name="Separador de milhares 2 3 2" xfId="958"/>
    <cellStyle name="Separador de milhares 2 3 2 2" xfId="1393"/>
    <cellStyle name="Separador de milhares 2 3 2 2 2" xfId="1420"/>
    <cellStyle name="Separador de milhares 2 3 2 3" xfId="1109"/>
    <cellStyle name="Separador de milhares 2 3 2 3 2" xfId="1410"/>
    <cellStyle name="Separador de milhares 2 3 2 4" xfId="1399"/>
    <cellStyle name="Separador de milhares 2 3 3" xfId="1104"/>
    <cellStyle name="Separador de milhares 2 3 3 2" xfId="1388"/>
    <cellStyle name="Separador de milhares 2 3 3 2 2" xfId="1415"/>
    <cellStyle name="Separador de milhares 2 3 3 3" xfId="1405"/>
    <cellStyle name="Separador de milhares 2 4" xfId="954"/>
    <cellStyle name="Separador de milhares 2 4 2" xfId="959"/>
    <cellStyle name="Separador de milhares 2 4 2 2" xfId="1394"/>
    <cellStyle name="Separador de milhares 2 4 2 2 2" xfId="1421"/>
    <cellStyle name="Separador de milhares 2 4 2 3" xfId="1110"/>
    <cellStyle name="Separador de milhares 2 4 2 3 2" xfId="1411"/>
    <cellStyle name="Separador de milhares 2 4 2 4" xfId="1400"/>
    <cellStyle name="Separador de milhares 2 4 3" xfId="1105"/>
    <cellStyle name="Separador de milhares 2 4 3 2" xfId="1389"/>
    <cellStyle name="Separador de milhares 2 4 3 2 2" xfId="1416"/>
    <cellStyle name="Separador de milhares 2 4 3 3" xfId="1406"/>
    <cellStyle name="Separador de milhares 2 5" xfId="956"/>
    <cellStyle name="Separador de milhares 2 5 2" xfId="1391"/>
    <cellStyle name="Separador de milhares 2 5 2 2" xfId="1418"/>
    <cellStyle name="Separador de milhares 2 5 3" xfId="1107"/>
    <cellStyle name="Separador de milhares 2 5 3 2" xfId="1408"/>
    <cellStyle name="Separador de milhares 2 5 4" xfId="1397"/>
    <cellStyle name="Separador de milhares 2 6" xfId="1102"/>
    <cellStyle name="Separador de milhares 2 6 2" xfId="1386"/>
    <cellStyle name="Separador de milhares 2 6 2 2" xfId="1413"/>
    <cellStyle name="Separador de milhares 2 6 3" xfId="1403"/>
    <cellStyle name="Separador de milhares 3" xfId="955"/>
    <cellStyle name="Separador de milhares 3 2" xfId="960"/>
    <cellStyle name="Separador de milhares 3 2 2" xfId="1395"/>
    <cellStyle name="Separador de milhares 3 2 2 2" xfId="1422"/>
    <cellStyle name="Separador de milhares 3 2 3" xfId="1111"/>
    <cellStyle name="Separador de milhares 3 2 3 2" xfId="1412"/>
    <cellStyle name="Separador de milhares 3 2 4" xfId="1401"/>
    <cellStyle name="Separador de milhares 3 3" xfId="1106"/>
    <cellStyle name="Separador de milhares 3 3 2" xfId="1390"/>
    <cellStyle name="Separador de milhares 3 3 2 2" xfId="1417"/>
    <cellStyle name="Separador de milhares 3 3 3" xfId="1407"/>
  </cellStyles>
  <dxfs count="267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theme="9" tint="-0.24994659260841701"/>
      </font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339933"/>
      <color rgb="FF33CC33"/>
      <color rgb="FF0000FF"/>
      <color rgb="FFCC66FF"/>
      <color rgb="FF006600"/>
      <color rgb="FFCC0099"/>
      <color rgb="FF660066"/>
      <color rgb="FFDFDD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20</xdr:row>
      <xdr:rowOff>266700</xdr:rowOff>
    </xdr:from>
    <xdr:to>
      <xdr:col>3</xdr:col>
      <xdr:colOff>381000</xdr:colOff>
      <xdr:row>22</xdr:row>
      <xdr:rowOff>228600</xdr:rowOff>
    </xdr:to>
    <xdr:pic>
      <xdr:nvPicPr>
        <xdr:cNvPr id="2" name="Imagem 12" descr="Brasão de Praia Grande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4886325"/>
          <a:ext cx="9715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104776</xdr:rowOff>
    </xdr:from>
    <xdr:to>
      <xdr:col>2</xdr:col>
      <xdr:colOff>131559</xdr:colOff>
      <xdr:row>3</xdr:row>
      <xdr:rowOff>78241</xdr:rowOff>
    </xdr:to>
    <xdr:pic>
      <xdr:nvPicPr>
        <xdr:cNvPr id="2" name="Imagem 1" descr="Sem título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50" y="104776"/>
          <a:ext cx="687184" cy="581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95252</xdr:rowOff>
    </xdr:from>
    <xdr:to>
      <xdr:col>2</xdr:col>
      <xdr:colOff>63897</xdr:colOff>
      <xdr:row>3</xdr:row>
      <xdr:rowOff>54428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0975" y="95252"/>
          <a:ext cx="642121" cy="5429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209549</xdr:colOff>
      <xdr:row>0</xdr:row>
      <xdr:rowOff>104776</xdr:rowOff>
    </xdr:from>
    <xdr:to>
      <xdr:col>2</xdr:col>
      <xdr:colOff>71604</xdr:colOff>
      <xdr:row>2</xdr:row>
      <xdr:rowOff>197304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49" y="104776"/>
          <a:ext cx="630859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57151</xdr:rowOff>
    </xdr:from>
    <xdr:to>
      <xdr:col>2</xdr:col>
      <xdr:colOff>101334</xdr:colOff>
      <xdr:row>3</xdr:row>
      <xdr:rowOff>149900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57151"/>
          <a:ext cx="800100" cy="6764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66675</xdr:rowOff>
    </xdr:from>
    <xdr:to>
      <xdr:col>2</xdr:col>
      <xdr:colOff>154401</xdr:colOff>
      <xdr:row>3</xdr:row>
      <xdr:rowOff>175531</xdr:rowOff>
    </xdr:to>
    <xdr:pic>
      <xdr:nvPicPr>
        <xdr:cNvPr id="5" name="Imagem 4" descr="Sem título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725" y="66675"/>
          <a:ext cx="819150" cy="6926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104775</xdr:rowOff>
    </xdr:from>
    <xdr:to>
      <xdr:col>2</xdr:col>
      <xdr:colOff>15811</xdr:colOff>
      <xdr:row>3</xdr:row>
      <xdr:rowOff>200024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50" y="104775"/>
          <a:ext cx="819150" cy="6926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104775</xdr:rowOff>
    </xdr:from>
    <xdr:to>
      <xdr:col>2</xdr:col>
      <xdr:colOff>271583</xdr:colOff>
      <xdr:row>3</xdr:row>
      <xdr:rowOff>207228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50" y="104775"/>
          <a:ext cx="819150" cy="6926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104775</xdr:rowOff>
    </xdr:from>
    <xdr:to>
      <xdr:col>2</xdr:col>
      <xdr:colOff>37860</xdr:colOff>
      <xdr:row>3</xdr:row>
      <xdr:rowOff>194921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50" y="104775"/>
          <a:ext cx="819150" cy="6926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209550</xdr:colOff>
      <xdr:row>0</xdr:row>
      <xdr:rowOff>104775</xdr:rowOff>
    </xdr:from>
    <xdr:to>
      <xdr:col>2</xdr:col>
      <xdr:colOff>37860</xdr:colOff>
      <xdr:row>3</xdr:row>
      <xdr:rowOff>194921</xdr:rowOff>
    </xdr:to>
    <xdr:pic>
      <xdr:nvPicPr>
        <xdr:cNvPr id="4" name="Imagem 3" descr="Sem título.jp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50" y="104775"/>
          <a:ext cx="828435" cy="747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104775</xdr:rowOff>
    </xdr:from>
    <xdr:to>
      <xdr:col>2</xdr:col>
      <xdr:colOff>146402</xdr:colOff>
      <xdr:row>3</xdr:row>
      <xdr:rowOff>97215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1" y="104775"/>
          <a:ext cx="819150" cy="6926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95250</xdr:rowOff>
    </xdr:from>
    <xdr:to>
      <xdr:col>2</xdr:col>
      <xdr:colOff>22201</xdr:colOff>
      <xdr:row>3</xdr:row>
      <xdr:rowOff>149678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95250"/>
          <a:ext cx="819150" cy="6926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38101</xdr:rowOff>
    </xdr:from>
    <xdr:to>
      <xdr:col>1</xdr:col>
      <xdr:colOff>266701</xdr:colOff>
      <xdr:row>2</xdr:row>
      <xdr:rowOff>206107</xdr:rowOff>
    </xdr:to>
    <xdr:pic>
      <xdr:nvPicPr>
        <xdr:cNvPr id="2" name="Imagem 1" descr="Sem título.jp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1" y="38101"/>
          <a:ext cx="685800" cy="5680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38101</xdr:rowOff>
    </xdr:from>
    <xdr:to>
      <xdr:col>1</xdr:col>
      <xdr:colOff>266701</xdr:colOff>
      <xdr:row>2</xdr:row>
      <xdr:rowOff>206107</xdr:rowOff>
    </xdr:to>
    <xdr:pic>
      <xdr:nvPicPr>
        <xdr:cNvPr id="2" name="Imagem 1" descr="Sem título.jp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1" y="38101"/>
          <a:ext cx="685800" cy="5680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156634</xdr:colOff>
      <xdr:row>3</xdr:row>
      <xdr:rowOff>123556</xdr:rowOff>
    </xdr:to>
    <xdr:pic>
      <xdr:nvPicPr>
        <xdr:cNvPr id="2" name="Imagem 1" descr="Sem título.jp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7650" y="200025"/>
          <a:ext cx="690034" cy="5617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104776</xdr:rowOff>
    </xdr:from>
    <xdr:to>
      <xdr:col>1</xdr:col>
      <xdr:colOff>32947</xdr:colOff>
      <xdr:row>3</xdr:row>
      <xdr:rowOff>47625</xdr:rowOff>
    </xdr:to>
    <xdr:pic>
      <xdr:nvPicPr>
        <xdr:cNvPr id="2" name="Imagem 1" descr="Sem título.jp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50" y="104776"/>
          <a:ext cx="684009" cy="581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duc-1301\DADOS\SECRETARIA\2023\LISTA%20PILOTO\LISTA%20PILOTO%20-%20EJA%202&#186;%20SEM%202023%20-%20OFICI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ISTA%20PILOTO%20-%20EJA%20-%201&#186;%20SEM%20-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duc-1302\DADOS\SECRETARIA\2024\LISTA%20PILOTO%202024\LISTA%20PILOTO%20-%20EJA%201&#186;%20SEM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duc-1301\DADOS\SECRETARIA\2023\LISTA%20PILOTO\LISTA%20PILOTO%20-%20EJA%201&#186;%20SEM%202023%20-%20OFICIAL%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duc-1301\Dados\MATRIZ%202017\E.M.%20JOS&#201;%20PADIN%20MOUTA\2019\EJA%20-%202019\FORMA&#199;&#195;O%20DE%20SALA_RENDIMENTO%20-%202&#186;2019\FORMA&#199;&#195;O%20DE%20SALA%20-%20EJA%202&#186;%20SEM%20201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runasm\Documents\LISTAS\LISTA%20PILOTO%20-%20EJA%201&#186;%20SEM%202024%20RESULT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CORRIDA"/>
      <sheetName val="Total de Alunos"/>
      <sheetName val="1ª"/>
      <sheetName val="2ª"/>
      <sheetName val="3ª"/>
      <sheetName val="4ª"/>
      <sheetName val="5ª"/>
      <sheetName val="6ª"/>
      <sheetName val="7ª"/>
      <sheetName val="8ª"/>
      <sheetName val="1ª EM"/>
      <sheetName val="2ª EM"/>
      <sheetName val="3ª EM"/>
      <sheetName val="RETIDOS FREQUENCIA"/>
      <sheetName val="menores concluintes 8ª"/>
      <sheetName val="fomandos 1ºsem2023"/>
      <sheetName val="NCOM - MC's"/>
    </sheetNames>
    <sheetDataSet>
      <sheetData sheetId="0" refreshError="1"/>
      <sheetData sheetId="1" refreshError="1"/>
      <sheetData sheetId="2" refreshError="1">
        <row r="5">
          <cell r="A5" t="str">
            <v>SÉRIE: 1ª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3" refreshError="1">
        <row r="5">
          <cell r="A5" t="str">
            <v>SÉRIE: 2ª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4" refreshError="1">
        <row r="5">
          <cell r="A5" t="str">
            <v>SÉRIE: 3ª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5" refreshError="1">
        <row r="5">
          <cell r="A5" t="str">
            <v>SÉRIE: 4ª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6" refreshError="1">
        <row r="5">
          <cell r="A5" t="str">
            <v>SÉRIE: 5ª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7" refreshError="1">
        <row r="5">
          <cell r="A5" t="str">
            <v>SÉRIE: 6ª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8" refreshError="1">
        <row r="5">
          <cell r="A5" t="str">
            <v>SÉRIE: 7ª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9" refreshError="1">
        <row r="5">
          <cell r="A5" t="str">
            <v>Série: 8ª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10" refreshError="1">
        <row r="5">
          <cell r="A5" t="str">
            <v>Série: 1ª SÉRIE E.M</v>
          </cell>
          <cell r="B5">
            <v>0</v>
          </cell>
          <cell r="C5">
            <v>0</v>
          </cell>
          <cell r="D5">
            <v>0</v>
          </cell>
        </row>
      </sheetData>
      <sheetData sheetId="11" refreshError="1">
        <row r="5">
          <cell r="A5" t="str">
            <v>Série: 2ª SÉRIE E.M</v>
          </cell>
          <cell r="B5">
            <v>0</v>
          </cell>
          <cell r="C5">
            <v>0</v>
          </cell>
          <cell r="D5">
            <v>0</v>
          </cell>
        </row>
      </sheetData>
      <sheetData sheetId="12" refreshError="1">
        <row r="5">
          <cell r="A5" t="str">
            <v>Série: 3ª SÉRIE E.M</v>
          </cell>
          <cell r="B5">
            <v>0</v>
          </cell>
          <cell r="C5">
            <v>0</v>
          </cell>
          <cell r="D5">
            <v>0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CORRIDA"/>
      <sheetName val="Total de Alunos"/>
      <sheetName val="1ª"/>
      <sheetName val="2ª"/>
      <sheetName val="3ª"/>
      <sheetName val="4ª"/>
      <sheetName val="5ª"/>
      <sheetName val="6ª"/>
      <sheetName val="7ª"/>
      <sheetName val="8ª"/>
      <sheetName val="1ª EM"/>
      <sheetName val="2ª EM"/>
      <sheetName val="3ª EM"/>
      <sheetName val="menores concluintes 8ª"/>
      <sheetName val="RETIDOS FREQUENCIA"/>
      <sheetName val="fomandos 1ºsem2024"/>
      <sheetName val="NCOM - MC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CORRIDA"/>
      <sheetName val="Total de Alunos"/>
      <sheetName val="1ª"/>
      <sheetName val="2ª"/>
      <sheetName val="3ª"/>
      <sheetName val="4ª"/>
      <sheetName val="5ª"/>
      <sheetName val="6ª"/>
      <sheetName val="7ª"/>
      <sheetName val="8ª"/>
      <sheetName val="1ª EM"/>
      <sheetName val="2ª EM"/>
      <sheetName val="3ª EM"/>
      <sheetName val="menores concluintes 8ª"/>
      <sheetName val="RETIDOS FREQUENCIA"/>
      <sheetName val="fomandos 2ºsem2023"/>
      <sheetName val="NCOM - MC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CORRIDA"/>
      <sheetName val="Total de Alunos"/>
      <sheetName val="1ª"/>
      <sheetName val="2ª"/>
      <sheetName val="3ª"/>
      <sheetName val="4ª"/>
      <sheetName val="5ª"/>
      <sheetName val="6ª"/>
      <sheetName val="7ª"/>
      <sheetName val="8ª"/>
      <sheetName val="1ª EM"/>
      <sheetName val="2ª EM"/>
      <sheetName val="3ª EM"/>
      <sheetName val="menores concluintes 8ª"/>
      <sheetName val="RETIDOS FREQUENCIA"/>
      <sheetName val="fomandos 2ºsem2023"/>
      <sheetName val="NCOM - MC's"/>
    </sheetNames>
    <sheetDataSet>
      <sheetData sheetId="0"/>
      <sheetData sheetId="1">
        <row r="18">
          <cell r="B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CORRIDA"/>
      <sheetName val="1ª"/>
      <sheetName val="2ª"/>
      <sheetName val="3ª"/>
      <sheetName val="4ª"/>
      <sheetName val="5ª"/>
      <sheetName val="6ª"/>
      <sheetName val="7ª"/>
      <sheetName val="8ª"/>
      <sheetName val="CONCLUINTES EF -18"/>
      <sheetName val="1ª EM"/>
      <sheetName val="2ª EM"/>
      <sheetName val="3ª EM"/>
      <sheetName val="TOTAIS EJA - 1ºSEM-2019"/>
      <sheetName val="NCOM - MC's"/>
      <sheetName val="SEM IDADE - 8ª SÉRIE - 2º-2018"/>
      <sheetName val="Total de Alunos"/>
      <sheetName val="CONCLUINTES 3ª EM 2018.2º"/>
      <sheetName val="CONCLUINTES EM"/>
      <sheetName val="RETIDOS FALTA ou NF"/>
      <sheetName val="Pla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ª"/>
      <sheetName val="6ª"/>
      <sheetName val="1ª EM"/>
      <sheetName val="fomandos 2ºsem202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96"/>
  <sheetViews>
    <sheetView view="pageBreakPreview" zoomScale="70" zoomScaleNormal="85" zoomScaleSheetLayoutView="70" workbookViewId="0">
      <pane xSplit="2" ySplit="1" topLeftCell="C11" activePane="bottomRight" state="frozen"/>
      <selection activeCell="B7" sqref="B7"/>
      <selection pane="topRight" activeCell="B7" sqref="B7"/>
      <selection pane="bottomLeft" activeCell="B7" sqref="B7"/>
      <selection pane="bottomRight" activeCell="AD584" sqref="AD584"/>
    </sheetView>
  </sheetViews>
  <sheetFormatPr defaultRowHeight="15" x14ac:dyDescent="0.25"/>
  <cols>
    <col min="1" max="1" width="13.42578125" style="416" bestFit="1" customWidth="1"/>
    <col min="2" max="2" width="5" style="438" customWidth="1"/>
    <col min="3" max="3" width="8.140625" style="438" customWidth="1"/>
    <col min="4" max="4" width="38.28515625" style="439" customWidth="1"/>
    <col min="5" max="6" width="4.7109375" style="440" customWidth="1"/>
    <col min="7" max="7" width="13" style="441" customWidth="1"/>
    <col min="8" max="8" width="13.140625" style="442" customWidth="1"/>
    <col min="9" max="9" width="15.85546875" style="443" customWidth="1"/>
    <col min="10" max="10" width="15.42578125" style="442" hidden="1" customWidth="1"/>
    <col min="11" max="11" width="17.42578125" style="439" customWidth="1"/>
    <col min="12" max="12" width="14.42578125" style="443" customWidth="1"/>
    <col min="13" max="13" width="14" style="444" hidden="1" customWidth="1"/>
    <col min="14" max="14" width="8" style="444" customWidth="1"/>
    <col min="15" max="15" width="30.7109375" style="445" customWidth="1"/>
    <col min="16" max="16" width="15" style="435" bestFit="1" customWidth="1"/>
    <col min="17" max="17" width="35.85546875" style="435" customWidth="1"/>
    <col min="18" max="18" width="9.140625" style="383"/>
    <col min="19" max="19" width="15.7109375" style="383" bestFit="1" customWidth="1"/>
    <col min="20" max="20" width="20.140625" style="383" bestFit="1" customWidth="1"/>
    <col min="21" max="21" width="14.42578125" style="383" bestFit="1" customWidth="1"/>
    <col min="22" max="22" width="16" style="383" bestFit="1" customWidth="1"/>
    <col min="23" max="23" width="19.140625" style="383" customWidth="1"/>
    <col min="24" max="24" width="12.5703125" style="383" bestFit="1" customWidth="1"/>
    <col min="25" max="25" width="17.140625" style="383" bestFit="1" customWidth="1"/>
    <col min="26" max="26" width="11.140625" style="435" bestFit="1" customWidth="1"/>
    <col min="27" max="27" width="28.85546875" style="435" bestFit="1" customWidth="1"/>
    <col min="28" max="28" width="12.5703125" style="386" bestFit="1" customWidth="1"/>
    <col min="29" max="29" width="32.42578125" style="386" bestFit="1" customWidth="1"/>
    <col min="30" max="30" width="14.42578125" style="435" bestFit="1" customWidth="1"/>
    <col min="31" max="16384" width="9.140625" style="435"/>
  </cols>
  <sheetData>
    <row r="1" spans="1:30" s="253" customFormat="1" ht="16.5" thickBot="1" x14ac:dyDescent="0.3">
      <c r="A1" s="417" t="s">
        <v>37</v>
      </c>
      <c r="B1" s="418" t="s">
        <v>7</v>
      </c>
      <c r="C1" s="419" t="s">
        <v>8</v>
      </c>
      <c r="D1" s="420" t="s">
        <v>9</v>
      </c>
      <c r="E1" s="421" t="s">
        <v>10</v>
      </c>
      <c r="F1" s="422" t="s">
        <v>11</v>
      </c>
      <c r="G1" s="423" t="s">
        <v>12</v>
      </c>
      <c r="H1" s="424" t="s">
        <v>13</v>
      </c>
      <c r="I1" s="425" t="s">
        <v>14</v>
      </c>
      <c r="J1" s="426" t="s">
        <v>105</v>
      </c>
      <c r="K1" s="427" t="s">
        <v>15</v>
      </c>
      <c r="L1" s="428" t="s">
        <v>28</v>
      </c>
      <c r="M1" s="429" t="s">
        <v>106</v>
      </c>
      <c r="N1" s="429" t="s">
        <v>36</v>
      </c>
      <c r="O1" s="429" t="s">
        <v>107</v>
      </c>
      <c r="P1" s="253" t="s">
        <v>109</v>
      </c>
      <c r="Q1" s="253" t="s">
        <v>111</v>
      </c>
      <c r="R1" s="430" t="s">
        <v>6</v>
      </c>
      <c r="S1" s="430" t="s">
        <v>307</v>
      </c>
      <c r="T1" s="430" t="s">
        <v>308</v>
      </c>
      <c r="U1" s="430" t="s">
        <v>309</v>
      </c>
      <c r="V1" s="430" t="s">
        <v>310</v>
      </c>
      <c r="W1" s="430" t="s">
        <v>311</v>
      </c>
      <c r="X1" s="430" t="s">
        <v>312</v>
      </c>
      <c r="Y1" s="430" t="s">
        <v>313</v>
      </c>
      <c r="Z1" s="431" t="s">
        <v>317</v>
      </c>
      <c r="AA1" s="432" t="s">
        <v>318</v>
      </c>
      <c r="AB1" s="433" t="s">
        <v>319</v>
      </c>
      <c r="AC1" s="434" t="s">
        <v>320</v>
      </c>
      <c r="AD1" s="494" t="s">
        <v>465</v>
      </c>
    </row>
    <row r="2" spans="1:30" s="446" customFormat="1" ht="15.75" x14ac:dyDescent="0.25">
      <c r="A2" s="387" t="str">
        <f>RIGHT('[1]1ª'!$A$5:$D$5,12)</f>
        <v>1ª SÉRIE E.F</v>
      </c>
      <c r="B2" s="388">
        <v>1</v>
      </c>
      <c r="C2" s="389" t="e">
        <f>'1ª'!#REF!</f>
        <v>#REF!</v>
      </c>
      <c r="D2" s="390" t="e">
        <f>'1ª'!#REF!</f>
        <v>#REF!</v>
      </c>
      <c r="E2" s="391" t="e">
        <f>'1ª'!#REF!</f>
        <v>#REF!</v>
      </c>
      <c r="F2" s="391" t="e">
        <f>'1ª'!#REF!</f>
        <v>#REF!</v>
      </c>
      <c r="G2" s="392" t="e">
        <f>'1ª'!#REF!</f>
        <v>#REF!</v>
      </c>
      <c r="H2" s="390" t="e">
        <f>'1ª'!#REF!</f>
        <v>#REF!</v>
      </c>
      <c r="I2" s="390" t="e">
        <f>'1ª'!#REF!</f>
        <v>#REF!</v>
      </c>
      <c r="J2" s="390"/>
      <c r="K2" s="390" t="e">
        <f>'1ª'!#REF!</f>
        <v>#REF!</v>
      </c>
      <c r="L2" s="390" t="e">
        <f>'1ª'!#REF!</f>
        <v>#REF!</v>
      </c>
      <c r="M2" s="390"/>
      <c r="N2" s="390" t="e">
        <f>'1ª'!#REF!</f>
        <v>#REF!</v>
      </c>
      <c r="O2" s="390"/>
      <c r="P2" s="400" t="s">
        <v>110</v>
      </c>
      <c r="Q2" s="396" t="s">
        <v>249</v>
      </c>
      <c r="R2" s="397" t="e">
        <f>'1ª'!#REF!</f>
        <v>#REF!</v>
      </c>
      <c r="S2" s="397" t="e">
        <f>'1ª'!#REF!</f>
        <v>#REF!</v>
      </c>
      <c r="T2" s="397" t="e">
        <f>'1ª'!#REF!</f>
        <v>#REF!</v>
      </c>
      <c r="U2" s="397" t="e">
        <f>'1ª'!#REF!</f>
        <v>#REF!</v>
      </c>
      <c r="V2" s="397" t="e">
        <f>'1ª'!#REF!</f>
        <v>#REF!</v>
      </c>
      <c r="W2" s="397" t="e">
        <f>'1ª'!#REF!</f>
        <v>#REF!</v>
      </c>
      <c r="X2" s="397" t="e">
        <f>'1ª'!#REF!</f>
        <v>#REF!</v>
      </c>
      <c r="Y2" s="397" t="e">
        <f>'1ª'!#REF!</f>
        <v>#REF!</v>
      </c>
      <c r="Z2" s="398" t="e">
        <f>'1ª'!#REF!</f>
        <v>#REF!</v>
      </c>
      <c r="AA2" s="398" t="e">
        <f>'1ª'!#REF!</f>
        <v>#REF!</v>
      </c>
      <c r="AB2" s="399" t="s">
        <v>322</v>
      </c>
      <c r="AC2" s="399"/>
      <c r="AD2" s="446" t="s">
        <v>466</v>
      </c>
    </row>
    <row r="3" spans="1:30" ht="15.75" x14ac:dyDescent="0.25">
      <c r="A3" s="416" t="str">
        <f>RIGHT('[1]1ª'!$A$5:$D$5,12)</f>
        <v>1ª SÉRIE E.F</v>
      </c>
      <c r="B3" s="451">
        <v>2</v>
      </c>
      <c r="C3" s="248" t="e">
        <f>'1ª'!#REF!</f>
        <v>#REF!</v>
      </c>
      <c r="D3" s="362" t="e">
        <f>'1ª'!#REF!</f>
        <v>#REF!</v>
      </c>
      <c r="E3" s="249" t="e">
        <f>'1ª'!#REF!</f>
        <v>#REF!</v>
      </c>
      <c r="F3" s="249" t="e">
        <f>'1ª'!#REF!</f>
        <v>#REF!</v>
      </c>
      <c r="G3" s="250" t="e">
        <f>'1ª'!#REF!</f>
        <v>#REF!</v>
      </c>
      <c r="H3" s="362" t="e">
        <f>'1ª'!#REF!</f>
        <v>#REF!</v>
      </c>
      <c r="I3" s="362" t="e">
        <f>'1ª'!#REF!</f>
        <v>#REF!</v>
      </c>
      <c r="J3" s="362"/>
      <c r="K3" s="362" t="e">
        <f>'1ª'!#REF!</f>
        <v>#REF!</v>
      </c>
      <c r="L3" s="362" t="e">
        <f>'1ª'!#REF!</f>
        <v>#REF!</v>
      </c>
      <c r="M3" s="362"/>
      <c r="N3" s="362" t="e">
        <f>'1ª'!#REF!</f>
        <v>#REF!</v>
      </c>
      <c r="O3" s="362"/>
      <c r="P3" s="253" t="s">
        <v>110</v>
      </c>
      <c r="Q3" s="435" t="s">
        <v>249</v>
      </c>
      <c r="R3" s="383" t="e">
        <f>'1ª'!#REF!</f>
        <v>#REF!</v>
      </c>
      <c r="S3" s="383" t="e">
        <f>'1ª'!#REF!</f>
        <v>#REF!</v>
      </c>
      <c r="T3" s="383" t="e">
        <f>'1ª'!#REF!</f>
        <v>#REF!</v>
      </c>
      <c r="U3" s="383" t="e">
        <f>'1ª'!#REF!</f>
        <v>#REF!</v>
      </c>
      <c r="V3" s="383" t="e">
        <f>'1ª'!#REF!</f>
        <v>#REF!</v>
      </c>
      <c r="W3" s="383" t="e">
        <f>'1ª'!#REF!</f>
        <v>#REF!</v>
      </c>
      <c r="X3" s="383" t="e">
        <f>'1ª'!#REF!</f>
        <v>#REF!</v>
      </c>
      <c r="Y3" s="383" t="e">
        <f>'1ª'!#REF!</f>
        <v>#REF!</v>
      </c>
      <c r="Z3" s="384" t="e">
        <f>'1ª'!#REF!</f>
        <v>#REF!</v>
      </c>
      <c r="AA3" s="384" t="e">
        <f>'1ª'!#REF!</f>
        <v>#REF!</v>
      </c>
      <c r="AB3" s="385" t="s">
        <v>322</v>
      </c>
      <c r="AC3" s="385"/>
      <c r="AD3" s="435" t="s">
        <v>466</v>
      </c>
    </row>
    <row r="4" spans="1:30" ht="15.75" x14ac:dyDescent="0.25">
      <c r="A4" s="416" t="str">
        <f>RIGHT('[1]1ª'!$A$5:$D$5,12)</f>
        <v>1ª SÉRIE E.F</v>
      </c>
      <c r="B4" s="451">
        <v>3</v>
      </c>
      <c r="C4" s="248">
        <f>'1ª'!$B7</f>
        <v>16345</v>
      </c>
      <c r="D4" s="362" t="str">
        <f>'1ª'!$C7</f>
        <v>ELAINE FRANCISCO DE QUEIROZ</v>
      </c>
      <c r="E4" s="249" t="str">
        <f>'1ª'!$D7</f>
        <v>F</v>
      </c>
      <c r="F4" s="249" t="str">
        <f>'1ª'!$E7</f>
        <v>MA</v>
      </c>
      <c r="G4" s="250">
        <f>'1ª'!$F7</f>
        <v>30376</v>
      </c>
      <c r="H4" s="362">
        <f>'1ª'!$G7</f>
        <v>0</v>
      </c>
      <c r="I4" s="362">
        <f>'1ª'!$H7</f>
        <v>0</v>
      </c>
      <c r="J4" s="362"/>
      <c r="K4" s="362">
        <f>'1ª'!$I7</f>
        <v>0</v>
      </c>
      <c r="L4" s="362" t="str">
        <f ca="1">'1ª'!$J7</f>
        <v>DISP.IDADE</v>
      </c>
      <c r="M4" s="362"/>
      <c r="N4" s="362">
        <f ca="1">'1ª'!$K7</f>
        <v>42</v>
      </c>
      <c r="O4" s="362"/>
      <c r="P4" s="473" t="s">
        <v>110</v>
      </c>
      <c r="Q4" s="415" t="s">
        <v>249</v>
      </c>
      <c r="R4" s="383" t="str">
        <f>'1ª'!L7</f>
        <v>Não</v>
      </c>
      <c r="S4" s="383" t="str">
        <f>'1ª'!M7</f>
        <v>Eliane</v>
      </c>
      <c r="T4" s="383" t="str">
        <f>'1ª'!N7</f>
        <v>-</v>
      </c>
      <c r="U4" s="383" t="str">
        <f>'1ª'!O7</f>
        <v>-</v>
      </c>
      <c r="V4" s="383" t="str">
        <f>'1ª'!P7</f>
        <v>-</v>
      </c>
      <c r="W4" s="383" t="str">
        <f>'1ª'!Q7</f>
        <v>-</v>
      </c>
      <c r="X4" s="383" t="str">
        <f>'1ª'!R7</f>
        <v>-</v>
      </c>
      <c r="Y4" s="383" t="str">
        <f>'1ª'!S7</f>
        <v>-</v>
      </c>
      <c r="Z4" s="384">
        <f>'1ª'!T7</f>
        <v>0</v>
      </c>
      <c r="AA4" s="384">
        <f>'1ª'!U7</f>
        <v>0</v>
      </c>
      <c r="AB4" s="385" t="s">
        <v>322</v>
      </c>
      <c r="AC4" s="385"/>
      <c r="AD4" s="435" t="s">
        <v>466</v>
      </c>
    </row>
    <row r="5" spans="1:30" ht="15.75" x14ac:dyDescent="0.25">
      <c r="A5" s="416" t="str">
        <f>RIGHT('[1]1ª'!$A$5:$D$5,12)</f>
        <v>1ª SÉRIE E.F</v>
      </c>
      <c r="B5" s="451">
        <v>4</v>
      </c>
      <c r="C5" s="248">
        <f>'1ª'!$B8</f>
        <v>18904</v>
      </c>
      <c r="D5" s="362" t="str">
        <f>'1ª'!$C8</f>
        <v>LENI RODRIGUES DIAS</v>
      </c>
      <c r="E5" s="249" t="str">
        <f>'1ª'!$D8</f>
        <v>F</v>
      </c>
      <c r="F5" s="249" t="str">
        <f>'1ª'!$E8</f>
        <v>MA</v>
      </c>
      <c r="G5" s="250">
        <f>'1ª'!$F8</f>
        <v>23323</v>
      </c>
      <c r="H5" s="362">
        <f>'1ª'!$G8</f>
        <v>0</v>
      </c>
      <c r="I5" s="362">
        <f>'1ª'!$H8</f>
        <v>0</v>
      </c>
      <c r="J5" s="362"/>
      <c r="K5" s="362">
        <f>'1ª'!$I8</f>
        <v>0</v>
      </c>
      <c r="L5" s="362" t="str">
        <f ca="1">'1ª'!$J8</f>
        <v>DISP.IDADE</v>
      </c>
      <c r="M5" s="362"/>
      <c r="N5" s="362">
        <f ca="1">'1ª'!$K8</f>
        <v>61</v>
      </c>
      <c r="O5" s="362"/>
      <c r="P5" s="253" t="s">
        <v>110</v>
      </c>
      <c r="Q5" s="435" t="s">
        <v>249</v>
      </c>
      <c r="R5" s="383" t="str">
        <f>'1ª'!L8</f>
        <v>Não</v>
      </c>
      <c r="S5" s="383" t="str">
        <f>'1ª'!M8</f>
        <v>Eliane</v>
      </c>
      <c r="T5" s="383" t="str">
        <f>'1ª'!N8</f>
        <v>-</v>
      </c>
      <c r="U5" s="383" t="str">
        <f>'1ª'!O8</f>
        <v>-</v>
      </c>
      <c r="V5" s="383" t="str">
        <f>'1ª'!P8</f>
        <v>-</v>
      </c>
      <c r="W5" s="383" t="str">
        <f>'1ª'!Q8</f>
        <v>-</v>
      </c>
      <c r="X5" s="383" t="str">
        <f>'1ª'!R8</f>
        <v>-</v>
      </c>
      <c r="Y5" s="383" t="str">
        <f>'1ª'!S8</f>
        <v>-</v>
      </c>
      <c r="Z5" s="384">
        <f>'1ª'!T8</f>
        <v>0</v>
      </c>
      <c r="AA5" s="384">
        <f>'1ª'!U8</f>
        <v>0</v>
      </c>
      <c r="AB5" s="385" t="s">
        <v>322</v>
      </c>
      <c r="AC5" s="385"/>
      <c r="AD5" s="435" t="s">
        <v>466</v>
      </c>
    </row>
    <row r="6" spans="1:30" ht="15.75" x14ac:dyDescent="0.25">
      <c r="A6" s="416" t="str">
        <f>RIGHT('[1]1ª'!$A$5:$D$5,12)</f>
        <v>1ª SÉRIE E.F</v>
      </c>
      <c r="B6" s="451">
        <v>5</v>
      </c>
      <c r="C6" s="248">
        <f>'1ª'!$B9</f>
        <v>18828</v>
      </c>
      <c r="D6" s="362" t="str">
        <f>'1ª'!$C9</f>
        <v>MARIA DA SOLEDADE PENHA SILVA</v>
      </c>
      <c r="E6" s="249" t="str">
        <f>'1ª'!$D9</f>
        <v>F</v>
      </c>
      <c r="F6" s="249" t="str">
        <f>'1ª'!$E9</f>
        <v>MA</v>
      </c>
      <c r="G6" s="250">
        <f>'1ª'!$F9</f>
        <v>25983</v>
      </c>
      <c r="H6" s="362">
        <f>'1ª'!$G9</f>
        <v>1258776170</v>
      </c>
      <c r="I6" s="362" t="str">
        <f>'1ª'!$H9</f>
        <v>36934088-7</v>
      </c>
      <c r="J6" s="362"/>
      <c r="K6" s="362">
        <f>'1ª'!$I9</f>
        <v>0</v>
      </c>
      <c r="L6" s="362" t="str">
        <f ca="1">'1ª'!$J9</f>
        <v>DISP.IDADE</v>
      </c>
      <c r="M6" s="362"/>
      <c r="N6" s="362">
        <f ca="1">'1ª'!$K9</f>
        <v>54</v>
      </c>
      <c r="O6" s="362"/>
      <c r="P6" s="473" t="s">
        <v>110</v>
      </c>
      <c r="Q6" s="415" t="s">
        <v>249</v>
      </c>
      <c r="R6" s="383" t="str">
        <f>'1ª'!L9</f>
        <v>Não</v>
      </c>
      <c r="S6" s="383" t="str">
        <f>'1ª'!M9</f>
        <v>Eliane</v>
      </c>
      <c r="T6" s="383" t="str">
        <f>'1ª'!N9</f>
        <v>-</v>
      </c>
      <c r="U6" s="383" t="str">
        <f>'1ª'!O9</f>
        <v>-</v>
      </c>
      <c r="V6" s="383" t="str">
        <f>'1ª'!P9</f>
        <v>-</v>
      </c>
      <c r="W6" s="383" t="str">
        <f>'1ª'!Q9</f>
        <v>-</v>
      </c>
      <c r="X6" s="383" t="str">
        <f>'1ª'!R9</f>
        <v>-</v>
      </c>
      <c r="Y6" s="383" t="str">
        <f>'1ª'!S9</f>
        <v>-</v>
      </c>
      <c r="Z6" s="384">
        <f>'1ª'!T9</f>
        <v>0</v>
      </c>
      <c r="AA6" s="384">
        <f>'1ª'!U9</f>
        <v>0</v>
      </c>
      <c r="AB6" s="385" t="s">
        <v>322</v>
      </c>
      <c r="AC6" s="385"/>
      <c r="AD6" s="435" t="s">
        <v>466</v>
      </c>
    </row>
    <row r="7" spans="1:30" ht="15.75" x14ac:dyDescent="0.25">
      <c r="A7" s="416" t="str">
        <f>RIGHT('[1]1ª'!$A$5:$D$5,12)</f>
        <v>1ª SÉRIE E.F</v>
      </c>
      <c r="B7" s="451">
        <v>6</v>
      </c>
      <c r="C7" s="248">
        <f>'1ª'!$B10</f>
        <v>0</v>
      </c>
      <c r="D7" s="362">
        <f>'1ª'!$C10</f>
        <v>0</v>
      </c>
      <c r="E7" s="249">
        <f>'1ª'!$D10</f>
        <v>0</v>
      </c>
      <c r="F7" s="249" t="str">
        <f>'1ª'!$E10</f>
        <v/>
      </c>
      <c r="G7" s="250">
        <f>'1ª'!$F10</f>
        <v>0</v>
      </c>
      <c r="H7" s="362">
        <f>'1ª'!$G10</f>
        <v>0</v>
      </c>
      <c r="I7" s="362">
        <f>'1ª'!$H10</f>
        <v>0</v>
      </c>
      <c r="J7" s="362"/>
      <c r="K7" s="362">
        <f>'1ª'!$I10</f>
        <v>0</v>
      </c>
      <c r="L7" s="362" t="str">
        <f ca="1">'1ª'!$J10</f>
        <v/>
      </c>
      <c r="M7" s="362"/>
      <c r="N7" s="362" t="str">
        <f ca="1">'1ª'!$K10</f>
        <v/>
      </c>
      <c r="O7" s="362"/>
      <c r="P7" s="253" t="s">
        <v>110</v>
      </c>
      <c r="Q7" s="435" t="s">
        <v>249</v>
      </c>
      <c r="R7" s="383" t="str">
        <f>'1ª'!L10</f>
        <v>Não</v>
      </c>
      <c r="S7" s="383" t="str">
        <f>'1ª'!M10</f>
        <v>Eliane</v>
      </c>
      <c r="T7" s="383" t="str">
        <f>'1ª'!N10</f>
        <v>-</v>
      </c>
      <c r="U7" s="383" t="str">
        <f>'1ª'!O10</f>
        <v>-</v>
      </c>
      <c r="V7" s="383" t="str">
        <f>'1ª'!P10</f>
        <v>-</v>
      </c>
      <c r="W7" s="383" t="str">
        <f>'1ª'!Q10</f>
        <v>-</v>
      </c>
      <c r="X7" s="383" t="str">
        <f>'1ª'!R10</f>
        <v>-</v>
      </c>
      <c r="Y7" s="383" t="str">
        <f>'1ª'!S10</f>
        <v>-</v>
      </c>
      <c r="Z7" s="384">
        <f>'1ª'!T10</f>
        <v>0</v>
      </c>
      <c r="AA7" s="384">
        <f>'1ª'!U10</f>
        <v>0</v>
      </c>
      <c r="AB7" s="385" t="s">
        <v>322</v>
      </c>
      <c r="AC7" s="385"/>
      <c r="AD7" s="435" t="s">
        <v>466</v>
      </c>
    </row>
    <row r="8" spans="1:30" ht="15.75" x14ac:dyDescent="0.25">
      <c r="A8" s="416" t="str">
        <f>RIGHT('[1]1ª'!$A$5:$D$5,12)</f>
        <v>1ª SÉRIE E.F</v>
      </c>
      <c r="B8" s="451">
        <v>7</v>
      </c>
      <c r="C8" s="248">
        <f>'1ª'!$B11</f>
        <v>0</v>
      </c>
      <c r="D8" s="362">
        <f>'1ª'!$C11</f>
        <v>0</v>
      </c>
      <c r="E8" s="249">
        <f>'1ª'!$D11</f>
        <v>0</v>
      </c>
      <c r="F8" s="249" t="str">
        <f>'1ª'!$E11</f>
        <v/>
      </c>
      <c r="G8" s="250">
        <f>'1ª'!$F11</f>
        <v>0</v>
      </c>
      <c r="H8" s="362">
        <f>'1ª'!$G11</f>
        <v>0</v>
      </c>
      <c r="I8" s="362">
        <f>'1ª'!$H11</f>
        <v>0</v>
      </c>
      <c r="J8" s="362"/>
      <c r="K8" s="362">
        <f>'1ª'!$I11</f>
        <v>0</v>
      </c>
      <c r="L8" s="362" t="str">
        <f ca="1">'1ª'!$J11</f>
        <v/>
      </c>
      <c r="M8" s="362"/>
      <c r="N8" s="362" t="str">
        <f ca="1">'1ª'!$K11</f>
        <v/>
      </c>
      <c r="O8" s="362"/>
      <c r="P8" s="473" t="s">
        <v>110</v>
      </c>
      <c r="Q8" s="415" t="s">
        <v>249</v>
      </c>
      <c r="R8" s="383" t="str">
        <f>'1ª'!L11</f>
        <v>Não</v>
      </c>
      <c r="S8" s="383" t="str">
        <f>'1ª'!M11</f>
        <v>Eliane</v>
      </c>
      <c r="T8" s="383" t="str">
        <f>'1ª'!N11</f>
        <v>-</v>
      </c>
      <c r="U8" s="383" t="str">
        <f>'1ª'!O11</f>
        <v>-</v>
      </c>
      <c r="V8" s="383" t="str">
        <f>'1ª'!P11</f>
        <v>-</v>
      </c>
      <c r="W8" s="383" t="str">
        <f>'1ª'!Q11</f>
        <v>-</v>
      </c>
      <c r="X8" s="383" t="str">
        <f>'1ª'!R11</f>
        <v>-</v>
      </c>
      <c r="Y8" s="383" t="str">
        <f>'1ª'!S11</f>
        <v>-</v>
      </c>
      <c r="Z8" s="384">
        <f>'1ª'!T11</f>
        <v>0</v>
      </c>
      <c r="AA8" s="384">
        <f>'1ª'!U11</f>
        <v>0</v>
      </c>
      <c r="AB8" s="385" t="s">
        <v>322</v>
      </c>
      <c r="AC8" s="385"/>
      <c r="AD8" s="435" t="s">
        <v>466</v>
      </c>
    </row>
    <row r="9" spans="1:30" ht="15.75" x14ac:dyDescent="0.25">
      <c r="A9" s="416" t="str">
        <f>RIGHT('[1]1ª'!$A$5:$D$5,12)</f>
        <v>1ª SÉRIE E.F</v>
      </c>
      <c r="B9" s="451">
        <v>8</v>
      </c>
      <c r="C9" s="248">
        <f>'1ª'!$B12</f>
        <v>0</v>
      </c>
      <c r="D9" s="362">
        <f>'1ª'!$C12</f>
        <v>0</v>
      </c>
      <c r="E9" s="249">
        <f>'1ª'!$D12</f>
        <v>0</v>
      </c>
      <c r="F9" s="249" t="str">
        <f>'1ª'!$E12</f>
        <v/>
      </c>
      <c r="G9" s="250">
        <f>'1ª'!$F12</f>
        <v>0</v>
      </c>
      <c r="H9" s="362">
        <f>'1ª'!$G12</f>
        <v>0</v>
      </c>
      <c r="I9" s="362">
        <f>'1ª'!$H12</f>
        <v>0</v>
      </c>
      <c r="J9" s="362"/>
      <c r="K9" s="362">
        <f>'1ª'!$I12</f>
        <v>0</v>
      </c>
      <c r="L9" s="362" t="str">
        <f ca="1">'1ª'!$J12</f>
        <v/>
      </c>
      <c r="M9" s="362"/>
      <c r="N9" s="362" t="str">
        <f ca="1">'1ª'!$K12</f>
        <v/>
      </c>
      <c r="O9" s="362"/>
      <c r="P9" s="253" t="s">
        <v>110</v>
      </c>
      <c r="Q9" s="435" t="s">
        <v>249</v>
      </c>
      <c r="R9" s="383" t="str">
        <f>'1ª'!L12</f>
        <v>Não</v>
      </c>
      <c r="S9" s="383" t="str">
        <f>'1ª'!M12</f>
        <v>Eliane</v>
      </c>
      <c r="T9" s="383" t="str">
        <f>'1ª'!N12</f>
        <v>-</v>
      </c>
      <c r="U9" s="383" t="str">
        <f>'1ª'!O12</f>
        <v>-</v>
      </c>
      <c r="V9" s="383" t="str">
        <f>'1ª'!P12</f>
        <v>-</v>
      </c>
      <c r="W9" s="383" t="str">
        <f>'1ª'!Q12</f>
        <v>-</v>
      </c>
      <c r="X9" s="383" t="str">
        <f>'1ª'!R12</f>
        <v>-</v>
      </c>
      <c r="Y9" s="383" t="str">
        <f>'1ª'!S12</f>
        <v>-</v>
      </c>
      <c r="Z9" s="384">
        <f>'1ª'!T12</f>
        <v>0</v>
      </c>
      <c r="AA9" s="384">
        <f>'1ª'!U12</f>
        <v>0</v>
      </c>
      <c r="AB9" s="385" t="s">
        <v>322</v>
      </c>
      <c r="AC9" s="385"/>
      <c r="AD9" s="435" t="s">
        <v>466</v>
      </c>
    </row>
    <row r="10" spans="1:30" ht="15.75" x14ac:dyDescent="0.25">
      <c r="A10" s="416" t="str">
        <f>RIGHT('[1]1ª'!$A$5:$D$5,12)</f>
        <v>1ª SÉRIE E.F</v>
      </c>
      <c r="B10" s="451">
        <v>9</v>
      </c>
      <c r="C10" s="248">
        <f>'1ª'!$B13</f>
        <v>0</v>
      </c>
      <c r="D10" s="362">
        <f>'1ª'!$C13</f>
        <v>0</v>
      </c>
      <c r="E10" s="249">
        <f>'1ª'!$D13</f>
        <v>0</v>
      </c>
      <c r="F10" s="249" t="str">
        <f>'1ª'!$E13</f>
        <v/>
      </c>
      <c r="G10" s="250">
        <f>'1ª'!$F13</f>
        <v>0</v>
      </c>
      <c r="H10" s="362">
        <f>'1ª'!$G13</f>
        <v>0</v>
      </c>
      <c r="I10" s="362">
        <f>'1ª'!$H13</f>
        <v>0</v>
      </c>
      <c r="J10" s="362"/>
      <c r="K10" s="362">
        <f>'1ª'!$I13</f>
        <v>0</v>
      </c>
      <c r="L10" s="362" t="str">
        <f ca="1">'1ª'!$J13</f>
        <v/>
      </c>
      <c r="M10" s="362"/>
      <c r="N10" s="362" t="str">
        <f ca="1">'1ª'!$K13</f>
        <v/>
      </c>
      <c r="O10" s="362"/>
      <c r="P10" s="473" t="s">
        <v>110</v>
      </c>
      <c r="Q10" s="415" t="s">
        <v>249</v>
      </c>
      <c r="R10" s="383" t="str">
        <f>'1ª'!L13</f>
        <v>Não</v>
      </c>
      <c r="S10" s="383" t="str">
        <f>'1ª'!M13</f>
        <v>Eliane</v>
      </c>
      <c r="T10" s="383" t="str">
        <f>'1ª'!N13</f>
        <v>-</v>
      </c>
      <c r="U10" s="383" t="str">
        <f>'1ª'!O13</f>
        <v>-</v>
      </c>
      <c r="V10" s="383" t="str">
        <f>'1ª'!P13</f>
        <v>-</v>
      </c>
      <c r="W10" s="383" t="str">
        <f>'1ª'!Q13</f>
        <v>-</v>
      </c>
      <c r="X10" s="383" t="str">
        <f>'1ª'!R13</f>
        <v>-</v>
      </c>
      <c r="Y10" s="383" t="str">
        <f>'1ª'!S13</f>
        <v>-</v>
      </c>
      <c r="Z10" s="384">
        <f>'1ª'!T13</f>
        <v>0</v>
      </c>
      <c r="AA10" s="384">
        <f>'1ª'!U13</f>
        <v>0</v>
      </c>
      <c r="AB10" s="385" t="s">
        <v>322</v>
      </c>
      <c r="AC10" s="385"/>
      <c r="AD10" s="435" t="s">
        <v>466</v>
      </c>
    </row>
    <row r="11" spans="1:30" ht="15.75" x14ac:dyDescent="0.25">
      <c r="A11" s="416" t="str">
        <f>RIGHT('[1]1ª'!$A$5:$D$5,12)</f>
        <v>1ª SÉRIE E.F</v>
      </c>
      <c r="B11" s="451">
        <v>10</v>
      </c>
      <c r="C11" s="248">
        <f>'1ª'!$B14</f>
        <v>0</v>
      </c>
      <c r="D11" s="362">
        <f>'1ª'!$C14</f>
        <v>0</v>
      </c>
      <c r="E11" s="249">
        <f>'1ª'!$D14</f>
        <v>0</v>
      </c>
      <c r="F11" s="249" t="str">
        <f>'1ª'!$E14</f>
        <v/>
      </c>
      <c r="G11" s="250">
        <f>'1ª'!$F14</f>
        <v>0</v>
      </c>
      <c r="H11" s="362">
        <f>'1ª'!$G14</f>
        <v>0</v>
      </c>
      <c r="I11" s="362">
        <f>'1ª'!$H14</f>
        <v>0</v>
      </c>
      <c r="J11" s="362"/>
      <c r="K11" s="362">
        <f>'1ª'!$I14</f>
        <v>0</v>
      </c>
      <c r="L11" s="362" t="str">
        <f ca="1">'1ª'!$J14</f>
        <v/>
      </c>
      <c r="M11" s="362"/>
      <c r="N11" s="362" t="str">
        <f ca="1">'1ª'!$K14</f>
        <v/>
      </c>
      <c r="O11" s="362"/>
      <c r="P11" s="253" t="s">
        <v>110</v>
      </c>
      <c r="Q11" s="435" t="s">
        <v>249</v>
      </c>
      <c r="R11" s="383" t="str">
        <f>'1ª'!L14</f>
        <v>Não</v>
      </c>
      <c r="S11" s="383" t="str">
        <f>'1ª'!M14</f>
        <v>Eliane</v>
      </c>
      <c r="T11" s="383" t="str">
        <f>'1ª'!N14</f>
        <v>-</v>
      </c>
      <c r="U11" s="383" t="str">
        <f>'1ª'!O14</f>
        <v>-</v>
      </c>
      <c r="V11" s="383" t="str">
        <f>'1ª'!P14</f>
        <v>-</v>
      </c>
      <c r="W11" s="383" t="str">
        <f>'1ª'!Q14</f>
        <v>-</v>
      </c>
      <c r="X11" s="383" t="str">
        <f>'1ª'!R14</f>
        <v>-</v>
      </c>
      <c r="Y11" s="383" t="str">
        <f>'1ª'!S14</f>
        <v>-</v>
      </c>
      <c r="Z11" s="384">
        <f>'1ª'!T14</f>
        <v>0</v>
      </c>
      <c r="AA11" s="384">
        <f>'1ª'!U14</f>
        <v>0</v>
      </c>
      <c r="AB11" s="385" t="s">
        <v>322</v>
      </c>
      <c r="AC11" s="385"/>
      <c r="AD11" s="435" t="s">
        <v>466</v>
      </c>
    </row>
    <row r="12" spans="1:30" ht="15.75" x14ac:dyDescent="0.25">
      <c r="A12" s="416" t="str">
        <f>RIGHT('[1]1ª'!$A$5:$D$5,12)</f>
        <v>1ª SÉRIE E.F</v>
      </c>
      <c r="B12" s="451">
        <v>11</v>
      </c>
      <c r="C12" s="248">
        <f>'1ª'!$B15</f>
        <v>0</v>
      </c>
      <c r="D12" s="362">
        <f>'1ª'!$C15</f>
        <v>0</v>
      </c>
      <c r="E12" s="249">
        <f>'1ª'!$D15</f>
        <v>0</v>
      </c>
      <c r="F12" s="249" t="str">
        <f>'1ª'!$E15</f>
        <v/>
      </c>
      <c r="G12" s="250">
        <f>'1ª'!$F15</f>
        <v>0</v>
      </c>
      <c r="H12" s="362">
        <f>'1ª'!$G15</f>
        <v>0</v>
      </c>
      <c r="I12" s="362">
        <f>'1ª'!$H15</f>
        <v>0</v>
      </c>
      <c r="J12" s="362"/>
      <c r="K12" s="362">
        <f>'1ª'!$I15</f>
        <v>0</v>
      </c>
      <c r="L12" s="362" t="str">
        <f ca="1">'1ª'!$J15</f>
        <v/>
      </c>
      <c r="M12" s="362"/>
      <c r="N12" s="362" t="str">
        <f ca="1">'1ª'!$K15</f>
        <v/>
      </c>
      <c r="O12" s="362"/>
      <c r="P12" s="473" t="s">
        <v>110</v>
      </c>
      <c r="Q12" s="415" t="s">
        <v>249</v>
      </c>
      <c r="R12" s="383" t="str">
        <f>'1ª'!L15</f>
        <v>Não</v>
      </c>
      <c r="S12" s="383" t="str">
        <f>'1ª'!M15</f>
        <v>Eliane</v>
      </c>
      <c r="T12" s="383" t="str">
        <f>'1ª'!N15</f>
        <v>-</v>
      </c>
      <c r="U12" s="383" t="str">
        <f>'1ª'!O15</f>
        <v>-</v>
      </c>
      <c r="V12" s="383" t="str">
        <f>'1ª'!P15</f>
        <v>-</v>
      </c>
      <c r="W12" s="383" t="str">
        <f>'1ª'!Q15</f>
        <v>-</v>
      </c>
      <c r="X12" s="383" t="str">
        <f>'1ª'!R15</f>
        <v>-</v>
      </c>
      <c r="Y12" s="383" t="str">
        <f>'1ª'!S15</f>
        <v>-</v>
      </c>
      <c r="Z12" s="384">
        <f>'1ª'!T15</f>
        <v>0</v>
      </c>
      <c r="AA12" s="384">
        <f>'1ª'!U15</f>
        <v>0</v>
      </c>
      <c r="AB12" s="385" t="s">
        <v>322</v>
      </c>
      <c r="AC12" s="385"/>
      <c r="AD12" s="435" t="s">
        <v>466</v>
      </c>
    </row>
    <row r="13" spans="1:30" ht="15.75" x14ac:dyDescent="0.25">
      <c r="A13" s="416" t="str">
        <f>RIGHT('[1]1ª'!$A$5:$D$5,12)</f>
        <v>1ª SÉRIE E.F</v>
      </c>
      <c r="B13" s="451">
        <v>12</v>
      </c>
      <c r="C13" s="248">
        <f>'1ª'!$B16</f>
        <v>0</v>
      </c>
      <c r="D13" s="362">
        <f>'1ª'!$C16</f>
        <v>0</v>
      </c>
      <c r="E13" s="249">
        <f>'1ª'!$D16</f>
        <v>0</v>
      </c>
      <c r="F13" s="249" t="str">
        <f>'1ª'!$E16</f>
        <v/>
      </c>
      <c r="G13" s="250">
        <f>'1ª'!$F16</f>
        <v>0</v>
      </c>
      <c r="H13" s="362">
        <f>'1ª'!$G16</f>
        <v>0</v>
      </c>
      <c r="I13" s="362">
        <f>'1ª'!$H16</f>
        <v>0</v>
      </c>
      <c r="J13" s="362"/>
      <c r="K13" s="362">
        <f>'1ª'!$I16</f>
        <v>0</v>
      </c>
      <c r="L13" s="362" t="str">
        <f ca="1">'1ª'!$J16</f>
        <v/>
      </c>
      <c r="M13" s="362"/>
      <c r="N13" s="362" t="str">
        <f ca="1">'1ª'!$K16</f>
        <v/>
      </c>
      <c r="O13" s="362"/>
      <c r="P13" s="253" t="s">
        <v>110</v>
      </c>
      <c r="Q13" s="435" t="s">
        <v>249</v>
      </c>
      <c r="R13" s="383" t="str">
        <f>'1ª'!L16</f>
        <v>Não</v>
      </c>
      <c r="S13" s="383" t="str">
        <f>'1ª'!M16</f>
        <v>Eliane</v>
      </c>
      <c r="T13" s="383" t="str">
        <f>'1ª'!N16</f>
        <v>-</v>
      </c>
      <c r="U13" s="383" t="str">
        <f>'1ª'!O16</f>
        <v>-</v>
      </c>
      <c r="V13" s="383" t="str">
        <f>'1ª'!P16</f>
        <v>-</v>
      </c>
      <c r="W13" s="383" t="str">
        <f>'1ª'!Q16</f>
        <v>-</v>
      </c>
      <c r="X13" s="383" t="str">
        <f>'1ª'!R16</f>
        <v>-</v>
      </c>
      <c r="Y13" s="383" t="str">
        <f>'1ª'!S16</f>
        <v>-</v>
      </c>
      <c r="Z13" s="384">
        <f>'1ª'!T16</f>
        <v>0</v>
      </c>
      <c r="AA13" s="384">
        <f>'1ª'!U16</f>
        <v>0</v>
      </c>
      <c r="AB13" s="385" t="s">
        <v>322</v>
      </c>
      <c r="AC13" s="385"/>
      <c r="AD13" s="435" t="s">
        <v>466</v>
      </c>
    </row>
    <row r="14" spans="1:30" ht="15.75" x14ac:dyDescent="0.25">
      <c r="A14" s="416" t="str">
        <f>RIGHT('[1]1ª'!$A$5:$D$5,12)</f>
        <v>1ª SÉRIE E.F</v>
      </c>
      <c r="B14" s="451">
        <v>13</v>
      </c>
      <c r="C14" s="248">
        <f>'1ª'!$B17</f>
        <v>0</v>
      </c>
      <c r="D14" s="362">
        <f>'1ª'!$C17</f>
        <v>0</v>
      </c>
      <c r="E14" s="249">
        <f>'1ª'!$D17</f>
        <v>0</v>
      </c>
      <c r="F14" s="249" t="str">
        <f>'1ª'!$E17</f>
        <v/>
      </c>
      <c r="G14" s="250">
        <f>'1ª'!$F17</f>
        <v>0</v>
      </c>
      <c r="H14" s="362">
        <f>'1ª'!$G17</f>
        <v>0</v>
      </c>
      <c r="I14" s="362">
        <f>'1ª'!$H17</f>
        <v>0</v>
      </c>
      <c r="J14" s="362"/>
      <c r="K14" s="362">
        <f>'1ª'!$I17</f>
        <v>0</v>
      </c>
      <c r="L14" s="362" t="str">
        <f ca="1">'1ª'!$J17</f>
        <v/>
      </c>
      <c r="M14" s="362"/>
      <c r="N14" s="362" t="str">
        <f ca="1">'1ª'!$K17</f>
        <v/>
      </c>
      <c r="O14" s="362"/>
      <c r="P14" s="473" t="s">
        <v>110</v>
      </c>
      <c r="Q14" s="415" t="s">
        <v>249</v>
      </c>
      <c r="R14" s="383" t="str">
        <f>'1ª'!L17</f>
        <v>Não</v>
      </c>
      <c r="S14" s="383" t="str">
        <f>'1ª'!M17</f>
        <v>Eliane</v>
      </c>
      <c r="T14" s="383" t="str">
        <f>'1ª'!N17</f>
        <v>-</v>
      </c>
      <c r="U14" s="383" t="str">
        <f>'1ª'!O17</f>
        <v>-</v>
      </c>
      <c r="V14" s="383" t="str">
        <f>'1ª'!P17</f>
        <v>-</v>
      </c>
      <c r="W14" s="383" t="str">
        <f>'1ª'!Q17</f>
        <v>-</v>
      </c>
      <c r="X14" s="383" t="str">
        <f>'1ª'!R17</f>
        <v>-</v>
      </c>
      <c r="Y14" s="383" t="str">
        <f>'1ª'!S17</f>
        <v>-</v>
      </c>
      <c r="Z14" s="384">
        <f>'1ª'!T17</f>
        <v>0</v>
      </c>
      <c r="AA14" s="384">
        <f>'1ª'!U17</f>
        <v>0</v>
      </c>
      <c r="AB14" s="385" t="s">
        <v>322</v>
      </c>
      <c r="AC14" s="385"/>
      <c r="AD14" s="435" t="s">
        <v>466</v>
      </c>
    </row>
    <row r="15" spans="1:30" ht="15.75" x14ac:dyDescent="0.25">
      <c r="A15" s="416" t="str">
        <f>RIGHT('[1]1ª'!$A$5:$D$5,12)</f>
        <v>1ª SÉRIE E.F</v>
      </c>
      <c r="B15" s="451">
        <v>14</v>
      </c>
      <c r="C15" s="248">
        <f>'1ª'!$B18</f>
        <v>0</v>
      </c>
      <c r="D15" s="362">
        <f>'1ª'!$C18</f>
        <v>0</v>
      </c>
      <c r="E15" s="249">
        <f>'1ª'!$D18</f>
        <v>0</v>
      </c>
      <c r="F15" s="249" t="str">
        <f>'1ª'!$E18</f>
        <v/>
      </c>
      <c r="G15" s="250">
        <f>'1ª'!$F18</f>
        <v>0</v>
      </c>
      <c r="H15" s="362">
        <f>'1ª'!$G18</f>
        <v>0</v>
      </c>
      <c r="I15" s="362">
        <f>'1ª'!$H18</f>
        <v>0</v>
      </c>
      <c r="J15" s="362"/>
      <c r="K15" s="362">
        <f>'1ª'!$I18</f>
        <v>0</v>
      </c>
      <c r="L15" s="362" t="str">
        <f ca="1">'1ª'!$J18</f>
        <v/>
      </c>
      <c r="M15" s="362"/>
      <c r="N15" s="362" t="str">
        <f ca="1">'1ª'!$K18</f>
        <v/>
      </c>
      <c r="O15" s="362"/>
      <c r="P15" s="253" t="s">
        <v>110</v>
      </c>
      <c r="Q15" s="435" t="s">
        <v>249</v>
      </c>
      <c r="R15" s="383" t="str">
        <f>'1ª'!L18</f>
        <v>Não</v>
      </c>
      <c r="S15" s="383" t="str">
        <f>'1ª'!M18</f>
        <v>Eliane</v>
      </c>
      <c r="T15" s="383" t="str">
        <f>'1ª'!N18</f>
        <v>-</v>
      </c>
      <c r="U15" s="383" t="str">
        <f>'1ª'!O18</f>
        <v>-</v>
      </c>
      <c r="V15" s="383" t="str">
        <f>'1ª'!P18</f>
        <v>-</v>
      </c>
      <c r="W15" s="383" t="str">
        <f>'1ª'!Q18</f>
        <v>-</v>
      </c>
      <c r="X15" s="383" t="str">
        <f>'1ª'!R18</f>
        <v>-</v>
      </c>
      <c r="Y15" s="383" t="str">
        <f>'1ª'!S18</f>
        <v>-</v>
      </c>
      <c r="Z15" s="384">
        <f>'1ª'!T18</f>
        <v>0</v>
      </c>
      <c r="AA15" s="384">
        <f>'1ª'!U18</f>
        <v>0</v>
      </c>
      <c r="AB15" s="385" t="s">
        <v>322</v>
      </c>
      <c r="AC15" s="385"/>
      <c r="AD15" s="435" t="s">
        <v>466</v>
      </c>
    </row>
    <row r="16" spans="1:30" ht="15.75" x14ac:dyDescent="0.25">
      <c r="A16" s="416" t="str">
        <f>RIGHT('[1]1ª'!$A$5:$D$5,12)</f>
        <v>1ª SÉRIE E.F</v>
      </c>
      <c r="B16" s="451">
        <v>15</v>
      </c>
      <c r="C16" s="248">
        <f>'1ª'!$B19</f>
        <v>0</v>
      </c>
      <c r="D16" s="362">
        <f>'1ª'!$C19</f>
        <v>0</v>
      </c>
      <c r="E16" s="249">
        <f>'1ª'!$D19</f>
        <v>0</v>
      </c>
      <c r="F16" s="249" t="str">
        <f>'1ª'!$E19</f>
        <v/>
      </c>
      <c r="G16" s="250">
        <f>'1ª'!$F19</f>
        <v>0</v>
      </c>
      <c r="H16" s="362">
        <f>'1ª'!$G19</f>
        <v>0</v>
      </c>
      <c r="I16" s="362">
        <f>'1ª'!$H19</f>
        <v>0</v>
      </c>
      <c r="J16" s="362"/>
      <c r="K16" s="362">
        <f>'1ª'!$I19</f>
        <v>0</v>
      </c>
      <c r="L16" s="362" t="str">
        <f ca="1">'1ª'!$J19</f>
        <v/>
      </c>
      <c r="M16" s="362"/>
      <c r="N16" s="362" t="str">
        <f ca="1">'1ª'!$K19</f>
        <v/>
      </c>
      <c r="O16" s="362"/>
      <c r="P16" s="473" t="s">
        <v>110</v>
      </c>
      <c r="Q16" s="415" t="s">
        <v>249</v>
      </c>
      <c r="R16" s="383" t="str">
        <f>'1ª'!L19</f>
        <v>Não</v>
      </c>
      <c r="S16" s="383" t="str">
        <f>'1ª'!M19</f>
        <v>Eliane</v>
      </c>
      <c r="T16" s="383" t="str">
        <f>'1ª'!N19</f>
        <v>-</v>
      </c>
      <c r="U16" s="383" t="str">
        <f>'1ª'!O19</f>
        <v>-</v>
      </c>
      <c r="V16" s="383" t="str">
        <f>'1ª'!P19</f>
        <v>-</v>
      </c>
      <c r="W16" s="383" t="str">
        <f>'1ª'!Q19</f>
        <v>-</v>
      </c>
      <c r="X16" s="383" t="str">
        <f>'1ª'!R19</f>
        <v>-</v>
      </c>
      <c r="Y16" s="383" t="str">
        <f>'1ª'!S19</f>
        <v>-</v>
      </c>
      <c r="Z16" s="384">
        <f>'1ª'!T19</f>
        <v>0</v>
      </c>
      <c r="AA16" s="384">
        <f>'1ª'!U19</f>
        <v>0</v>
      </c>
      <c r="AB16" s="385" t="s">
        <v>322</v>
      </c>
      <c r="AC16" s="385"/>
      <c r="AD16" s="435" t="s">
        <v>466</v>
      </c>
    </row>
    <row r="17" spans="1:30" ht="15.75" x14ac:dyDescent="0.25">
      <c r="A17" s="416" t="str">
        <f>RIGHT('[1]1ª'!$A$5:$D$5,12)</f>
        <v>1ª SÉRIE E.F</v>
      </c>
      <c r="B17" s="451">
        <v>16</v>
      </c>
      <c r="C17" s="248">
        <f>'1ª'!$B20</f>
        <v>0</v>
      </c>
      <c r="D17" s="362">
        <f>'1ª'!$C20</f>
        <v>0</v>
      </c>
      <c r="E17" s="249">
        <f>'1ª'!$D20</f>
        <v>0</v>
      </c>
      <c r="F17" s="249" t="str">
        <f>'1ª'!$E20</f>
        <v/>
      </c>
      <c r="G17" s="250">
        <f>'1ª'!$F20</f>
        <v>0</v>
      </c>
      <c r="H17" s="362">
        <f>'1ª'!$G20</f>
        <v>0</v>
      </c>
      <c r="I17" s="362">
        <f>'1ª'!$H20</f>
        <v>0</v>
      </c>
      <c r="J17" s="362"/>
      <c r="K17" s="362">
        <f>'1ª'!$I20</f>
        <v>0</v>
      </c>
      <c r="L17" s="362" t="str">
        <f ca="1">'1ª'!$J20</f>
        <v/>
      </c>
      <c r="M17" s="362"/>
      <c r="N17" s="362" t="str">
        <f ca="1">'1ª'!$K20</f>
        <v/>
      </c>
      <c r="O17" s="362"/>
      <c r="P17" s="253" t="s">
        <v>110</v>
      </c>
      <c r="Q17" s="435" t="s">
        <v>249</v>
      </c>
      <c r="R17" s="383" t="str">
        <f>'1ª'!L20</f>
        <v>Não</v>
      </c>
      <c r="S17" s="383" t="str">
        <f>'1ª'!M20</f>
        <v>Eliane</v>
      </c>
      <c r="T17" s="383" t="str">
        <f>'1ª'!N20</f>
        <v>-</v>
      </c>
      <c r="U17" s="383" t="str">
        <f>'1ª'!O20</f>
        <v>-</v>
      </c>
      <c r="V17" s="383" t="str">
        <f>'1ª'!P20</f>
        <v>-</v>
      </c>
      <c r="W17" s="383" t="str">
        <f>'1ª'!Q20</f>
        <v>-</v>
      </c>
      <c r="X17" s="383" t="str">
        <f>'1ª'!R20</f>
        <v>-</v>
      </c>
      <c r="Y17" s="383" t="str">
        <f>'1ª'!S20</f>
        <v>-</v>
      </c>
      <c r="Z17" s="384">
        <f>'1ª'!T20</f>
        <v>0</v>
      </c>
      <c r="AA17" s="384">
        <f>'1ª'!U20</f>
        <v>0</v>
      </c>
      <c r="AB17" s="385" t="s">
        <v>322</v>
      </c>
      <c r="AC17" s="385"/>
      <c r="AD17" s="435" t="s">
        <v>466</v>
      </c>
    </row>
    <row r="18" spans="1:30" ht="15.75" x14ac:dyDescent="0.25">
      <c r="A18" s="416" t="str">
        <f>RIGHT('[1]1ª'!$A$5:$D$5,12)</f>
        <v>1ª SÉRIE E.F</v>
      </c>
      <c r="B18" s="451">
        <v>17</v>
      </c>
      <c r="C18" s="248">
        <f>'1ª'!$B21</f>
        <v>0</v>
      </c>
      <c r="D18" s="362">
        <f>'1ª'!$C21</f>
        <v>0</v>
      </c>
      <c r="E18" s="249">
        <f>'1ª'!$D21</f>
        <v>0</v>
      </c>
      <c r="F18" s="249" t="str">
        <f>'1ª'!$E21</f>
        <v/>
      </c>
      <c r="G18" s="250">
        <f>'1ª'!$F21</f>
        <v>0</v>
      </c>
      <c r="H18" s="362">
        <f>'1ª'!$G21</f>
        <v>0</v>
      </c>
      <c r="I18" s="362">
        <f>'1ª'!$H21</f>
        <v>0</v>
      </c>
      <c r="J18" s="362"/>
      <c r="K18" s="362">
        <f>'1ª'!$I21</f>
        <v>0</v>
      </c>
      <c r="L18" s="362" t="str">
        <f ca="1">'1ª'!$J21</f>
        <v/>
      </c>
      <c r="M18" s="362"/>
      <c r="N18" s="362" t="str">
        <f ca="1">'1ª'!$K21</f>
        <v/>
      </c>
      <c r="O18" s="362"/>
      <c r="P18" s="473" t="s">
        <v>110</v>
      </c>
      <c r="Q18" s="415" t="s">
        <v>249</v>
      </c>
      <c r="R18" s="383" t="str">
        <f>'1ª'!L21</f>
        <v>Não</v>
      </c>
      <c r="S18" s="383" t="str">
        <f>'1ª'!M21</f>
        <v>Eliane</v>
      </c>
      <c r="T18" s="383" t="str">
        <f>'1ª'!N21</f>
        <v>-</v>
      </c>
      <c r="U18" s="383" t="str">
        <f>'1ª'!O21</f>
        <v>-</v>
      </c>
      <c r="V18" s="383" t="str">
        <f>'1ª'!P21</f>
        <v>-</v>
      </c>
      <c r="W18" s="383" t="str">
        <f>'1ª'!Q21</f>
        <v>-</v>
      </c>
      <c r="X18" s="383" t="str">
        <f>'1ª'!R21</f>
        <v>-</v>
      </c>
      <c r="Y18" s="383" t="str">
        <f>'1ª'!S21</f>
        <v>-</v>
      </c>
      <c r="Z18" s="384">
        <f>'1ª'!T21</f>
        <v>0</v>
      </c>
      <c r="AA18" s="384">
        <f>'1ª'!U21</f>
        <v>0</v>
      </c>
      <c r="AB18" s="385" t="s">
        <v>322</v>
      </c>
      <c r="AC18" s="385"/>
      <c r="AD18" s="435" t="s">
        <v>466</v>
      </c>
    </row>
    <row r="19" spans="1:30" ht="15.75" x14ac:dyDescent="0.25">
      <c r="A19" s="416" t="str">
        <f>RIGHT('[1]1ª'!$A$5:$D$5,12)</f>
        <v>1ª SÉRIE E.F</v>
      </c>
      <c r="B19" s="451">
        <v>18</v>
      </c>
      <c r="C19" s="248">
        <f>'1ª'!$B22</f>
        <v>0</v>
      </c>
      <c r="D19" s="362">
        <f>'1ª'!$C22</f>
        <v>0</v>
      </c>
      <c r="E19" s="249">
        <f>'1ª'!$D22</f>
        <v>0</v>
      </c>
      <c r="F19" s="249" t="str">
        <f>'1ª'!$E22</f>
        <v/>
      </c>
      <c r="G19" s="250">
        <f>'1ª'!$F22</f>
        <v>0</v>
      </c>
      <c r="H19" s="362">
        <f>'1ª'!$G22</f>
        <v>0</v>
      </c>
      <c r="I19" s="362">
        <f>'1ª'!$H22</f>
        <v>0</v>
      </c>
      <c r="J19" s="362"/>
      <c r="K19" s="362">
        <f>'1ª'!$I22</f>
        <v>0</v>
      </c>
      <c r="L19" s="362" t="str">
        <f ca="1">'1ª'!$J22</f>
        <v/>
      </c>
      <c r="M19" s="362"/>
      <c r="N19" s="362" t="str">
        <f ca="1">'1ª'!$K22</f>
        <v/>
      </c>
      <c r="O19" s="362"/>
      <c r="P19" s="253" t="s">
        <v>110</v>
      </c>
      <c r="Q19" s="435" t="s">
        <v>249</v>
      </c>
      <c r="R19" s="383" t="str">
        <f>'1ª'!L22</f>
        <v>Não</v>
      </c>
      <c r="S19" s="383" t="str">
        <f>'1ª'!M22</f>
        <v>Eliane</v>
      </c>
      <c r="T19" s="383" t="str">
        <f>'1ª'!N22</f>
        <v>-</v>
      </c>
      <c r="U19" s="383" t="str">
        <f>'1ª'!O22</f>
        <v>-</v>
      </c>
      <c r="V19" s="383" t="str">
        <f>'1ª'!P22</f>
        <v>-</v>
      </c>
      <c r="W19" s="383" t="str">
        <f>'1ª'!Q22</f>
        <v>-</v>
      </c>
      <c r="X19" s="383" t="str">
        <f>'1ª'!R22</f>
        <v>-</v>
      </c>
      <c r="Y19" s="383" t="str">
        <f>'1ª'!S22</f>
        <v>-</v>
      </c>
      <c r="Z19" s="384">
        <f>'1ª'!T22</f>
        <v>0</v>
      </c>
      <c r="AA19" s="384">
        <f>'1ª'!U22</f>
        <v>0</v>
      </c>
      <c r="AB19" s="385" t="s">
        <v>322</v>
      </c>
      <c r="AC19" s="385"/>
      <c r="AD19" s="435" t="s">
        <v>466</v>
      </c>
    </row>
    <row r="20" spans="1:30" ht="15.75" x14ac:dyDescent="0.25">
      <c r="A20" s="416" t="str">
        <f>RIGHT('[1]1ª'!$A$5:$D$5,12)</f>
        <v>1ª SÉRIE E.F</v>
      </c>
      <c r="B20" s="451">
        <v>19</v>
      </c>
      <c r="C20" s="248">
        <f>'1ª'!$B23</f>
        <v>0</v>
      </c>
      <c r="D20" s="362">
        <f>'1ª'!$C23</f>
        <v>0</v>
      </c>
      <c r="E20" s="249">
        <f>'1ª'!$D23</f>
        <v>0</v>
      </c>
      <c r="F20" s="249" t="str">
        <f>'1ª'!$E23</f>
        <v/>
      </c>
      <c r="G20" s="250">
        <f>'1ª'!$F23</f>
        <v>0</v>
      </c>
      <c r="H20" s="362">
        <f>'1ª'!$G23</f>
        <v>0</v>
      </c>
      <c r="I20" s="362">
        <f>'1ª'!$H23</f>
        <v>0</v>
      </c>
      <c r="J20" s="362"/>
      <c r="K20" s="362">
        <f>'1ª'!$I23</f>
        <v>0</v>
      </c>
      <c r="L20" s="362" t="str">
        <f ca="1">'1ª'!$J23</f>
        <v/>
      </c>
      <c r="M20" s="362"/>
      <c r="N20" s="362" t="str">
        <f ca="1">'1ª'!$K23</f>
        <v/>
      </c>
      <c r="O20" s="362"/>
      <c r="P20" s="473" t="s">
        <v>110</v>
      </c>
      <c r="Q20" s="415" t="s">
        <v>249</v>
      </c>
      <c r="R20" s="383" t="str">
        <f>'1ª'!L23</f>
        <v>Não</v>
      </c>
      <c r="S20" s="383" t="str">
        <f>'1ª'!M23</f>
        <v>Eliane</v>
      </c>
      <c r="T20" s="383" t="str">
        <f>'1ª'!N23</f>
        <v>-</v>
      </c>
      <c r="U20" s="383" t="str">
        <f>'1ª'!O23</f>
        <v>-</v>
      </c>
      <c r="V20" s="383" t="str">
        <f>'1ª'!P23</f>
        <v>-</v>
      </c>
      <c r="W20" s="383" t="str">
        <f>'1ª'!Q23</f>
        <v>-</v>
      </c>
      <c r="X20" s="383" t="str">
        <f>'1ª'!R23</f>
        <v>-</v>
      </c>
      <c r="Y20" s="383" t="str">
        <f>'1ª'!S23</f>
        <v>-</v>
      </c>
      <c r="Z20" s="384">
        <f>'1ª'!T23</f>
        <v>0</v>
      </c>
      <c r="AA20" s="384">
        <f>'1ª'!U23</f>
        <v>0</v>
      </c>
      <c r="AB20" s="385" t="s">
        <v>322</v>
      </c>
      <c r="AC20" s="385"/>
      <c r="AD20" s="435" t="s">
        <v>466</v>
      </c>
    </row>
    <row r="21" spans="1:30" ht="15.75" x14ac:dyDescent="0.25">
      <c r="A21" s="416" t="str">
        <f>RIGHT('[1]1ª'!$A$5:$D$5,12)</f>
        <v>1ª SÉRIE E.F</v>
      </c>
      <c r="B21" s="451">
        <v>20</v>
      </c>
      <c r="C21" s="248">
        <f>'1ª'!$B24</f>
        <v>0</v>
      </c>
      <c r="D21" s="362">
        <f>'1ª'!$C24</f>
        <v>0</v>
      </c>
      <c r="E21" s="249">
        <f>'1ª'!$D24</f>
        <v>0</v>
      </c>
      <c r="F21" s="249" t="str">
        <f>'1ª'!$E24</f>
        <v/>
      </c>
      <c r="G21" s="250">
        <f>'1ª'!$F24</f>
        <v>0</v>
      </c>
      <c r="H21" s="362">
        <f>'1ª'!$G24</f>
        <v>0</v>
      </c>
      <c r="I21" s="362">
        <f>'1ª'!$H24</f>
        <v>0</v>
      </c>
      <c r="J21" s="362"/>
      <c r="K21" s="362">
        <f>'1ª'!$I24</f>
        <v>0</v>
      </c>
      <c r="L21" s="362" t="str">
        <f ca="1">'1ª'!$J24</f>
        <v/>
      </c>
      <c r="M21" s="362"/>
      <c r="N21" s="362" t="str">
        <f ca="1">'1ª'!$K24</f>
        <v/>
      </c>
      <c r="O21" s="362"/>
      <c r="P21" s="253" t="s">
        <v>110</v>
      </c>
      <c r="Q21" s="435" t="s">
        <v>249</v>
      </c>
      <c r="R21" s="383" t="str">
        <f>'1ª'!L24</f>
        <v>Não</v>
      </c>
      <c r="S21" s="383" t="str">
        <f>'1ª'!M24</f>
        <v>Eliane</v>
      </c>
      <c r="T21" s="383" t="str">
        <f>'1ª'!N24</f>
        <v>-</v>
      </c>
      <c r="U21" s="383" t="str">
        <f>'1ª'!O24</f>
        <v>-</v>
      </c>
      <c r="V21" s="383" t="str">
        <f>'1ª'!P24</f>
        <v>-</v>
      </c>
      <c r="W21" s="383" t="str">
        <f>'1ª'!Q24</f>
        <v>-</v>
      </c>
      <c r="X21" s="383" t="str">
        <f>'1ª'!R24</f>
        <v>-</v>
      </c>
      <c r="Y21" s="383" t="str">
        <f>'1ª'!S24</f>
        <v>-</v>
      </c>
      <c r="Z21" s="384">
        <f>'1ª'!T24</f>
        <v>0</v>
      </c>
      <c r="AA21" s="384">
        <f>'1ª'!U24</f>
        <v>0</v>
      </c>
      <c r="AB21" s="385" t="s">
        <v>322</v>
      </c>
      <c r="AC21" s="385"/>
      <c r="AD21" s="435" t="s">
        <v>466</v>
      </c>
    </row>
    <row r="22" spans="1:30" ht="15.75" x14ac:dyDescent="0.25">
      <c r="A22" s="416" t="str">
        <f>RIGHT('[1]1ª'!$A$5:$D$5,12)</f>
        <v>1ª SÉRIE E.F</v>
      </c>
      <c r="B22" s="451">
        <v>21</v>
      </c>
      <c r="C22" s="248">
        <f>'1ª'!$B25</f>
        <v>0</v>
      </c>
      <c r="D22" s="362">
        <f>'1ª'!$C25</f>
        <v>0</v>
      </c>
      <c r="E22" s="249">
        <f>'1ª'!$D25</f>
        <v>0</v>
      </c>
      <c r="F22" s="249" t="str">
        <f>'1ª'!$E25</f>
        <v/>
      </c>
      <c r="G22" s="250">
        <f>'1ª'!$F25</f>
        <v>0</v>
      </c>
      <c r="H22" s="362">
        <f>'1ª'!$G25</f>
        <v>0</v>
      </c>
      <c r="I22" s="362">
        <f>'1ª'!$H25</f>
        <v>0</v>
      </c>
      <c r="J22" s="362"/>
      <c r="K22" s="362">
        <f>'1ª'!$I25</f>
        <v>0</v>
      </c>
      <c r="L22" s="362" t="str">
        <f ca="1">'1ª'!$J25</f>
        <v/>
      </c>
      <c r="M22" s="362"/>
      <c r="N22" s="362" t="str">
        <f ca="1">'1ª'!$K25</f>
        <v/>
      </c>
      <c r="O22" s="362"/>
      <c r="P22" s="473" t="s">
        <v>110</v>
      </c>
      <c r="Q22" s="415" t="s">
        <v>249</v>
      </c>
      <c r="R22" s="383" t="str">
        <f>'1ª'!L25</f>
        <v>Não</v>
      </c>
      <c r="S22" s="383" t="str">
        <f>'1ª'!M25</f>
        <v>Eliane</v>
      </c>
      <c r="T22" s="383" t="str">
        <f>'1ª'!N25</f>
        <v>-</v>
      </c>
      <c r="U22" s="383" t="str">
        <f>'1ª'!O25</f>
        <v>-</v>
      </c>
      <c r="V22" s="383" t="str">
        <f>'1ª'!P25</f>
        <v>-</v>
      </c>
      <c r="W22" s="383" t="str">
        <f>'1ª'!Q25</f>
        <v>-</v>
      </c>
      <c r="X22" s="383" t="str">
        <f>'1ª'!R25</f>
        <v>-</v>
      </c>
      <c r="Y22" s="383" t="str">
        <f>'1ª'!S25</f>
        <v>-</v>
      </c>
      <c r="Z22" s="384">
        <f>'1ª'!T25</f>
        <v>0</v>
      </c>
      <c r="AA22" s="384">
        <f>'1ª'!U25</f>
        <v>0</v>
      </c>
      <c r="AB22" s="385" t="s">
        <v>322</v>
      </c>
      <c r="AC22" s="385"/>
      <c r="AD22" s="435" t="s">
        <v>466</v>
      </c>
    </row>
    <row r="23" spans="1:30" ht="15.75" x14ac:dyDescent="0.25">
      <c r="A23" s="416" t="str">
        <f>RIGHT('[1]1ª'!$A$5:$D$5,12)</f>
        <v>1ª SÉRIE E.F</v>
      </c>
      <c r="B23" s="451">
        <v>22</v>
      </c>
      <c r="C23" s="248">
        <f>'1ª'!$B26</f>
        <v>0</v>
      </c>
      <c r="D23" s="362">
        <f>'1ª'!$C26</f>
        <v>0</v>
      </c>
      <c r="E23" s="249">
        <f>'1ª'!$D26</f>
        <v>0</v>
      </c>
      <c r="F23" s="249" t="str">
        <f>'1ª'!$E26</f>
        <v/>
      </c>
      <c r="G23" s="250">
        <f>'1ª'!$F26</f>
        <v>0</v>
      </c>
      <c r="H23" s="362">
        <f>'1ª'!$G26</f>
        <v>0</v>
      </c>
      <c r="I23" s="362">
        <f>'1ª'!$H26</f>
        <v>0</v>
      </c>
      <c r="J23" s="362"/>
      <c r="K23" s="362">
        <f>'1ª'!$I26</f>
        <v>0</v>
      </c>
      <c r="L23" s="362" t="str">
        <f ca="1">'1ª'!$J26</f>
        <v/>
      </c>
      <c r="M23" s="362"/>
      <c r="N23" s="362" t="str">
        <f ca="1">'1ª'!$K26</f>
        <v/>
      </c>
      <c r="O23" s="362"/>
      <c r="P23" s="253" t="s">
        <v>110</v>
      </c>
      <c r="Q23" s="435" t="s">
        <v>249</v>
      </c>
      <c r="R23" s="383" t="str">
        <f>'1ª'!L26</f>
        <v>Não</v>
      </c>
      <c r="S23" s="383" t="str">
        <f>'1ª'!M26</f>
        <v>Eliane</v>
      </c>
      <c r="T23" s="383" t="str">
        <f>'1ª'!N26</f>
        <v>-</v>
      </c>
      <c r="U23" s="383" t="str">
        <f>'1ª'!O26</f>
        <v>-</v>
      </c>
      <c r="V23" s="383" t="str">
        <f>'1ª'!P26</f>
        <v>-</v>
      </c>
      <c r="W23" s="383" t="str">
        <f>'1ª'!Q26</f>
        <v>-</v>
      </c>
      <c r="X23" s="383" t="str">
        <f>'1ª'!R26</f>
        <v>-</v>
      </c>
      <c r="Y23" s="383" t="str">
        <f>'1ª'!S26</f>
        <v>-</v>
      </c>
      <c r="Z23" s="384">
        <f>'1ª'!T26</f>
        <v>0</v>
      </c>
      <c r="AA23" s="384">
        <f>'1ª'!U26</f>
        <v>0</v>
      </c>
      <c r="AB23" s="385" t="s">
        <v>322</v>
      </c>
      <c r="AC23" s="385"/>
      <c r="AD23" s="435" t="s">
        <v>466</v>
      </c>
    </row>
    <row r="24" spans="1:30" ht="15.75" x14ac:dyDescent="0.25">
      <c r="A24" s="416" t="str">
        <f>RIGHT('[1]1ª'!$A$5:$D$5,12)</f>
        <v>1ª SÉRIE E.F</v>
      </c>
      <c r="B24" s="451">
        <v>23</v>
      </c>
      <c r="C24" s="248">
        <f>'1ª'!$B27</f>
        <v>0</v>
      </c>
      <c r="D24" s="362">
        <f>'1ª'!$C27</f>
        <v>0</v>
      </c>
      <c r="E24" s="249">
        <f>'1ª'!$D27</f>
        <v>0</v>
      </c>
      <c r="F24" s="249" t="str">
        <f>'1ª'!$E27</f>
        <v/>
      </c>
      <c r="G24" s="250">
        <f>'1ª'!$F27</f>
        <v>0</v>
      </c>
      <c r="H24" s="362">
        <f>'1ª'!$G27</f>
        <v>0</v>
      </c>
      <c r="I24" s="362">
        <f>'1ª'!$H27</f>
        <v>0</v>
      </c>
      <c r="J24" s="362"/>
      <c r="K24" s="362">
        <f>'1ª'!$I27</f>
        <v>0</v>
      </c>
      <c r="L24" s="362" t="str">
        <f ca="1">'1ª'!$J27</f>
        <v/>
      </c>
      <c r="M24" s="362"/>
      <c r="N24" s="362" t="str">
        <f ca="1">'1ª'!$K27</f>
        <v/>
      </c>
      <c r="O24" s="362"/>
      <c r="P24" s="473" t="s">
        <v>110</v>
      </c>
      <c r="Q24" s="415" t="s">
        <v>249</v>
      </c>
      <c r="R24" s="383" t="str">
        <f>'1ª'!L27</f>
        <v>Não</v>
      </c>
      <c r="S24" s="383" t="str">
        <f>'1ª'!M27</f>
        <v>Eliane</v>
      </c>
      <c r="T24" s="383" t="str">
        <f>'1ª'!N27</f>
        <v>-</v>
      </c>
      <c r="U24" s="383" t="str">
        <f>'1ª'!O27</f>
        <v>-</v>
      </c>
      <c r="V24" s="383" t="str">
        <f>'1ª'!P27</f>
        <v>-</v>
      </c>
      <c r="W24" s="383" t="str">
        <f>'1ª'!Q27</f>
        <v>-</v>
      </c>
      <c r="X24" s="383" t="str">
        <f>'1ª'!R27</f>
        <v>-</v>
      </c>
      <c r="Y24" s="383" t="str">
        <f>'1ª'!S27</f>
        <v>-</v>
      </c>
      <c r="Z24" s="384">
        <f>'1ª'!T27</f>
        <v>0</v>
      </c>
      <c r="AA24" s="384">
        <f>'1ª'!U27</f>
        <v>0</v>
      </c>
      <c r="AB24" s="385" t="s">
        <v>322</v>
      </c>
      <c r="AC24" s="385"/>
      <c r="AD24" s="435" t="s">
        <v>466</v>
      </c>
    </row>
    <row r="25" spans="1:30" ht="15.75" x14ac:dyDescent="0.25">
      <c r="A25" s="416" t="str">
        <f>RIGHT('[1]1ª'!$A$5:$D$5,12)</f>
        <v>1ª SÉRIE E.F</v>
      </c>
      <c r="B25" s="451">
        <v>24</v>
      </c>
      <c r="C25" s="248">
        <f>'1ª'!$B28</f>
        <v>0</v>
      </c>
      <c r="D25" s="362">
        <f>'1ª'!$C28</f>
        <v>0</v>
      </c>
      <c r="E25" s="249">
        <f>'1ª'!$D28</f>
        <v>0</v>
      </c>
      <c r="F25" s="249" t="str">
        <f>'1ª'!$E28</f>
        <v/>
      </c>
      <c r="G25" s="250">
        <f>'1ª'!$F28</f>
        <v>0</v>
      </c>
      <c r="H25" s="362">
        <f>'1ª'!$G28</f>
        <v>0</v>
      </c>
      <c r="I25" s="362">
        <f>'1ª'!$H28</f>
        <v>0</v>
      </c>
      <c r="J25" s="362"/>
      <c r="K25" s="362">
        <f>'1ª'!$I28</f>
        <v>0</v>
      </c>
      <c r="L25" s="362" t="str">
        <f ca="1">'1ª'!$J28</f>
        <v/>
      </c>
      <c r="M25" s="362"/>
      <c r="N25" s="362" t="str">
        <f ca="1">'1ª'!$K28</f>
        <v/>
      </c>
      <c r="O25" s="362"/>
      <c r="P25" s="253" t="s">
        <v>110</v>
      </c>
      <c r="Q25" s="435" t="s">
        <v>249</v>
      </c>
      <c r="R25" s="383" t="str">
        <f>'1ª'!L28</f>
        <v>Não</v>
      </c>
      <c r="S25" s="383" t="str">
        <f>'1ª'!M28</f>
        <v>Eliane</v>
      </c>
      <c r="T25" s="383" t="str">
        <f>'1ª'!N28</f>
        <v>-</v>
      </c>
      <c r="U25" s="383" t="str">
        <f>'1ª'!O28</f>
        <v>-</v>
      </c>
      <c r="V25" s="383" t="str">
        <f>'1ª'!P28</f>
        <v>-</v>
      </c>
      <c r="W25" s="383" t="str">
        <f>'1ª'!Q28</f>
        <v>-</v>
      </c>
      <c r="X25" s="383" t="str">
        <f>'1ª'!R28</f>
        <v>-</v>
      </c>
      <c r="Y25" s="383" t="str">
        <f>'1ª'!S28</f>
        <v>-</v>
      </c>
      <c r="Z25" s="384">
        <f>'1ª'!T28</f>
        <v>0</v>
      </c>
      <c r="AA25" s="384">
        <f>'1ª'!U28</f>
        <v>0</v>
      </c>
      <c r="AB25" s="385" t="s">
        <v>322</v>
      </c>
      <c r="AC25" s="385"/>
      <c r="AD25" s="435" t="s">
        <v>466</v>
      </c>
    </row>
    <row r="26" spans="1:30" ht="15.75" x14ac:dyDescent="0.25">
      <c r="A26" s="416" t="str">
        <f>RIGHT('[1]1ª'!$A$5:$D$5,12)</f>
        <v>1ª SÉRIE E.F</v>
      </c>
      <c r="B26" s="451">
        <v>25</v>
      </c>
      <c r="C26" s="248">
        <f>'1ª'!$B29</f>
        <v>0</v>
      </c>
      <c r="D26" s="362">
        <f>'1ª'!$C29</f>
        <v>0</v>
      </c>
      <c r="E26" s="249">
        <f>'1ª'!$D29</f>
        <v>0</v>
      </c>
      <c r="F26" s="249" t="str">
        <f>'1ª'!$E29</f>
        <v/>
      </c>
      <c r="G26" s="250">
        <f>'1ª'!$F29</f>
        <v>0</v>
      </c>
      <c r="H26" s="362">
        <f>'1ª'!$G29</f>
        <v>0</v>
      </c>
      <c r="I26" s="362">
        <f>'1ª'!$H29</f>
        <v>0</v>
      </c>
      <c r="J26" s="362"/>
      <c r="K26" s="362">
        <f>'1ª'!$I29</f>
        <v>0</v>
      </c>
      <c r="L26" s="362" t="str">
        <f ca="1">'1ª'!$J29</f>
        <v/>
      </c>
      <c r="M26" s="362"/>
      <c r="N26" s="362" t="str">
        <f ca="1">'1ª'!$K29</f>
        <v/>
      </c>
      <c r="O26" s="362"/>
      <c r="P26" s="473" t="s">
        <v>110</v>
      </c>
      <c r="Q26" s="415" t="s">
        <v>249</v>
      </c>
      <c r="R26" s="383" t="str">
        <f>'1ª'!L29</f>
        <v>Não</v>
      </c>
      <c r="S26" s="383" t="str">
        <f>'1ª'!M29</f>
        <v>Eliane</v>
      </c>
      <c r="T26" s="383" t="str">
        <f>'1ª'!N29</f>
        <v>-</v>
      </c>
      <c r="U26" s="383" t="str">
        <f>'1ª'!O29</f>
        <v>-</v>
      </c>
      <c r="V26" s="383" t="str">
        <f>'1ª'!P29</f>
        <v>-</v>
      </c>
      <c r="W26" s="383" t="str">
        <f>'1ª'!Q29</f>
        <v>-</v>
      </c>
      <c r="X26" s="383" t="str">
        <f>'1ª'!R29</f>
        <v>-</v>
      </c>
      <c r="Y26" s="383" t="str">
        <f>'1ª'!S29</f>
        <v>-</v>
      </c>
      <c r="Z26" s="384">
        <f>'1ª'!T29</f>
        <v>0</v>
      </c>
      <c r="AA26" s="384">
        <f>'1ª'!U29</f>
        <v>0</v>
      </c>
      <c r="AB26" s="385" t="s">
        <v>322</v>
      </c>
      <c r="AC26" s="385"/>
      <c r="AD26" s="435" t="s">
        <v>466</v>
      </c>
    </row>
    <row r="27" spans="1:30" ht="15.75" x14ac:dyDescent="0.25">
      <c r="A27" s="416" t="str">
        <f>RIGHT('[1]1ª'!$A$5:$D$5,12)</f>
        <v>1ª SÉRIE E.F</v>
      </c>
      <c r="B27" s="451">
        <v>26</v>
      </c>
      <c r="C27" s="248">
        <f>'1ª'!$B30</f>
        <v>0</v>
      </c>
      <c r="D27" s="362">
        <f>'1ª'!$C30</f>
        <v>0</v>
      </c>
      <c r="E27" s="249">
        <f>'1ª'!$D30</f>
        <v>0</v>
      </c>
      <c r="F27" s="249" t="str">
        <f>'1ª'!$E30</f>
        <v/>
      </c>
      <c r="G27" s="250">
        <f>'1ª'!$F30</f>
        <v>0</v>
      </c>
      <c r="H27" s="362">
        <f>'1ª'!$G30</f>
        <v>0</v>
      </c>
      <c r="I27" s="362">
        <f>'1ª'!$H30</f>
        <v>0</v>
      </c>
      <c r="J27" s="362"/>
      <c r="K27" s="362">
        <f>'1ª'!$I30</f>
        <v>0</v>
      </c>
      <c r="L27" s="362" t="str">
        <f ca="1">'1ª'!$J30</f>
        <v/>
      </c>
      <c r="M27" s="362"/>
      <c r="N27" s="362" t="str">
        <f ca="1">'1ª'!$K30</f>
        <v/>
      </c>
      <c r="O27" s="362"/>
      <c r="P27" s="253" t="s">
        <v>110</v>
      </c>
      <c r="Q27" s="435" t="s">
        <v>249</v>
      </c>
      <c r="R27" s="383" t="str">
        <f>'1ª'!L30</f>
        <v>Não</v>
      </c>
      <c r="S27" s="383" t="str">
        <f>'1ª'!M30</f>
        <v>Eliane</v>
      </c>
      <c r="T27" s="383" t="str">
        <f>'1ª'!N30</f>
        <v>-</v>
      </c>
      <c r="U27" s="383" t="str">
        <f>'1ª'!O30</f>
        <v>-</v>
      </c>
      <c r="V27" s="383" t="str">
        <f>'1ª'!P30</f>
        <v>-</v>
      </c>
      <c r="W27" s="383" t="str">
        <f>'1ª'!Q30</f>
        <v>-</v>
      </c>
      <c r="X27" s="383" t="str">
        <f>'1ª'!R30</f>
        <v>-</v>
      </c>
      <c r="Y27" s="383" t="str">
        <f>'1ª'!S30</f>
        <v>-</v>
      </c>
      <c r="Z27" s="384">
        <f>'1ª'!T30</f>
        <v>0</v>
      </c>
      <c r="AA27" s="384">
        <f>'1ª'!U30</f>
        <v>0</v>
      </c>
      <c r="AB27" s="385" t="s">
        <v>322</v>
      </c>
      <c r="AC27" s="385"/>
      <c r="AD27" s="435" t="s">
        <v>466</v>
      </c>
    </row>
    <row r="28" spans="1:30" ht="15.75" x14ac:dyDescent="0.25">
      <c r="A28" s="416" t="str">
        <f>RIGHT('[1]1ª'!$A$5:$D$5,12)</f>
        <v>1ª SÉRIE E.F</v>
      </c>
      <c r="B28" s="451">
        <v>27</v>
      </c>
      <c r="C28" s="248">
        <f>'1ª'!$B31</f>
        <v>0</v>
      </c>
      <c r="D28" s="362">
        <f>'1ª'!$C31</f>
        <v>0</v>
      </c>
      <c r="E28" s="249">
        <f>'1ª'!$D31</f>
        <v>0</v>
      </c>
      <c r="F28" s="249" t="str">
        <f>'1ª'!$E31</f>
        <v/>
      </c>
      <c r="G28" s="250">
        <f>'1ª'!$F31</f>
        <v>0</v>
      </c>
      <c r="H28" s="362">
        <f>'1ª'!$G31</f>
        <v>0</v>
      </c>
      <c r="I28" s="362">
        <f>'1ª'!$H31</f>
        <v>0</v>
      </c>
      <c r="J28" s="362"/>
      <c r="K28" s="362">
        <f>'1ª'!$I31</f>
        <v>0</v>
      </c>
      <c r="L28" s="362" t="str">
        <f ca="1">'1ª'!$J31</f>
        <v/>
      </c>
      <c r="M28" s="362"/>
      <c r="N28" s="362" t="str">
        <f ca="1">'1ª'!$K31</f>
        <v/>
      </c>
      <c r="O28" s="362"/>
      <c r="P28" s="473" t="s">
        <v>110</v>
      </c>
      <c r="Q28" s="415" t="s">
        <v>249</v>
      </c>
      <c r="R28" s="383" t="str">
        <f>'1ª'!L31</f>
        <v>Não</v>
      </c>
      <c r="S28" s="383" t="str">
        <f>'1ª'!M31</f>
        <v>Eliane</v>
      </c>
      <c r="T28" s="383" t="str">
        <f>'1ª'!N31</f>
        <v>-</v>
      </c>
      <c r="U28" s="383" t="str">
        <f>'1ª'!O31</f>
        <v>-</v>
      </c>
      <c r="V28" s="383" t="str">
        <f>'1ª'!P31</f>
        <v>-</v>
      </c>
      <c r="W28" s="383" t="str">
        <f>'1ª'!Q31</f>
        <v>-</v>
      </c>
      <c r="X28" s="383" t="str">
        <f>'1ª'!R31</f>
        <v>-</v>
      </c>
      <c r="Y28" s="383" t="str">
        <f>'1ª'!S31</f>
        <v>-</v>
      </c>
      <c r="Z28" s="384">
        <f>'1ª'!T31</f>
        <v>0</v>
      </c>
      <c r="AA28" s="384">
        <f>'1ª'!U31</f>
        <v>0</v>
      </c>
      <c r="AB28" s="385" t="s">
        <v>322</v>
      </c>
      <c r="AC28" s="385"/>
      <c r="AD28" s="435" t="s">
        <v>466</v>
      </c>
    </row>
    <row r="29" spans="1:30" ht="15.75" x14ac:dyDescent="0.25">
      <c r="A29" s="416" t="str">
        <f>RIGHT('[1]1ª'!$A$5:$D$5,12)</f>
        <v>1ª SÉRIE E.F</v>
      </c>
      <c r="B29" s="451">
        <v>28</v>
      </c>
      <c r="C29" s="248">
        <f>'1ª'!$B32</f>
        <v>0</v>
      </c>
      <c r="D29" s="362">
        <f>'1ª'!$C32</f>
        <v>0</v>
      </c>
      <c r="E29" s="249">
        <f>'1ª'!$D32</f>
        <v>0</v>
      </c>
      <c r="F29" s="249" t="str">
        <f>'1ª'!$E32</f>
        <v/>
      </c>
      <c r="G29" s="250">
        <f>'1ª'!$F32</f>
        <v>0</v>
      </c>
      <c r="H29" s="362">
        <f>'1ª'!$G32</f>
        <v>0</v>
      </c>
      <c r="I29" s="362">
        <f>'1ª'!$H32</f>
        <v>0</v>
      </c>
      <c r="J29" s="362"/>
      <c r="K29" s="362">
        <f>'1ª'!$I32</f>
        <v>0</v>
      </c>
      <c r="L29" s="362" t="str">
        <f ca="1">'1ª'!$J32</f>
        <v/>
      </c>
      <c r="M29" s="362"/>
      <c r="N29" s="362" t="str">
        <f ca="1">'1ª'!$K32</f>
        <v/>
      </c>
      <c r="O29" s="362"/>
      <c r="P29" s="253" t="s">
        <v>110</v>
      </c>
      <c r="Q29" s="435" t="s">
        <v>249</v>
      </c>
      <c r="R29" s="383" t="str">
        <f>'1ª'!L32</f>
        <v>Não</v>
      </c>
      <c r="S29" s="383" t="str">
        <f>'1ª'!M32</f>
        <v>Eliane</v>
      </c>
      <c r="T29" s="383" t="str">
        <f>'1ª'!N32</f>
        <v>-</v>
      </c>
      <c r="U29" s="383" t="str">
        <f>'1ª'!O32</f>
        <v>-</v>
      </c>
      <c r="V29" s="383" t="str">
        <f>'1ª'!P32</f>
        <v>-</v>
      </c>
      <c r="W29" s="383" t="str">
        <f>'1ª'!Q32</f>
        <v>-</v>
      </c>
      <c r="X29" s="383" t="str">
        <f>'1ª'!R32</f>
        <v>-</v>
      </c>
      <c r="Y29" s="383" t="str">
        <f>'1ª'!S32</f>
        <v>-</v>
      </c>
      <c r="Z29" s="384">
        <f>'1ª'!T32</f>
        <v>0</v>
      </c>
      <c r="AA29" s="384">
        <f>'1ª'!U32</f>
        <v>0</v>
      </c>
      <c r="AB29" s="385" t="s">
        <v>322</v>
      </c>
      <c r="AC29" s="385"/>
      <c r="AD29" s="435" t="s">
        <v>466</v>
      </c>
    </row>
    <row r="30" spans="1:30" ht="15.75" x14ac:dyDescent="0.25">
      <c r="A30" s="416" t="str">
        <f>RIGHT('[1]1ª'!$A$5:$D$5,12)</f>
        <v>1ª SÉRIE E.F</v>
      </c>
      <c r="B30" s="451">
        <v>29</v>
      </c>
      <c r="C30" s="248">
        <f>'1ª'!$B33</f>
        <v>0</v>
      </c>
      <c r="D30" s="362">
        <f>'1ª'!$C33</f>
        <v>0</v>
      </c>
      <c r="E30" s="249">
        <f>'1ª'!$D33</f>
        <v>0</v>
      </c>
      <c r="F30" s="249" t="str">
        <f>'1ª'!$E33</f>
        <v/>
      </c>
      <c r="G30" s="250">
        <f>'1ª'!$F33</f>
        <v>0</v>
      </c>
      <c r="H30" s="362">
        <f>'1ª'!$G33</f>
        <v>0</v>
      </c>
      <c r="I30" s="362">
        <f>'1ª'!$H33</f>
        <v>0</v>
      </c>
      <c r="J30" s="362"/>
      <c r="K30" s="362">
        <f>'1ª'!$I33</f>
        <v>0</v>
      </c>
      <c r="L30" s="362" t="str">
        <f ca="1">'1ª'!$J33</f>
        <v/>
      </c>
      <c r="M30" s="362"/>
      <c r="N30" s="362" t="str">
        <f ca="1">'1ª'!$K33</f>
        <v/>
      </c>
      <c r="O30" s="362"/>
      <c r="P30" s="473" t="s">
        <v>110</v>
      </c>
      <c r="Q30" s="415" t="s">
        <v>249</v>
      </c>
      <c r="R30" s="383" t="str">
        <f>'1ª'!L33</f>
        <v>Não</v>
      </c>
      <c r="S30" s="383" t="str">
        <f>'1ª'!M33</f>
        <v>Eliane</v>
      </c>
      <c r="T30" s="383" t="str">
        <f>'1ª'!N33</f>
        <v>-</v>
      </c>
      <c r="U30" s="383" t="str">
        <f>'1ª'!O33</f>
        <v>-</v>
      </c>
      <c r="V30" s="383" t="str">
        <f>'1ª'!P33</f>
        <v>-</v>
      </c>
      <c r="W30" s="383" t="str">
        <f>'1ª'!Q33</f>
        <v>-</v>
      </c>
      <c r="X30" s="383" t="str">
        <f>'1ª'!R33</f>
        <v>-</v>
      </c>
      <c r="Y30" s="383" t="str">
        <f>'1ª'!S33</f>
        <v>-</v>
      </c>
      <c r="Z30" s="384">
        <f>'1ª'!T33</f>
        <v>0</v>
      </c>
      <c r="AA30" s="384">
        <f>'1ª'!U33</f>
        <v>0</v>
      </c>
      <c r="AB30" s="385" t="s">
        <v>322</v>
      </c>
      <c r="AC30" s="385"/>
      <c r="AD30" s="435" t="s">
        <v>466</v>
      </c>
    </row>
    <row r="31" spans="1:30" ht="15.75" x14ac:dyDescent="0.25">
      <c r="A31" s="416" t="str">
        <f>RIGHT('[1]1ª'!$A$5:$D$5,12)</f>
        <v>1ª SÉRIE E.F</v>
      </c>
      <c r="B31" s="451">
        <v>30</v>
      </c>
      <c r="C31" s="248">
        <f>'1ª'!$B34</f>
        <v>0</v>
      </c>
      <c r="D31" s="362">
        <f>'1ª'!$C34</f>
        <v>0</v>
      </c>
      <c r="E31" s="249">
        <f>'1ª'!$D34</f>
        <v>0</v>
      </c>
      <c r="F31" s="249" t="str">
        <f>'1ª'!$E34</f>
        <v/>
      </c>
      <c r="G31" s="250">
        <f>'1ª'!$F34</f>
        <v>0</v>
      </c>
      <c r="H31" s="362">
        <f>'1ª'!$G34</f>
        <v>0</v>
      </c>
      <c r="I31" s="362">
        <f>'1ª'!$H34</f>
        <v>0</v>
      </c>
      <c r="J31" s="362"/>
      <c r="K31" s="362">
        <f>'1ª'!$I34</f>
        <v>0</v>
      </c>
      <c r="L31" s="362" t="str">
        <f ca="1">'1ª'!$J34</f>
        <v/>
      </c>
      <c r="M31" s="362"/>
      <c r="N31" s="362" t="str">
        <f ca="1">'1ª'!$K34</f>
        <v/>
      </c>
      <c r="O31" s="362"/>
      <c r="P31" s="253" t="s">
        <v>110</v>
      </c>
      <c r="Q31" s="435" t="s">
        <v>249</v>
      </c>
      <c r="R31" s="383" t="str">
        <f>'1ª'!L34</f>
        <v>Não</v>
      </c>
      <c r="S31" s="383" t="str">
        <f>'1ª'!M34</f>
        <v>Eliane</v>
      </c>
      <c r="T31" s="383" t="str">
        <f>'1ª'!N34</f>
        <v>-</v>
      </c>
      <c r="U31" s="383" t="str">
        <f>'1ª'!O34</f>
        <v>-</v>
      </c>
      <c r="V31" s="383" t="str">
        <f>'1ª'!P34</f>
        <v>-</v>
      </c>
      <c r="W31" s="383" t="str">
        <f>'1ª'!Q34</f>
        <v>-</v>
      </c>
      <c r="X31" s="383" t="str">
        <f>'1ª'!R34</f>
        <v>-</v>
      </c>
      <c r="Y31" s="383" t="str">
        <f>'1ª'!S34</f>
        <v>-</v>
      </c>
      <c r="Z31" s="384">
        <f>'1ª'!T34</f>
        <v>0</v>
      </c>
      <c r="AA31" s="384">
        <f>'1ª'!U34</f>
        <v>0</v>
      </c>
      <c r="AB31" s="385" t="s">
        <v>322</v>
      </c>
      <c r="AC31" s="385"/>
      <c r="AD31" s="435" t="s">
        <v>466</v>
      </c>
    </row>
    <row r="32" spans="1:30" ht="15.75" x14ac:dyDescent="0.25">
      <c r="A32" s="416" t="str">
        <f>RIGHT('[1]1ª'!$A$5:$D$5,12)</f>
        <v>1ª SÉRIE E.F</v>
      </c>
      <c r="B32" s="451">
        <v>31</v>
      </c>
      <c r="C32" s="248">
        <f>'1ª'!$B35</f>
        <v>0</v>
      </c>
      <c r="D32" s="362">
        <f>'1ª'!$C35</f>
        <v>0</v>
      </c>
      <c r="E32" s="249">
        <f>'1ª'!$D35</f>
        <v>0</v>
      </c>
      <c r="F32" s="249">
        <f>'1ª'!$E35</f>
        <v>0</v>
      </c>
      <c r="G32" s="250">
        <f>'1ª'!$F35</f>
        <v>0</v>
      </c>
      <c r="H32" s="362">
        <f>'1ª'!$G35</f>
        <v>0</v>
      </c>
      <c r="I32" s="362">
        <f>'1ª'!$H35</f>
        <v>0</v>
      </c>
      <c r="J32" s="362"/>
      <c r="K32" s="362">
        <f>'1ª'!$I35</f>
        <v>0</v>
      </c>
      <c r="L32" s="362">
        <f>'1ª'!$J35</f>
        <v>0</v>
      </c>
      <c r="M32" s="362"/>
      <c r="N32" s="362">
        <f>'1ª'!$K35</f>
        <v>0</v>
      </c>
      <c r="O32" s="362"/>
      <c r="P32" s="473" t="s">
        <v>110</v>
      </c>
      <c r="Q32" s="415" t="s">
        <v>249</v>
      </c>
      <c r="R32" s="383">
        <f>'1ª'!L35</f>
        <v>0</v>
      </c>
      <c r="S32" s="383">
        <f>'1ª'!M35</f>
        <v>0</v>
      </c>
      <c r="T32" s="383">
        <f>'1ª'!N35</f>
        <v>0</v>
      </c>
      <c r="U32" s="383">
        <f>'1ª'!O35</f>
        <v>0</v>
      </c>
      <c r="V32" s="383">
        <f>'1ª'!P35</f>
        <v>0</v>
      </c>
      <c r="W32" s="383">
        <f>'1ª'!Q35</f>
        <v>0</v>
      </c>
      <c r="X32" s="383">
        <f>'1ª'!R35</f>
        <v>0</v>
      </c>
      <c r="Y32" s="383">
        <f>'1ª'!S35</f>
        <v>0</v>
      </c>
      <c r="Z32" s="384">
        <f>'1ª'!T35</f>
        <v>0</v>
      </c>
      <c r="AA32" s="384">
        <f>'1ª'!U35</f>
        <v>0</v>
      </c>
      <c r="AB32" s="385" t="s">
        <v>322</v>
      </c>
      <c r="AC32" s="385"/>
      <c r="AD32" s="435" t="s">
        <v>466</v>
      </c>
    </row>
    <row r="33" spans="1:30" ht="15.75" x14ac:dyDescent="0.25">
      <c r="A33" s="416" t="str">
        <f>RIGHT('[1]1ª'!$A$5:$D$5,12)</f>
        <v>1ª SÉRIE E.F</v>
      </c>
      <c r="B33" s="451">
        <v>32</v>
      </c>
      <c r="C33" s="248">
        <f>'1ª'!$B36</f>
        <v>0</v>
      </c>
      <c r="D33" s="362">
        <f>'1ª'!$C36</f>
        <v>0</v>
      </c>
      <c r="E33" s="249">
        <f>'1ª'!$D36</f>
        <v>0</v>
      </c>
      <c r="F33" s="249">
        <f>'1ª'!$E36</f>
        <v>0</v>
      </c>
      <c r="G33" s="250">
        <f>'1ª'!$F36</f>
        <v>0</v>
      </c>
      <c r="H33" s="362">
        <f>'1ª'!$G36</f>
        <v>0</v>
      </c>
      <c r="I33" s="362">
        <f>'1ª'!$H36</f>
        <v>0</v>
      </c>
      <c r="J33" s="362"/>
      <c r="K33" s="362">
        <f>'1ª'!$I36</f>
        <v>0</v>
      </c>
      <c r="L33" s="362">
        <f>'1ª'!$J36</f>
        <v>0</v>
      </c>
      <c r="M33" s="362"/>
      <c r="N33" s="362">
        <f>'1ª'!$K36</f>
        <v>0</v>
      </c>
      <c r="O33" s="362"/>
      <c r="P33" s="253" t="s">
        <v>110</v>
      </c>
      <c r="Q33" s="435" t="s">
        <v>249</v>
      </c>
      <c r="R33" s="383">
        <f>'1ª'!L36</f>
        <v>0</v>
      </c>
      <c r="S33" s="383">
        <f>'1ª'!M36</f>
        <v>0</v>
      </c>
      <c r="T33" s="383">
        <f>'1ª'!N36</f>
        <v>0</v>
      </c>
      <c r="U33" s="383">
        <f>'1ª'!O36</f>
        <v>0</v>
      </c>
      <c r="V33" s="383">
        <f>'1ª'!P36</f>
        <v>0</v>
      </c>
      <c r="W33" s="383">
        <f>'1ª'!Q36</f>
        <v>0</v>
      </c>
      <c r="X33" s="383">
        <f>'1ª'!R36</f>
        <v>0</v>
      </c>
      <c r="Y33" s="383">
        <f>'1ª'!S36</f>
        <v>0</v>
      </c>
      <c r="Z33" s="384">
        <f>'1ª'!T36</f>
        <v>0</v>
      </c>
      <c r="AA33" s="384">
        <f>'1ª'!U36</f>
        <v>0</v>
      </c>
      <c r="AB33" s="385" t="s">
        <v>322</v>
      </c>
      <c r="AC33" s="385"/>
      <c r="AD33" s="435" t="s">
        <v>466</v>
      </c>
    </row>
    <row r="34" spans="1:30" ht="15.75" x14ac:dyDescent="0.25">
      <c r="A34" s="416" t="str">
        <f>RIGHT('[1]1ª'!$A$5:$D$5,12)</f>
        <v>1ª SÉRIE E.F</v>
      </c>
      <c r="B34" s="451">
        <v>33</v>
      </c>
      <c r="C34" s="248">
        <f>'1ª'!$B37</f>
        <v>0</v>
      </c>
      <c r="D34" s="362">
        <f>'1ª'!$C37</f>
        <v>0</v>
      </c>
      <c r="E34" s="249">
        <f>'1ª'!$D37</f>
        <v>0</v>
      </c>
      <c r="F34" s="249">
        <f>'1ª'!$E37</f>
        <v>0</v>
      </c>
      <c r="G34" s="250">
        <f>'1ª'!$F37</f>
        <v>0</v>
      </c>
      <c r="H34" s="362">
        <f>'1ª'!$G37</f>
        <v>0</v>
      </c>
      <c r="I34" s="362">
        <f>'1ª'!$H37</f>
        <v>0</v>
      </c>
      <c r="J34" s="362"/>
      <c r="K34" s="362">
        <f>'1ª'!$I37</f>
        <v>0</v>
      </c>
      <c r="L34" s="362">
        <f>'1ª'!$J37</f>
        <v>0</v>
      </c>
      <c r="M34" s="362"/>
      <c r="N34" s="362">
        <f>'1ª'!$K37</f>
        <v>0</v>
      </c>
      <c r="O34" s="362"/>
      <c r="P34" s="473" t="s">
        <v>110</v>
      </c>
      <c r="Q34" s="415" t="s">
        <v>249</v>
      </c>
      <c r="R34" s="383">
        <f>'1ª'!L37</f>
        <v>0</v>
      </c>
      <c r="S34" s="383">
        <f>'1ª'!M37</f>
        <v>0</v>
      </c>
      <c r="T34" s="383">
        <f>'1ª'!N37</f>
        <v>0</v>
      </c>
      <c r="U34" s="383">
        <f>'1ª'!O37</f>
        <v>0</v>
      </c>
      <c r="V34" s="383">
        <f>'1ª'!P37</f>
        <v>0</v>
      </c>
      <c r="W34" s="383">
        <f>'1ª'!Q37</f>
        <v>0</v>
      </c>
      <c r="X34" s="383">
        <f>'1ª'!R37</f>
        <v>0</v>
      </c>
      <c r="Y34" s="383">
        <f>'1ª'!S37</f>
        <v>0</v>
      </c>
      <c r="Z34" s="384">
        <f>'1ª'!T37</f>
        <v>0</v>
      </c>
      <c r="AA34" s="384">
        <f>'1ª'!U37</f>
        <v>0</v>
      </c>
      <c r="AB34" s="385" t="s">
        <v>322</v>
      </c>
      <c r="AC34" s="385"/>
      <c r="AD34" s="435" t="s">
        <v>466</v>
      </c>
    </row>
    <row r="35" spans="1:30" ht="15.75" x14ac:dyDescent="0.25">
      <c r="A35" s="416" t="str">
        <f>RIGHT('[1]1ª'!$A$5:$D$5,12)</f>
        <v>1ª SÉRIE E.F</v>
      </c>
      <c r="B35" s="451">
        <v>34</v>
      </c>
      <c r="C35" s="248">
        <f>'1ª'!$B38</f>
        <v>0</v>
      </c>
      <c r="D35" s="362">
        <f>'1ª'!$C38</f>
        <v>0</v>
      </c>
      <c r="E35" s="249">
        <f>'1ª'!$D38</f>
        <v>0</v>
      </c>
      <c r="F35" s="249">
        <f>'1ª'!$E38</f>
        <v>0</v>
      </c>
      <c r="G35" s="250">
        <f>'1ª'!$F38</f>
        <v>0</v>
      </c>
      <c r="H35" s="362">
        <f>'1ª'!$G38</f>
        <v>0</v>
      </c>
      <c r="I35" s="362">
        <f>'1ª'!$H38</f>
        <v>0</v>
      </c>
      <c r="J35" s="362"/>
      <c r="K35" s="362">
        <f>'1ª'!$I38</f>
        <v>0</v>
      </c>
      <c r="L35" s="362">
        <f>'1ª'!$J38</f>
        <v>0</v>
      </c>
      <c r="M35" s="362"/>
      <c r="N35" s="362">
        <f>'1ª'!$K38</f>
        <v>0</v>
      </c>
      <c r="O35" s="362"/>
      <c r="P35" s="253" t="s">
        <v>110</v>
      </c>
      <c r="Q35" s="435" t="s">
        <v>249</v>
      </c>
      <c r="R35" s="383">
        <f>'1ª'!L38</f>
        <v>0</v>
      </c>
      <c r="S35" s="383">
        <f>'1ª'!M38</f>
        <v>0</v>
      </c>
      <c r="T35" s="383">
        <f>'1ª'!N38</f>
        <v>0</v>
      </c>
      <c r="U35" s="383">
        <f>'1ª'!O38</f>
        <v>0</v>
      </c>
      <c r="V35" s="383">
        <f>'1ª'!P38</f>
        <v>0</v>
      </c>
      <c r="W35" s="383">
        <f>'1ª'!Q38</f>
        <v>0</v>
      </c>
      <c r="X35" s="383">
        <f>'1ª'!R38</f>
        <v>0</v>
      </c>
      <c r="Y35" s="383">
        <f>'1ª'!S38</f>
        <v>0</v>
      </c>
      <c r="Z35" s="384">
        <f>'1ª'!T38</f>
        <v>0</v>
      </c>
      <c r="AA35" s="384">
        <f>'1ª'!U38</f>
        <v>0</v>
      </c>
      <c r="AB35" s="385" t="s">
        <v>322</v>
      </c>
      <c r="AC35" s="385"/>
      <c r="AD35" s="435" t="s">
        <v>466</v>
      </c>
    </row>
    <row r="36" spans="1:30" ht="15.75" x14ac:dyDescent="0.25">
      <c r="A36" s="416" t="str">
        <f>RIGHT('[1]1ª'!$A$5:$D$5,12)</f>
        <v>1ª SÉRIE E.F</v>
      </c>
      <c r="B36" s="451">
        <v>35</v>
      </c>
      <c r="C36" s="248">
        <f>'1ª'!$B39</f>
        <v>0</v>
      </c>
      <c r="D36" s="362">
        <f>'1ª'!$C39</f>
        <v>0</v>
      </c>
      <c r="E36" s="249">
        <f>'1ª'!$D39</f>
        <v>0</v>
      </c>
      <c r="F36" s="249">
        <f>'1ª'!$E39</f>
        <v>0</v>
      </c>
      <c r="G36" s="250">
        <f>'1ª'!$F39</f>
        <v>0</v>
      </c>
      <c r="H36" s="362">
        <f>'1ª'!$G39</f>
        <v>0</v>
      </c>
      <c r="I36" s="362">
        <f>'1ª'!$H39</f>
        <v>0</v>
      </c>
      <c r="J36" s="362"/>
      <c r="K36" s="362">
        <f>'1ª'!$I39</f>
        <v>0</v>
      </c>
      <c r="L36" s="362">
        <f>'1ª'!$J39</f>
        <v>0</v>
      </c>
      <c r="M36" s="362"/>
      <c r="N36" s="362">
        <f>'1ª'!$K39</f>
        <v>0</v>
      </c>
      <c r="O36" s="362"/>
      <c r="P36" s="473" t="s">
        <v>110</v>
      </c>
      <c r="Q36" s="415" t="s">
        <v>249</v>
      </c>
      <c r="R36" s="383">
        <f>'1ª'!L39</f>
        <v>0</v>
      </c>
      <c r="S36" s="383">
        <f>'1ª'!M39</f>
        <v>0</v>
      </c>
      <c r="T36" s="383">
        <f>'1ª'!N39</f>
        <v>0</v>
      </c>
      <c r="U36" s="383">
        <f>'1ª'!O39</f>
        <v>0</v>
      </c>
      <c r="V36" s="383">
        <f>'1ª'!P39</f>
        <v>0</v>
      </c>
      <c r="W36" s="383">
        <f>'1ª'!Q39</f>
        <v>0</v>
      </c>
      <c r="X36" s="383">
        <f>'1ª'!R39</f>
        <v>0</v>
      </c>
      <c r="Y36" s="383">
        <f>'1ª'!S39</f>
        <v>0</v>
      </c>
      <c r="Z36" s="384">
        <f>'1ª'!T39</f>
        <v>0</v>
      </c>
      <c r="AA36" s="384">
        <f>'1ª'!U39</f>
        <v>0</v>
      </c>
      <c r="AB36" s="385" t="s">
        <v>322</v>
      </c>
      <c r="AC36" s="385"/>
      <c r="AD36" s="435" t="s">
        <v>466</v>
      </c>
    </row>
    <row r="37" spans="1:30" ht="15.75" x14ac:dyDescent="0.25">
      <c r="A37" s="416" t="str">
        <f>RIGHT('[1]1ª'!$A$5:$D$5,12)</f>
        <v>1ª SÉRIE E.F</v>
      </c>
      <c r="B37" s="451">
        <v>36</v>
      </c>
      <c r="C37" s="248">
        <f>'1ª'!$B40</f>
        <v>0</v>
      </c>
      <c r="D37" s="362">
        <f>'1ª'!$C40</f>
        <v>0</v>
      </c>
      <c r="E37" s="249">
        <f>'1ª'!$D40</f>
        <v>0</v>
      </c>
      <c r="F37" s="249">
        <f>'1ª'!$E40</f>
        <v>0</v>
      </c>
      <c r="G37" s="250">
        <f>'1ª'!$F40</f>
        <v>0</v>
      </c>
      <c r="H37" s="362">
        <f>'1ª'!$G40</f>
        <v>0</v>
      </c>
      <c r="I37" s="362">
        <f>'1ª'!$H40</f>
        <v>0</v>
      </c>
      <c r="J37" s="362"/>
      <c r="K37" s="362">
        <f>'1ª'!$I40</f>
        <v>0</v>
      </c>
      <c r="L37" s="362">
        <f>'1ª'!$J40</f>
        <v>0</v>
      </c>
      <c r="M37" s="362"/>
      <c r="N37" s="362">
        <f>'1ª'!$K40</f>
        <v>0</v>
      </c>
      <c r="O37" s="362"/>
      <c r="P37" s="253" t="s">
        <v>110</v>
      </c>
      <c r="Q37" s="435" t="s">
        <v>249</v>
      </c>
      <c r="R37" s="383">
        <f>'1ª'!L40</f>
        <v>0</v>
      </c>
      <c r="S37" s="383">
        <f>'1ª'!M40</f>
        <v>0</v>
      </c>
      <c r="T37" s="383">
        <f>'1ª'!N40</f>
        <v>0</v>
      </c>
      <c r="U37" s="383">
        <f>'1ª'!O40</f>
        <v>0</v>
      </c>
      <c r="V37" s="383">
        <f>'1ª'!P40</f>
        <v>0</v>
      </c>
      <c r="W37" s="383">
        <f>'1ª'!Q40</f>
        <v>0</v>
      </c>
      <c r="X37" s="383">
        <f>'1ª'!R40</f>
        <v>0</v>
      </c>
      <c r="Y37" s="383">
        <f>'1ª'!S40</f>
        <v>0</v>
      </c>
      <c r="Z37" s="384">
        <f>'1ª'!T40</f>
        <v>0</v>
      </c>
      <c r="AA37" s="384">
        <f>'1ª'!U40</f>
        <v>0</v>
      </c>
      <c r="AB37" s="385" t="s">
        <v>322</v>
      </c>
      <c r="AC37" s="385"/>
      <c r="AD37" s="435" t="s">
        <v>466</v>
      </c>
    </row>
    <row r="38" spans="1:30" ht="15.75" x14ac:dyDescent="0.25">
      <c r="A38" s="416" t="str">
        <f>RIGHT('[1]1ª'!$A$5:$D$5,12)</f>
        <v>1ª SÉRIE E.F</v>
      </c>
      <c r="B38" s="451">
        <v>37</v>
      </c>
      <c r="C38" s="248">
        <f>'1ª'!$B41</f>
        <v>0</v>
      </c>
      <c r="D38" s="362">
        <f>'1ª'!$C41</f>
        <v>0</v>
      </c>
      <c r="E38" s="249">
        <f>'1ª'!$D41</f>
        <v>0</v>
      </c>
      <c r="F38" s="249">
        <f>'1ª'!$E41</f>
        <v>0</v>
      </c>
      <c r="G38" s="250">
        <f>'1ª'!$F41</f>
        <v>0</v>
      </c>
      <c r="H38" s="362">
        <f>'1ª'!$G41</f>
        <v>0</v>
      </c>
      <c r="I38" s="362">
        <f>'1ª'!$H41</f>
        <v>0</v>
      </c>
      <c r="J38" s="362"/>
      <c r="K38" s="362">
        <f>'1ª'!$I41</f>
        <v>0</v>
      </c>
      <c r="L38" s="362">
        <f>'1ª'!$J41</f>
        <v>0</v>
      </c>
      <c r="M38" s="362"/>
      <c r="N38" s="362">
        <f>'1ª'!$K41</f>
        <v>0</v>
      </c>
      <c r="O38" s="362"/>
      <c r="P38" s="473" t="s">
        <v>110</v>
      </c>
      <c r="Q38" s="415" t="s">
        <v>249</v>
      </c>
      <c r="R38" s="383">
        <f>'1ª'!L41</f>
        <v>0</v>
      </c>
      <c r="S38" s="383">
        <f>'1ª'!M41</f>
        <v>0</v>
      </c>
      <c r="T38" s="383">
        <f>'1ª'!N41</f>
        <v>0</v>
      </c>
      <c r="U38" s="383">
        <f>'1ª'!O41</f>
        <v>0</v>
      </c>
      <c r="V38" s="383">
        <f>'1ª'!P41</f>
        <v>0</v>
      </c>
      <c r="W38" s="383">
        <f>'1ª'!Q41</f>
        <v>0</v>
      </c>
      <c r="X38" s="383">
        <f>'1ª'!R41</f>
        <v>0</v>
      </c>
      <c r="Y38" s="383">
        <f>'1ª'!S41</f>
        <v>0</v>
      </c>
      <c r="Z38" s="384">
        <f>'1ª'!T41</f>
        <v>0</v>
      </c>
      <c r="AA38" s="384">
        <f>'1ª'!U41</f>
        <v>0</v>
      </c>
      <c r="AB38" s="385" t="s">
        <v>322</v>
      </c>
      <c r="AC38" s="385"/>
      <c r="AD38" s="435" t="s">
        <v>466</v>
      </c>
    </row>
    <row r="39" spans="1:30" ht="15.75" x14ac:dyDescent="0.25">
      <c r="A39" s="416" t="str">
        <f>RIGHT('[1]1ª'!$A$5:$D$5,12)</f>
        <v>1ª SÉRIE E.F</v>
      </c>
      <c r="B39" s="451">
        <v>38</v>
      </c>
      <c r="C39" s="248">
        <f>'1ª'!$B42</f>
        <v>0</v>
      </c>
      <c r="D39" s="362">
        <f>'1ª'!$C42</f>
        <v>0</v>
      </c>
      <c r="E39" s="249">
        <f>'1ª'!$D42</f>
        <v>0</v>
      </c>
      <c r="F39" s="249">
        <f>'1ª'!$E42</f>
        <v>0</v>
      </c>
      <c r="G39" s="250">
        <f>'1ª'!$F42</f>
        <v>0</v>
      </c>
      <c r="H39" s="362">
        <f>'1ª'!$G42</f>
        <v>0</v>
      </c>
      <c r="I39" s="362">
        <f>'1ª'!$H42</f>
        <v>0</v>
      </c>
      <c r="J39" s="362"/>
      <c r="K39" s="362">
        <f>'1ª'!$I42</f>
        <v>0</v>
      </c>
      <c r="L39" s="362">
        <f>'1ª'!$J42</f>
        <v>0</v>
      </c>
      <c r="M39" s="362"/>
      <c r="N39" s="362">
        <f>'1ª'!$K42</f>
        <v>0</v>
      </c>
      <c r="O39" s="362"/>
      <c r="P39" s="253" t="s">
        <v>110</v>
      </c>
      <c r="Q39" s="435" t="s">
        <v>249</v>
      </c>
      <c r="R39" s="383">
        <f>'1ª'!L42</f>
        <v>0</v>
      </c>
      <c r="S39" s="383">
        <f>'1ª'!M42</f>
        <v>0</v>
      </c>
      <c r="T39" s="383">
        <f>'1ª'!N42</f>
        <v>0</v>
      </c>
      <c r="U39" s="383">
        <f>'1ª'!O42</f>
        <v>0</v>
      </c>
      <c r="V39" s="383">
        <f>'1ª'!P42</f>
        <v>0</v>
      </c>
      <c r="W39" s="383">
        <f>'1ª'!Q42</f>
        <v>0</v>
      </c>
      <c r="X39" s="383">
        <f>'1ª'!R42</f>
        <v>0</v>
      </c>
      <c r="Y39" s="383">
        <f>'1ª'!S42</f>
        <v>0</v>
      </c>
      <c r="Z39" s="384">
        <f>'1ª'!T42</f>
        <v>0</v>
      </c>
      <c r="AA39" s="384">
        <f>'1ª'!U42</f>
        <v>0</v>
      </c>
      <c r="AB39" s="385" t="s">
        <v>322</v>
      </c>
      <c r="AC39" s="385"/>
      <c r="AD39" s="435" t="s">
        <v>466</v>
      </c>
    </row>
    <row r="40" spans="1:30" ht="15.75" x14ac:dyDescent="0.25">
      <c r="A40" s="416" t="str">
        <f>RIGHT('[1]1ª'!$A$5:$D$5,12)</f>
        <v>1ª SÉRIE E.F</v>
      </c>
      <c r="B40" s="451">
        <v>39</v>
      </c>
      <c r="C40" s="248">
        <f>'1ª'!$B43</f>
        <v>0</v>
      </c>
      <c r="D40" s="362">
        <f>'1ª'!$C43</f>
        <v>0</v>
      </c>
      <c r="E40" s="249">
        <f>'1ª'!$D43</f>
        <v>0</v>
      </c>
      <c r="F40" s="249">
        <f>'1ª'!$E43</f>
        <v>0</v>
      </c>
      <c r="G40" s="250">
        <f>'1ª'!$F43</f>
        <v>0</v>
      </c>
      <c r="H40" s="362">
        <f>'1ª'!$G43</f>
        <v>0</v>
      </c>
      <c r="I40" s="362">
        <f>'1ª'!$H43</f>
        <v>0</v>
      </c>
      <c r="J40" s="362"/>
      <c r="K40" s="362">
        <f>'1ª'!$I43</f>
        <v>0</v>
      </c>
      <c r="L40" s="362">
        <f>'1ª'!$J43</f>
        <v>0</v>
      </c>
      <c r="M40" s="362"/>
      <c r="N40" s="362">
        <f>'1ª'!$K43</f>
        <v>0</v>
      </c>
      <c r="O40" s="362"/>
      <c r="P40" s="473" t="s">
        <v>110</v>
      </c>
      <c r="Q40" s="415" t="s">
        <v>249</v>
      </c>
      <c r="R40" s="383">
        <f>'1ª'!L43</f>
        <v>0</v>
      </c>
      <c r="S40" s="383">
        <f>'1ª'!M43</f>
        <v>0</v>
      </c>
      <c r="T40" s="383">
        <f>'1ª'!N43</f>
        <v>0</v>
      </c>
      <c r="U40" s="383">
        <f>'1ª'!O43</f>
        <v>0</v>
      </c>
      <c r="V40" s="383">
        <f>'1ª'!P43</f>
        <v>0</v>
      </c>
      <c r="W40" s="383">
        <f>'1ª'!Q43</f>
        <v>0</v>
      </c>
      <c r="X40" s="383">
        <f>'1ª'!R43</f>
        <v>0</v>
      </c>
      <c r="Y40" s="383">
        <f>'1ª'!S43</f>
        <v>0</v>
      </c>
      <c r="Z40" s="384">
        <f>'1ª'!T43</f>
        <v>0</v>
      </c>
      <c r="AA40" s="384">
        <f>'1ª'!U43</f>
        <v>0</v>
      </c>
      <c r="AB40" s="385" t="s">
        <v>322</v>
      </c>
      <c r="AC40" s="385"/>
      <c r="AD40" s="435" t="s">
        <v>466</v>
      </c>
    </row>
    <row r="41" spans="1:30" ht="15.75" x14ac:dyDescent="0.25">
      <c r="A41" s="416" t="str">
        <f>RIGHT('[1]1ª'!$A$5:$D$5,12)</f>
        <v>1ª SÉRIE E.F</v>
      </c>
      <c r="B41" s="451">
        <v>40</v>
      </c>
      <c r="C41" s="248">
        <f>'1ª'!$B44</f>
        <v>0</v>
      </c>
      <c r="D41" s="362">
        <f>'1ª'!$C44</f>
        <v>0</v>
      </c>
      <c r="E41" s="249">
        <f>'1ª'!$D44</f>
        <v>0</v>
      </c>
      <c r="F41" s="249">
        <f>'1ª'!$E44</f>
        <v>0</v>
      </c>
      <c r="G41" s="250">
        <f>'1ª'!$F44</f>
        <v>0</v>
      </c>
      <c r="H41" s="362">
        <f>'1ª'!$G44</f>
        <v>0</v>
      </c>
      <c r="I41" s="362">
        <f>'1ª'!$H44</f>
        <v>0</v>
      </c>
      <c r="J41" s="362"/>
      <c r="K41" s="362">
        <f>'1ª'!$I44</f>
        <v>0</v>
      </c>
      <c r="L41" s="362">
        <f>'1ª'!$J44</f>
        <v>0</v>
      </c>
      <c r="M41" s="362"/>
      <c r="N41" s="362">
        <f>'1ª'!$K44</f>
        <v>0</v>
      </c>
      <c r="O41" s="362"/>
      <c r="P41" s="253" t="s">
        <v>110</v>
      </c>
      <c r="Q41" s="435" t="s">
        <v>249</v>
      </c>
      <c r="R41" s="383">
        <f>'1ª'!L44</f>
        <v>0</v>
      </c>
      <c r="S41" s="383">
        <f>'1ª'!M44</f>
        <v>0</v>
      </c>
      <c r="T41" s="383">
        <f>'1ª'!N44</f>
        <v>0</v>
      </c>
      <c r="U41" s="383">
        <f>'1ª'!O44</f>
        <v>0</v>
      </c>
      <c r="V41" s="383">
        <f>'1ª'!P44</f>
        <v>0</v>
      </c>
      <c r="W41" s="383">
        <f>'1ª'!Q44</f>
        <v>0</v>
      </c>
      <c r="X41" s="383">
        <f>'1ª'!R44</f>
        <v>0</v>
      </c>
      <c r="Y41" s="383">
        <f>'1ª'!S44</f>
        <v>0</v>
      </c>
      <c r="Z41" s="384">
        <f>'1ª'!T44</f>
        <v>0</v>
      </c>
      <c r="AA41" s="384">
        <f>'1ª'!U44</f>
        <v>0</v>
      </c>
      <c r="AB41" s="385" t="s">
        <v>322</v>
      </c>
      <c r="AC41" s="385"/>
      <c r="AD41" s="435" t="s">
        <v>466</v>
      </c>
    </row>
    <row r="42" spans="1:30" ht="15.75" x14ac:dyDescent="0.25">
      <c r="A42" s="416" t="str">
        <f>RIGHT('[1]1ª'!$A$5:$D$5,12)</f>
        <v>1ª SÉRIE E.F</v>
      </c>
      <c r="B42" s="451">
        <v>41</v>
      </c>
      <c r="C42" s="248">
        <f>'1ª'!$B45</f>
        <v>0</v>
      </c>
      <c r="D42" s="362">
        <f>'1ª'!$C45</f>
        <v>0</v>
      </c>
      <c r="E42" s="249">
        <f>'1ª'!$D45</f>
        <v>0</v>
      </c>
      <c r="F42" s="249">
        <f>'1ª'!$E45</f>
        <v>0</v>
      </c>
      <c r="G42" s="250">
        <f>'1ª'!$F45</f>
        <v>0</v>
      </c>
      <c r="H42" s="362">
        <f>'1ª'!$G45</f>
        <v>0</v>
      </c>
      <c r="I42" s="362">
        <f>'1ª'!$H45</f>
        <v>0</v>
      </c>
      <c r="J42" s="362"/>
      <c r="K42" s="362">
        <f>'1ª'!$I45</f>
        <v>0</v>
      </c>
      <c r="L42" s="362">
        <f>'1ª'!$J45</f>
        <v>0</v>
      </c>
      <c r="M42" s="362"/>
      <c r="N42" s="362">
        <f>'1ª'!$K45</f>
        <v>0</v>
      </c>
      <c r="O42" s="362"/>
      <c r="P42" s="473" t="s">
        <v>110</v>
      </c>
      <c r="Q42" s="415" t="s">
        <v>249</v>
      </c>
      <c r="R42" s="383">
        <f>'1ª'!L45</f>
        <v>0</v>
      </c>
      <c r="S42" s="383">
        <f>'1ª'!M45</f>
        <v>0</v>
      </c>
      <c r="T42" s="383">
        <f>'1ª'!N45</f>
        <v>0</v>
      </c>
      <c r="U42" s="383">
        <f>'1ª'!O45</f>
        <v>0</v>
      </c>
      <c r="V42" s="383">
        <f>'1ª'!P45</f>
        <v>0</v>
      </c>
      <c r="W42" s="383">
        <f>'1ª'!Q45</f>
        <v>0</v>
      </c>
      <c r="X42" s="383">
        <f>'1ª'!R45</f>
        <v>0</v>
      </c>
      <c r="Y42" s="383">
        <f>'1ª'!S45</f>
        <v>0</v>
      </c>
      <c r="Z42" s="384">
        <f>'1ª'!T45</f>
        <v>0</v>
      </c>
      <c r="AA42" s="384">
        <f>'1ª'!U45</f>
        <v>0</v>
      </c>
      <c r="AB42" s="385" t="s">
        <v>322</v>
      </c>
      <c r="AC42" s="385"/>
      <c r="AD42" s="435" t="s">
        <v>466</v>
      </c>
    </row>
    <row r="43" spans="1:30" ht="15.75" x14ac:dyDescent="0.25">
      <c r="A43" s="416" t="str">
        <f>RIGHT('[1]1ª'!$A$5:$D$5,12)</f>
        <v>1ª SÉRIE E.F</v>
      </c>
      <c r="B43" s="451">
        <v>42</v>
      </c>
      <c r="C43" s="248">
        <f>'1ª'!$B46</f>
        <v>0</v>
      </c>
      <c r="D43" s="362">
        <f>'1ª'!$C46</f>
        <v>0</v>
      </c>
      <c r="E43" s="249">
        <f>'1ª'!$D46</f>
        <v>0</v>
      </c>
      <c r="F43" s="249">
        <f>'1ª'!$E46</f>
        <v>0</v>
      </c>
      <c r="G43" s="250">
        <f>'1ª'!$F46</f>
        <v>0</v>
      </c>
      <c r="H43" s="362">
        <f>'1ª'!$G46</f>
        <v>0</v>
      </c>
      <c r="I43" s="362">
        <f>'1ª'!$H46</f>
        <v>0</v>
      </c>
      <c r="J43" s="362"/>
      <c r="K43" s="362">
        <f>'1ª'!$I46</f>
        <v>0</v>
      </c>
      <c r="L43" s="362">
        <f>'1ª'!$J46</f>
        <v>0</v>
      </c>
      <c r="M43" s="362"/>
      <c r="N43" s="362">
        <f>'1ª'!$K46</f>
        <v>0</v>
      </c>
      <c r="O43" s="362"/>
      <c r="P43" s="253" t="s">
        <v>110</v>
      </c>
      <c r="Q43" s="435" t="s">
        <v>249</v>
      </c>
      <c r="R43" s="383">
        <f>'1ª'!L46</f>
        <v>0</v>
      </c>
      <c r="S43" s="383">
        <f>'1ª'!M46</f>
        <v>0</v>
      </c>
      <c r="T43" s="383">
        <f>'1ª'!N46</f>
        <v>0</v>
      </c>
      <c r="U43" s="383">
        <f>'1ª'!O46</f>
        <v>0</v>
      </c>
      <c r="V43" s="383">
        <f>'1ª'!P46</f>
        <v>0</v>
      </c>
      <c r="W43" s="383">
        <f>'1ª'!Q46</f>
        <v>0</v>
      </c>
      <c r="X43" s="383">
        <f>'1ª'!R46</f>
        <v>0</v>
      </c>
      <c r="Y43" s="383">
        <f>'1ª'!S46</f>
        <v>0</v>
      </c>
      <c r="Z43" s="384">
        <f>'1ª'!T46</f>
        <v>0</v>
      </c>
      <c r="AA43" s="384">
        <f>'1ª'!U46</f>
        <v>0</v>
      </c>
      <c r="AB43" s="385" t="s">
        <v>322</v>
      </c>
      <c r="AC43" s="385"/>
      <c r="AD43" s="435" t="s">
        <v>466</v>
      </c>
    </row>
    <row r="44" spans="1:30" ht="15.75" x14ac:dyDescent="0.25">
      <c r="A44" s="416" t="str">
        <f>RIGHT('[1]1ª'!$A$5:$D$5,12)</f>
        <v>1ª SÉRIE E.F</v>
      </c>
      <c r="B44" s="451">
        <v>43</v>
      </c>
      <c r="C44" s="248">
        <f>'1ª'!$B47</f>
        <v>0</v>
      </c>
      <c r="D44" s="362">
        <f>'1ª'!$C47</f>
        <v>0</v>
      </c>
      <c r="E44" s="249">
        <f>'1ª'!$D47</f>
        <v>0</v>
      </c>
      <c r="F44" s="249">
        <f>'1ª'!$E47</f>
        <v>0</v>
      </c>
      <c r="G44" s="250">
        <f>'1ª'!$F47</f>
        <v>0</v>
      </c>
      <c r="H44" s="362">
        <f>'1ª'!$G47</f>
        <v>0</v>
      </c>
      <c r="I44" s="362">
        <f>'1ª'!$H47</f>
        <v>0</v>
      </c>
      <c r="J44" s="362"/>
      <c r="K44" s="362">
        <f>'1ª'!$I47</f>
        <v>0</v>
      </c>
      <c r="L44" s="362">
        <f>'1ª'!$J47</f>
        <v>0</v>
      </c>
      <c r="M44" s="362"/>
      <c r="N44" s="362">
        <f>'1ª'!$K47</f>
        <v>0</v>
      </c>
      <c r="O44" s="362"/>
      <c r="P44" s="473" t="s">
        <v>110</v>
      </c>
      <c r="Q44" s="415" t="s">
        <v>249</v>
      </c>
      <c r="R44" s="383">
        <f>'1ª'!L47</f>
        <v>0</v>
      </c>
      <c r="S44" s="383">
        <f>'1ª'!M47</f>
        <v>0</v>
      </c>
      <c r="T44" s="383">
        <f>'1ª'!N47</f>
        <v>0</v>
      </c>
      <c r="U44" s="383">
        <f>'1ª'!O47</f>
        <v>0</v>
      </c>
      <c r="V44" s="383">
        <f>'1ª'!P47</f>
        <v>0</v>
      </c>
      <c r="W44" s="383">
        <f>'1ª'!Q47</f>
        <v>0</v>
      </c>
      <c r="X44" s="383">
        <f>'1ª'!R47</f>
        <v>0</v>
      </c>
      <c r="Y44" s="383">
        <f>'1ª'!S47</f>
        <v>0</v>
      </c>
      <c r="Z44" s="384">
        <f>'1ª'!T47</f>
        <v>0</v>
      </c>
      <c r="AA44" s="384">
        <f>'1ª'!U47</f>
        <v>0</v>
      </c>
      <c r="AB44" s="385" t="s">
        <v>322</v>
      </c>
      <c r="AC44" s="385"/>
      <c r="AD44" s="435" t="s">
        <v>466</v>
      </c>
    </row>
    <row r="45" spans="1:30" ht="15.75" x14ac:dyDescent="0.25">
      <c r="A45" s="416" t="str">
        <f>RIGHT('[1]1ª'!$A$5:$D$5,12)</f>
        <v>1ª SÉRIE E.F</v>
      </c>
      <c r="B45" s="451">
        <v>44</v>
      </c>
      <c r="C45" s="248">
        <f>'1ª'!$B48</f>
        <v>0</v>
      </c>
      <c r="D45" s="362">
        <f>'1ª'!$C48</f>
        <v>0</v>
      </c>
      <c r="E45" s="249">
        <f>'1ª'!$D48</f>
        <v>0</v>
      </c>
      <c r="F45" s="249">
        <f>'1ª'!$E48</f>
        <v>0</v>
      </c>
      <c r="G45" s="250">
        <f>'1ª'!$F48</f>
        <v>0</v>
      </c>
      <c r="H45" s="362">
        <f>'1ª'!$G48</f>
        <v>0</v>
      </c>
      <c r="I45" s="362">
        <f>'1ª'!$H48</f>
        <v>0</v>
      </c>
      <c r="J45" s="362"/>
      <c r="K45" s="362">
        <f>'1ª'!$I48</f>
        <v>0</v>
      </c>
      <c r="L45" s="362">
        <f>'1ª'!$J48</f>
        <v>0</v>
      </c>
      <c r="M45" s="362"/>
      <c r="N45" s="362">
        <f>'1ª'!$K48</f>
        <v>0</v>
      </c>
      <c r="O45" s="362"/>
      <c r="P45" s="253" t="s">
        <v>110</v>
      </c>
      <c r="Q45" s="435" t="s">
        <v>249</v>
      </c>
      <c r="R45" s="383">
        <f>'1ª'!L48</f>
        <v>0</v>
      </c>
      <c r="S45" s="383">
        <f>'1ª'!M48</f>
        <v>0</v>
      </c>
      <c r="T45" s="383">
        <f>'1ª'!N48</f>
        <v>0</v>
      </c>
      <c r="U45" s="383">
        <f>'1ª'!O48</f>
        <v>0</v>
      </c>
      <c r="V45" s="383">
        <f>'1ª'!P48</f>
        <v>0</v>
      </c>
      <c r="W45" s="383">
        <f>'1ª'!Q48</f>
        <v>0</v>
      </c>
      <c r="X45" s="383">
        <f>'1ª'!R48</f>
        <v>0</v>
      </c>
      <c r="Y45" s="383">
        <f>'1ª'!S48</f>
        <v>0</v>
      </c>
      <c r="Z45" s="384">
        <f>'1ª'!T48</f>
        <v>0</v>
      </c>
      <c r="AA45" s="384">
        <f>'1ª'!U48</f>
        <v>0</v>
      </c>
      <c r="AB45" s="385" t="s">
        <v>322</v>
      </c>
      <c r="AC45" s="385"/>
      <c r="AD45" s="435" t="s">
        <v>466</v>
      </c>
    </row>
    <row r="46" spans="1:30" ht="15.75" x14ac:dyDescent="0.25">
      <c r="A46" s="416" t="str">
        <f>RIGHT('[1]1ª'!$A$5:$D$5,12)</f>
        <v>1ª SÉRIE E.F</v>
      </c>
      <c r="B46" s="451">
        <v>45</v>
      </c>
      <c r="C46" s="248">
        <f>'1ª'!$B49</f>
        <v>0</v>
      </c>
      <c r="D46" s="362">
        <f>'1ª'!$C49</f>
        <v>0</v>
      </c>
      <c r="E46" s="249">
        <f>'1ª'!$D49</f>
        <v>0</v>
      </c>
      <c r="F46" s="249">
        <f>'1ª'!$E49</f>
        <v>0</v>
      </c>
      <c r="G46" s="250">
        <f>'1ª'!$F49</f>
        <v>0</v>
      </c>
      <c r="H46" s="362">
        <f>'1ª'!$G49</f>
        <v>0</v>
      </c>
      <c r="I46" s="362">
        <f>'1ª'!$H49</f>
        <v>0</v>
      </c>
      <c r="J46" s="362"/>
      <c r="K46" s="362">
        <f>'1ª'!$I49</f>
        <v>0</v>
      </c>
      <c r="L46" s="362">
        <f>'1ª'!$J49</f>
        <v>0</v>
      </c>
      <c r="M46" s="362"/>
      <c r="N46" s="362">
        <f>'1ª'!$K49</f>
        <v>0</v>
      </c>
      <c r="O46" s="362"/>
      <c r="P46" s="473" t="s">
        <v>110</v>
      </c>
      <c r="Q46" s="415" t="s">
        <v>249</v>
      </c>
      <c r="R46" s="383">
        <f>'1ª'!L49</f>
        <v>0</v>
      </c>
      <c r="S46" s="383">
        <f>'1ª'!M49</f>
        <v>0</v>
      </c>
      <c r="T46" s="383">
        <f>'1ª'!N49</f>
        <v>0</v>
      </c>
      <c r="U46" s="383">
        <f>'1ª'!O49</f>
        <v>0</v>
      </c>
      <c r="V46" s="383">
        <f>'1ª'!P49</f>
        <v>0</v>
      </c>
      <c r="W46" s="383">
        <f>'1ª'!Q49</f>
        <v>0</v>
      </c>
      <c r="X46" s="383">
        <f>'1ª'!R49</f>
        <v>0</v>
      </c>
      <c r="Y46" s="383">
        <f>'1ª'!S49</f>
        <v>0</v>
      </c>
      <c r="Z46" s="384">
        <f>'1ª'!T49</f>
        <v>0</v>
      </c>
      <c r="AA46" s="384">
        <f>'1ª'!U49</f>
        <v>0</v>
      </c>
      <c r="AB46" s="385" t="s">
        <v>322</v>
      </c>
      <c r="AC46" s="385"/>
      <c r="AD46" s="435" t="s">
        <v>466</v>
      </c>
    </row>
    <row r="47" spans="1:30" ht="15.75" x14ac:dyDescent="0.25">
      <c r="A47" s="416" t="str">
        <f>RIGHT('[1]1ª'!$A$5:$D$5,12)</f>
        <v>1ª SÉRIE E.F</v>
      </c>
      <c r="B47" s="451">
        <v>46</v>
      </c>
      <c r="C47" s="248">
        <f>'1ª'!$B50</f>
        <v>0</v>
      </c>
      <c r="D47" s="362">
        <f>'1ª'!$C50</f>
        <v>0</v>
      </c>
      <c r="E47" s="249">
        <f>'1ª'!$D50</f>
        <v>0</v>
      </c>
      <c r="F47" s="249">
        <f>'1ª'!$E50</f>
        <v>0</v>
      </c>
      <c r="G47" s="250">
        <f>'1ª'!$F50</f>
        <v>0</v>
      </c>
      <c r="H47" s="362">
        <f>'1ª'!$G50</f>
        <v>0</v>
      </c>
      <c r="I47" s="362">
        <f>'1ª'!$H50</f>
        <v>0</v>
      </c>
      <c r="J47" s="362"/>
      <c r="K47" s="362">
        <f>'1ª'!$I50</f>
        <v>0</v>
      </c>
      <c r="L47" s="362">
        <f>'1ª'!$J50</f>
        <v>0</v>
      </c>
      <c r="M47" s="362"/>
      <c r="N47" s="362">
        <f>'1ª'!$K50</f>
        <v>0</v>
      </c>
      <c r="O47" s="362"/>
      <c r="P47" s="253" t="s">
        <v>110</v>
      </c>
      <c r="Q47" s="435" t="s">
        <v>249</v>
      </c>
      <c r="R47" s="383">
        <f>'1ª'!L50</f>
        <v>0</v>
      </c>
      <c r="S47" s="383">
        <f>'1ª'!M50</f>
        <v>0</v>
      </c>
      <c r="T47" s="383">
        <f>'1ª'!N50</f>
        <v>0</v>
      </c>
      <c r="U47" s="383">
        <f>'1ª'!O50</f>
        <v>0</v>
      </c>
      <c r="V47" s="383">
        <f>'1ª'!P50</f>
        <v>0</v>
      </c>
      <c r="W47" s="383">
        <f>'1ª'!Q50</f>
        <v>0</v>
      </c>
      <c r="X47" s="383">
        <f>'1ª'!R50</f>
        <v>0</v>
      </c>
      <c r="Y47" s="383">
        <f>'1ª'!S50</f>
        <v>0</v>
      </c>
      <c r="Z47" s="384">
        <f>'1ª'!T50</f>
        <v>0</v>
      </c>
      <c r="AA47" s="384">
        <f>'1ª'!U50</f>
        <v>0</v>
      </c>
      <c r="AB47" s="385" t="s">
        <v>322</v>
      </c>
      <c r="AC47" s="385"/>
      <c r="AD47" s="435" t="s">
        <v>466</v>
      </c>
    </row>
    <row r="48" spans="1:30" ht="15.75" x14ac:dyDescent="0.25">
      <c r="A48" s="416" t="str">
        <f>RIGHT('[1]1ª'!$A$5:$D$5,12)</f>
        <v>1ª SÉRIE E.F</v>
      </c>
      <c r="B48" s="451">
        <v>47</v>
      </c>
      <c r="C48" s="248">
        <f>'1ª'!$B51</f>
        <v>0</v>
      </c>
      <c r="D48" s="362">
        <f>'1ª'!$C51</f>
        <v>0</v>
      </c>
      <c r="E48" s="249">
        <f>'1ª'!$D51</f>
        <v>0</v>
      </c>
      <c r="F48" s="249">
        <f>'1ª'!$E51</f>
        <v>0</v>
      </c>
      <c r="G48" s="250">
        <f>'1ª'!$F51</f>
        <v>0</v>
      </c>
      <c r="H48" s="362">
        <f>'1ª'!$G51</f>
        <v>0</v>
      </c>
      <c r="I48" s="362">
        <f>'1ª'!$H51</f>
        <v>0</v>
      </c>
      <c r="J48" s="362"/>
      <c r="K48" s="362">
        <f>'1ª'!$I51</f>
        <v>0</v>
      </c>
      <c r="L48" s="362">
        <f>'1ª'!$J51</f>
        <v>0</v>
      </c>
      <c r="M48" s="362"/>
      <c r="N48" s="362">
        <f>'1ª'!$K51</f>
        <v>0</v>
      </c>
      <c r="O48" s="362"/>
      <c r="P48" s="473" t="s">
        <v>110</v>
      </c>
      <c r="Q48" s="415" t="s">
        <v>249</v>
      </c>
      <c r="R48" s="383">
        <f>'1ª'!L51</f>
        <v>0</v>
      </c>
      <c r="S48" s="383">
        <f>'1ª'!M51</f>
        <v>0</v>
      </c>
      <c r="T48" s="383">
        <f>'1ª'!N51</f>
        <v>0</v>
      </c>
      <c r="U48" s="383">
        <f>'1ª'!O51</f>
        <v>0</v>
      </c>
      <c r="V48" s="383">
        <f>'1ª'!P51</f>
        <v>0</v>
      </c>
      <c r="W48" s="383">
        <f>'1ª'!Q51</f>
        <v>0</v>
      </c>
      <c r="X48" s="383">
        <f>'1ª'!R51</f>
        <v>0</v>
      </c>
      <c r="Y48" s="383">
        <f>'1ª'!S51</f>
        <v>0</v>
      </c>
      <c r="Z48" s="384">
        <f>'1ª'!T51</f>
        <v>0</v>
      </c>
      <c r="AA48" s="384">
        <f>'1ª'!U51</f>
        <v>0</v>
      </c>
      <c r="AB48" s="385" t="s">
        <v>322</v>
      </c>
      <c r="AC48" s="385"/>
      <c r="AD48" s="435" t="s">
        <v>466</v>
      </c>
    </row>
    <row r="49" spans="1:30" ht="15.75" x14ac:dyDescent="0.25">
      <c r="A49" s="416" t="str">
        <f>RIGHT('[1]1ª'!$A$5:$D$5,12)</f>
        <v>1ª SÉRIE E.F</v>
      </c>
      <c r="B49" s="451">
        <v>48</v>
      </c>
      <c r="C49" s="248">
        <f>'1ª'!$B52</f>
        <v>0</v>
      </c>
      <c r="D49" s="362">
        <f>'1ª'!$C52</f>
        <v>0</v>
      </c>
      <c r="E49" s="249">
        <f>'1ª'!$D52</f>
        <v>0</v>
      </c>
      <c r="F49" s="249">
        <f>'1ª'!$E52</f>
        <v>0</v>
      </c>
      <c r="G49" s="250">
        <f>'1ª'!$F52</f>
        <v>0</v>
      </c>
      <c r="H49" s="362">
        <f>'1ª'!$G52</f>
        <v>0</v>
      </c>
      <c r="I49" s="362">
        <f>'1ª'!$H52</f>
        <v>0</v>
      </c>
      <c r="J49" s="362"/>
      <c r="K49" s="362">
        <f>'1ª'!$I52</f>
        <v>0</v>
      </c>
      <c r="L49" s="362">
        <f>'1ª'!$J52</f>
        <v>0</v>
      </c>
      <c r="M49" s="362"/>
      <c r="N49" s="362">
        <f>'1ª'!$K52</f>
        <v>0</v>
      </c>
      <c r="O49" s="362"/>
      <c r="P49" s="253" t="s">
        <v>110</v>
      </c>
      <c r="Q49" s="435" t="s">
        <v>249</v>
      </c>
      <c r="R49" s="383">
        <f>'1ª'!L52</f>
        <v>0</v>
      </c>
      <c r="S49" s="383">
        <f>'1ª'!M52</f>
        <v>0</v>
      </c>
      <c r="T49" s="383">
        <f>'1ª'!N52</f>
        <v>0</v>
      </c>
      <c r="U49" s="383">
        <f>'1ª'!O52</f>
        <v>0</v>
      </c>
      <c r="V49" s="383">
        <f>'1ª'!P52</f>
        <v>0</v>
      </c>
      <c r="W49" s="383">
        <f>'1ª'!Q52</f>
        <v>0</v>
      </c>
      <c r="X49" s="383">
        <f>'1ª'!R52</f>
        <v>0</v>
      </c>
      <c r="Y49" s="383">
        <f>'1ª'!S52</f>
        <v>0</v>
      </c>
      <c r="Z49" s="384">
        <f>'1ª'!T52</f>
        <v>0</v>
      </c>
      <c r="AA49" s="384">
        <f>'1ª'!U52</f>
        <v>0</v>
      </c>
      <c r="AB49" s="385" t="s">
        <v>322</v>
      </c>
      <c r="AC49" s="385"/>
      <c r="AD49" s="435" t="s">
        <v>466</v>
      </c>
    </row>
    <row r="50" spans="1:30" ht="15.75" x14ac:dyDescent="0.25">
      <c r="A50" s="416" t="str">
        <f>RIGHT('[1]1ª'!$A$5:$D$5,12)</f>
        <v>1ª SÉRIE E.F</v>
      </c>
      <c r="B50" s="451">
        <v>49</v>
      </c>
      <c r="C50" s="248">
        <f>'1ª'!$B53</f>
        <v>0</v>
      </c>
      <c r="D50" s="362">
        <f>'1ª'!$C53</f>
        <v>0</v>
      </c>
      <c r="E50" s="249">
        <f>'1ª'!$D53</f>
        <v>0</v>
      </c>
      <c r="F50" s="249">
        <f>'1ª'!$E53</f>
        <v>0</v>
      </c>
      <c r="G50" s="250">
        <f>'1ª'!$F53</f>
        <v>0</v>
      </c>
      <c r="H50" s="362">
        <f>'1ª'!$G53</f>
        <v>0</v>
      </c>
      <c r="I50" s="362">
        <f>'1ª'!$H53</f>
        <v>0</v>
      </c>
      <c r="J50" s="362"/>
      <c r="K50" s="362">
        <f>'1ª'!$I53</f>
        <v>0</v>
      </c>
      <c r="L50" s="362">
        <f>'1ª'!$J53</f>
        <v>0</v>
      </c>
      <c r="M50" s="362"/>
      <c r="N50" s="362">
        <f>'1ª'!$K53</f>
        <v>0</v>
      </c>
      <c r="O50" s="362"/>
      <c r="P50" s="473" t="s">
        <v>110</v>
      </c>
      <c r="Q50" s="415" t="s">
        <v>249</v>
      </c>
      <c r="R50" s="383">
        <f>'1ª'!L53</f>
        <v>0</v>
      </c>
      <c r="S50" s="383">
        <f>'1ª'!M53</f>
        <v>0</v>
      </c>
      <c r="T50" s="383">
        <f>'1ª'!N53</f>
        <v>0</v>
      </c>
      <c r="U50" s="383">
        <f>'1ª'!O53</f>
        <v>0</v>
      </c>
      <c r="V50" s="383">
        <f>'1ª'!P53</f>
        <v>0</v>
      </c>
      <c r="W50" s="383">
        <f>'1ª'!Q53</f>
        <v>0</v>
      </c>
      <c r="X50" s="383">
        <f>'1ª'!R53</f>
        <v>0</v>
      </c>
      <c r="Y50" s="383">
        <f>'1ª'!S53</f>
        <v>0</v>
      </c>
      <c r="Z50" s="384">
        <f>'1ª'!T53</f>
        <v>0</v>
      </c>
      <c r="AA50" s="384">
        <f>'1ª'!U53</f>
        <v>0</v>
      </c>
      <c r="AB50" s="385" t="s">
        <v>322</v>
      </c>
      <c r="AC50" s="385"/>
      <c r="AD50" s="435" t="s">
        <v>466</v>
      </c>
    </row>
    <row r="51" spans="1:30" ht="15.75" x14ac:dyDescent="0.25">
      <c r="A51" s="416" t="str">
        <f>RIGHT('[1]1ª'!$A$5:$D$5,12)</f>
        <v>1ª SÉRIE E.F</v>
      </c>
      <c r="B51" s="451">
        <v>50</v>
      </c>
      <c r="C51" s="248">
        <f>'1ª'!$B54</f>
        <v>0</v>
      </c>
      <c r="D51" s="362">
        <f>'1ª'!$C54</f>
        <v>0</v>
      </c>
      <c r="E51" s="249">
        <f>'1ª'!$D54</f>
        <v>0</v>
      </c>
      <c r="F51" s="249">
        <f>'1ª'!$E54</f>
        <v>0</v>
      </c>
      <c r="G51" s="250">
        <f>'1ª'!$F54</f>
        <v>0</v>
      </c>
      <c r="H51" s="362">
        <f>'1ª'!$G54</f>
        <v>0</v>
      </c>
      <c r="I51" s="362">
        <f>'1ª'!$H54</f>
        <v>0</v>
      </c>
      <c r="J51" s="362"/>
      <c r="K51" s="362">
        <f>'1ª'!$I54</f>
        <v>0</v>
      </c>
      <c r="L51" s="362">
        <f>'1ª'!$J54</f>
        <v>0</v>
      </c>
      <c r="M51" s="362"/>
      <c r="N51" s="362">
        <f>'1ª'!$K54</f>
        <v>0</v>
      </c>
      <c r="O51" s="362"/>
      <c r="P51" s="253" t="s">
        <v>110</v>
      </c>
      <c r="Q51" s="435" t="s">
        <v>249</v>
      </c>
      <c r="R51" s="383">
        <f>'1ª'!L54</f>
        <v>0</v>
      </c>
      <c r="S51" s="383">
        <f>'1ª'!M54</f>
        <v>0</v>
      </c>
      <c r="T51" s="383">
        <f>'1ª'!N54</f>
        <v>0</v>
      </c>
      <c r="U51" s="383">
        <f>'1ª'!O54</f>
        <v>0</v>
      </c>
      <c r="V51" s="383">
        <f>'1ª'!P54</f>
        <v>0</v>
      </c>
      <c r="W51" s="383">
        <f>'1ª'!Q54</f>
        <v>0</v>
      </c>
      <c r="X51" s="383">
        <f>'1ª'!R54</f>
        <v>0</v>
      </c>
      <c r="Y51" s="383">
        <f>'1ª'!S54</f>
        <v>0</v>
      </c>
      <c r="Z51" s="384">
        <f>'1ª'!T54</f>
        <v>0</v>
      </c>
      <c r="AA51" s="384">
        <f>'1ª'!U54</f>
        <v>0</v>
      </c>
      <c r="AB51" s="385" t="s">
        <v>322</v>
      </c>
      <c r="AC51" s="385"/>
      <c r="AD51" s="435" t="s">
        <v>466</v>
      </c>
    </row>
    <row r="52" spans="1:30" ht="15.75" x14ac:dyDescent="0.25">
      <c r="A52" s="416" t="str">
        <f>RIGHT('[1]1ª'!$A$5:$D$5,12)</f>
        <v>1ª SÉRIE E.F</v>
      </c>
      <c r="B52" s="451">
        <v>51</v>
      </c>
      <c r="C52" s="248">
        <f>'1ª'!$B55</f>
        <v>0</v>
      </c>
      <c r="D52" s="362">
        <f>'1ª'!$C55</f>
        <v>0</v>
      </c>
      <c r="E52" s="249">
        <f>'1ª'!$D55</f>
        <v>0</v>
      </c>
      <c r="F52" s="249">
        <f>'1ª'!$E55</f>
        <v>0</v>
      </c>
      <c r="G52" s="250">
        <f>'1ª'!$F55</f>
        <v>0</v>
      </c>
      <c r="H52" s="362">
        <f>'1ª'!$G55</f>
        <v>0</v>
      </c>
      <c r="I52" s="362">
        <f>'1ª'!$H55</f>
        <v>0</v>
      </c>
      <c r="J52" s="362"/>
      <c r="K52" s="362">
        <f>'1ª'!$I55</f>
        <v>0</v>
      </c>
      <c r="L52" s="362">
        <f>'1ª'!$J55</f>
        <v>0</v>
      </c>
      <c r="M52" s="362"/>
      <c r="N52" s="362">
        <f>'1ª'!$K55</f>
        <v>0</v>
      </c>
      <c r="O52" s="362"/>
      <c r="P52" s="473" t="s">
        <v>110</v>
      </c>
      <c r="Q52" s="415" t="s">
        <v>249</v>
      </c>
      <c r="R52" s="383">
        <f>'1ª'!L55</f>
        <v>0</v>
      </c>
      <c r="S52" s="383">
        <f>'1ª'!M55</f>
        <v>0</v>
      </c>
      <c r="T52" s="383">
        <f>'1ª'!N55</f>
        <v>0</v>
      </c>
      <c r="U52" s="383">
        <f>'1ª'!O55</f>
        <v>0</v>
      </c>
      <c r="V52" s="383">
        <f>'1ª'!P55</f>
        <v>0</v>
      </c>
      <c r="W52" s="383">
        <f>'1ª'!Q55</f>
        <v>0</v>
      </c>
      <c r="X52" s="383">
        <f>'1ª'!R55</f>
        <v>0</v>
      </c>
      <c r="Y52" s="383">
        <f>'1ª'!S55</f>
        <v>0</v>
      </c>
      <c r="Z52" s="384">
        <f>'1ª'!T55</f>
        <v>0</v>
      </c>
      <c r="AA52" s="384">
        <f>'1ª'!U55</f>
        <v>0</v>
      </c>
      <c r="AB52" s="385" t="s">
        <v>322</v>
      </c>
      <c r="AC52" s="385"/>
      <c r="AD52" s="435" t="s">
        <v>466</v>
      </c>
    </row>
    <row r="53" spans="1:30" ht="15.75" x14ac:dyDescent="0.25">
      <c r="A53" s="416" t="str">
        <f>RIGHT('[1]1ª'!$A$5:$D$5,12)</f>
        <v>1ª SÉRIE E.F</v>
      </c>
      <c r="B53" s="451">
        <v>52</v>
      </c>
      <c r="C53" s="248">
        <f>'1ª'!$B56</f>
        <v>0</v>
      </c>
      <c r="D53" s="362">
        <f>'1ª'!$C56</f>
        <v>0</v>
      </c>
      <c r="E53" s="249">
        <f>'1ª'!$D56</f>
        <v>0</v>
      </c>
      <c r="F53" s="249">
        <f>'1ª'!$E56</f>
        <v>0</v>
      </c>
      <c r="G53" s="250">
        <f>'1ª'!$F56</f>
        <v>0</v>
      </c>
      <c r="H53" s="362">
        <f>'1ª'!$G56</f>
        <v>0</v>
      </c>
      <c r="I53" s="362">
        <f>'1ª'!$H56</f>
        <v>0</v>
      </c>
      <c r="J53" s="362"/>
      <c r="K53" s="362">
        <f>'1ª'!$I56</f>
        <v>0</v>
      </c>
      <c r="L53" s="362">
        <f>'1ª'!$J56</f>
        <v>0</v>
      </c>
      <c r="M53" s="362"/>
      <c r="N53" s="362">
        <f>'1ª'!$K56</f>
        <v>0</v>
      </c>
      <c r="O53" s="362"/>
      <c r="P53" s="253" t="s">
        <v>110</v>
      </c>
      <c r="Q53" s="435" t="s">
        <v>249</v>
      </c>
      <c r="R53" s="383">
        <f>'1ª'!L56</f>
        <v>0</v>
      </c>
      <c r="S53" s="383">
        <f>'1ª'!M56</f>
        <v>0</v>
      </c>
      <c r="T53" s="383">
        <f>'1ª'!N56</f>
        <v>0</v>
      </c>
      <c r="U53" s="383">
        <f>'1ª'!O56</f>
        <v>0</v>
      </c>
      <c r="V53" s="383">
        <f>'1ª'!P56</f>
        <v>0</v>
      </c>
      <c r="W53" s="383">
        <f>'1ª'!Q56</f>
        <v>0</v>
      </c>
      <c r="X53" s="383">
        <f>'1ª'!R56</f>
        <v>0</v>
      </c>
      <c r="Y53" s="383">
        <f>'1ª'!S56</f>
        <v>0</v>
      </c>
      <c r="Z53" s="384">
        <f>'1ª'!T56</f>
        <v>0</v>
      </c>
      <c r="AA53" s="384">
        <f>'1ª'!U56</f>
        <v>0</v>
      </c>
      <c r="AB53" s="385" t="s">
        <v>322</v>
      </c>
      <c r="AC53" s="385"/>
      <c r="AD53" s="435" t="s">
        <v>466</v>
      </c>
    </row>
    <row r="54" spans="1:30" ht="15.75" x14ac:dyDescent="0.25">
      <c r="A54" s="416" t="str">
        <f>RIGHT('[1]1ª'!$A$5:$D$5,12)</f>
        <v>1ª SÉRIE E.F</v>
      </c>
      <c r="B54" s="451">
        <v>53</v>
      </c>
      <c r="C54" s="248">
        <f>'1ª'!$B57</f>
        <v>0</v>
      </c>
      <c r="D54" s="362">
        <f>'1ª'!$C57</f>
        <v>0</v>
      </c>
      <c r="E54" s="249">
        <f>'1ª'!$D57</f>
        <v>0</v>
      </c>
      <c r="F54" s="249">
        <f>'1ª'!$E57</f>
        <v>0</v>
      </c>
      <c r="G54" s="250">
        <f>'1ª'!$F57</f>
        <v>0</v>
      </c>
      <c r="H54" s="362">
        <f>'1ª'!$G57</f>
        <v>0</v>
      </c>
      <c r="I54" s="362">
        <f>'1ª'!$H57</f>
        <v>0</v>
      </c>
      <c r="J54" s="362"/>
      <c r="K54" s="362">
        <f>'1ª'!$I57</f>
        <v>0</v>
      </c>
      <c r="L54" s="362">
        <f>'1ª'!$J57</f>
        <v>0</v>
      </c>
      <c r="M54" s="362"/>
      <c r="N54" s="362">
        <f>'1ª'!$K57</f>
        <v>0</v>
      </c>
      <c r="O54" s="362"/>
      <c r="P54" s="473" t="s">
        <v>110</v>
      </c>
      <c r="Q54" s="415" t="s">
        <v>249</v>
      </c>
      <c r="R54" s="383">
        <f>'1ª'!L57</f>
        <v>0</v>
      </c>
      <c r="S54" s="383">
        <f>'1ª'!M57</f>
        <v>0</v>
      </c>
      <c r="T54" s="383">
        <f>'1ª'!N57</f>
        <v>0</v>
      </c>
      <c r="U54" s="383">
        <f>'1ª'!O57</f>
        <v>0</v>
      </c>
      <c r="V54" s="383">
        <f>'1ª'!P57</f>
        <v>0</v>
      </c>
      <c r="W54" s="383">
        <f>'1ª'!Q57</f>
        <v>0</v>
      </c>
      <c r="X54" s="383">
        <f>'1ª'!R57</f>
        <v>0</v>
      </c>
      <c r="Y54" s="383">
        <f>'1ª'!S57</f>
        <v>0</v>
      </c>
      <c r="Z54" s="384">
        <f>'1ª'!T57</f>
        <v>0</v>
      </c>
      <c r="AA54" s="384">
        <f>'1ª'!U57</f>
        <v>0</v>
      </c>
      <c r="AB54" s="385" t="s">
        <v>322</v>
      </c>
      <c r="AC54" s="385"/>
      <c r="AD54" s="435" t="s">
        <v>466</v>
      </c>
    </row>
    <row r="55" spans="1:30" ht="15.75" x14ac:dyDescent="0.25">
      <c r="A55" s="416" t="str">
        <f>RIGHT('[1]1ª'!$A$5:$D$5,12)</f>
        <v>1ª SÉRIE E.F</v>
      </c>
      <c r="B55" s="451">
        <v>54</v>
      </c>
      <c r="C55" s="248">
        <f>'1ª'!$B58</f>
        <v>0</v>
      </c>
      <c r="D55" s="362">
        <f>'1ª'!$C58</f>
        <v>0</v>
      </c>
      <c r="E55" s="249">
        <f>'1ª'!$D58</f>
        <v>0</v>
      </c>
      <c r="F55" s="249">
        <f>'1ª'!$E58</f>
        <v>0</v>
      </c>
      <c r="G55" s="250">
        <f>'1ª'!$F58</f>
        <v>0</v>
      </c>
      <c r="H55" s="362">
        <f>'1ª'!$G58</f>
        <v>0</v>
      </c>
      <c r="I55" s="362">
        <f>'1ª'!$H58</f>
        <v>0</v>
      </c>
      <c r="J55" s="362"/>
      <c r="K55" s="362">
        <f>'1ª'!$I58</f>
        <v>0</v>
      </c>
      <c r="L55" s="362">
        <f>'1ª'!$J58</f>
        <v>0</v>
      </c>
      <c r="M55" s="362"/>
      <c r="N55" s="362">
        <f>'1ª'!$K58</f>
        <v>0</v>
      </c>
      <c r="O55" s="362"/>
      <c r="P55" s="253" t="s">
        <v>110</v>
      </c>
      <c r="Q55" s="435" t="s">
        <v>249</v>
      </c>
      <c r="R55" s="383">
        <f>'1ª'!L58</f>
        <v>0</v>
      </c>
      <c r="S55" s="383">
        <f>'1ª'!M58</f>
        <v>0</v>
      </c>
      <c r="T55" s="383">
        <f>'1ª'!N58</f>
        <v>0</v>
      </c>
      <c r="U55" s="383">
        <f>'1ª'!O58</f>
        <v>0</v>
      </c>
      <c r="V55" s="383">
        <f>'1ª'!P58</f>
        <v>0</v>
      </c>
      <c r="W55" s="383">
        <f>'1ª'!Q58</f>
        <v>0</v>
      </c>
      <c r="X55" s="383">
        <f>'1ª'!R58</f>
        <v>0</v>
      </c>
      <c r="Y55" s="383">
        <f>'1ª'!S58</f>
        <v>0</v>
      </c>
      <c r="Z55" s="384">
        <f>'1ª'!T58</f>
        <v>0</v>
      </c>
      <c r="AA55" s="384">
        <f>'1ª'!U58</f>
        <v>0</v>
      </c>
      <c r="AB55" s="385" t="s">
        <v>322</v>
      </c>
      <c r="AC55" s="385"/>
      <c r="AD55" s="435" t="s">
        <v>466</v>
      </c>
    </row>
    <row r="56" spans="1:30" ht="15.75" x14ac:dyDescent="0.25">
      <c r="A56" s="416" t="str">
        <f>RIGHT('[1]1ª'!$A$5:$D$5,12)</f>
        <v>1ª SÉRIE E.F</v>
      </c>
      <c r="B56" s="451">
        <v>55</v>
      </c>
      <c r="C56" s="248">
        <f>'1ª'!$B59</f>
        <v>0</v>
      </c>
      <c r="D56" s="362">
        <f>'1ª'!$C59</f>
        <v>0</v>
      </c>
      <c r="E56" s="249">
        <f>'1ª'!$D59</f>
        <v>0</v>
      </c>
      <c r="F56" s="249">
        <f>'1ª'!$E59</f>
        <v>0</v>
      </c>
      <c r="G56" s="250">
        <f>'1ª'!$F59</f>
        <v>0</v>
      </c>
      <c r="H56" s="362">
        <f>'1ª'!$G59</f>
        <v>0</v>
      </c>
      <c r="I56" s="362">
        <f>'1ª'!$H59</f>
        <v>0</v>
      </c>
      <c r="J56" s="362"/>
      <c r="K56" s="362">
        <f>'1ª'!$I59</f>
        <v>0</v>
      </c>
      <c r="L56" s="362">
        <f>'1ª'!$J59</f>
        <v>0</v>
      </c>
      <c r="M56" s="362"/>
      <c r="N56" s="362">
        <f>'1ª'!$K59</f>
        <v>0</v>
      </c>
      <c r="O56" s="362"/>
      <c r="P56" s="473" t="s">
        <v>110</v>
      </c>
      <c r="Q56" s="415" t="s">
        <v>249</v>
      </c>
      <c r="R56" s="383">
        <f>'1ª'!L59</f>
        <v>0</v>
      </c>
      <c r="S56" s="383">
        <f>'1ª'!M59</f>
        <v>0</v>
      </c>
      <c r="T56" s="383">
        <f>'1ª'!N59</f>
        <v>0</v>
      </c>
      <c r="U56" s="383">
        <f>'1ª'!O59</f>
        <v>0</v>
      </c>
      <c r="V56" s="383">
        <f>'1ª'!P59</f>
        <v>0</v>
      </c>
      <c r="W56" s="383">
        <f>'1ª'!Q59</f>
        <v>0</v>
      </c>
      <c r="X56" s="383">
        <f>'1ª'!R59</f>
        <v>0</v>
      </c>
      <c r="Y56" s="383">
        <f>'1ª'!S59</f>
        <v>0</v>
      </c>
      <c r="Z56" s="384">
        <f>'1ª'!T59</f>
        <v>0</v>
      </c>
      <c r="AA56" s="384">
        <f>'1ª'!U59</f>
        <v>0</v>
      </c>
      <c r="AB56" s="385" t="s">
        <v>322</v>
      </c>
      <c r="AC56" s="385"/>
      <c r="AD56" s="435" t="s">
        <v>466</v>
      </c>
    </row>
    <row r="57" spans="1:30" s="446" customFormat="1" ht="15.75" x14ac:dyDescent="0.25">
      <c r="A57" s="387" t="str">
        <f>RIGHT('[1]2ª'!$A$5:$D$5,12)</f>
        <v>2ª SÉRIE E.F</v>
      </c>
      <c r="B57" s="388">
        <v>1</v>
      </c>
      <c r="C57" s="389">
        <f>'2ª'!$B7</f>
        <v>13512</v>
      </c>
      <c r="D57" s="390" t="str">
        <f>'2ª'!$C7</f>
        <v>ADMILSON FRANCISCO DE SANTANA</v>
      </c>
      <c r="E57" s="391" t="str">
        <f>'2ª'!$D7</f>
        <v>M</v>
      </c>
      <c r="F57" s="391" t="str">
        <f>'2ª'!$E7</f>
        <v>MA</v>
      </c>
      <c r="G57" s="392">
        <f>'2ª'!$F7</f>
        <v>31434</v>
      </c>
      <c r="H57" s="390" t="str">
        <f>'2ª'!$G7</f>
        <v>113917115-X</v>
      </c>
      <c r="I57" s="390" t="str">
        <f>'2ª'!$H7</f>
        <v>56170354-1</v>
      </c>
      <c r="J57" s="390"/>
      <c r="K57" s="390">
        <f>'2ª'!$I7</f>
        <v>0</v>
      </c>
      <c r="L57" s="390" t="str">
        <f ca="1">'2ª'!$J7</f>
        <v>DISP.IDADE</v>
      </c>
      <c r="M57" s="390"/>
      <c r="N57" s="390">
        <f ca="1">'2ª'!$K7</f>
        <v>39</v>
      </c>
      <c r="O57" s="390"/>
      <c r="P57" s="395" t="s">
        <v>110</v>
      </c>
      <c r="Q57" s="396" t="s">
        <v>249</v>
      </c>
      <c r="R57" s="397" t="str">
        <f>'2ª'!L7</f>
        <v>Não</v>
      </c>
      <c r="S57" s="397" t="str">
        <f>'2ª'!M7</f>
        <v>Eliane</v>
      </c>
      <c r="T57" s="397" t="str">
        <f>'2ª'!N7</f>
        <v>-</v>
      </c>
      <c r="U57" s="397" t="str">
        <f>'2ª'!O7</f>
        <v>-</v>
      </c>
      <c r="V57" s="397" t="str">
        <f>'2ª'!P7</f>
        <v>-</v>
      </c>
      <c r="W57" s="397" t="str">
        <f>'2ª'!Q7</f>
        <v>-</v>
      </c>
      <c r="X57" s="397" t="str">
        <f>'2ª'!R7</f>
        <v>-</v>
      </c>
      <c r="Y57" s="397" t="str">
        <f>'2ª'!S7</f>
        <v>-</v>
      </c>
      <c r="Z57" s="398">
        <f>'2ª'!T7</f>
        <v>0</v>
      </c>
      <c r="AA57" s="398">
        <f>'2ª'!U7</f>
        <v>0</v>
      </c>
      <c r="AB57" s="399" t="s">
        <v>321</v>
      </c>
      <c r="AC57" s="399"/>
      <c r="AD57" s="435" t="s">
        <v>466</v>
      </c>
    </row>
    <row r="58" spans="1:30" ht="15.75" x14ac:dyDescent="0.25">
      <c r="A58" s="416" t="str">
        <f>RIGHT('[1]2ª'!$A$5:$D$5,12)</f>
        <v>2ª SÉRIE E.F</v>
      </c>
      <c r="B58" s="451">
        <v>2</v>
      </c>
      <c r="C58" s="248" t="e">
        <f>'2ª'!#REF!</f>
        <v>#REF!</v>
      </c>
      <c r="D58" s="362" t="e">
        <f>'2ª'!#REF!</f>
        <v>#REF!</v>
      </c>
      <c r="E58" s="249" t="e">
        <f>'2ª'!#REF!</f>
        <v>#REF!</v>
      </c>
      <c r="F58" s="249" t="e">
        <f>'2ª'!#REF!</f>
        <v>#REF!</v>
      </c>
      <c r="G58" s="250" t="e">
        <f>'2ª'!#REF!</f>
        <v>#REF!</v>
      </c>
      <c r="H58" s="362" t="e">
        <f>'2ª'!#REF!</f>
        <v>#REF!</v>
      </c>
      <c r="I58" s="362" t="e">
        <f>'2ª'!#REF!</f>
        <v>#REF!</v>
      </c>
      <c r="J58" s="362"/>
      <c r="K58" s="362" t="e">
        <f>'2ª'!#REF!</f>
        <v>#REF!</v>
      </c>
      <c r="L58" s="362" t="e">
        <f>'2ª'!#REF!</f>
        <v>#REF!</v>
      </c>
      <c r="M58" s="362"/>
      <c r="N58" s="362" t="e">
        <f>'2ª'!#REF!</f>
        <v>#REF!</v>
      </c>
      <c r="O58" s="362"/>
      <c r="P58" s="253" t="s">
        <v>110</v>
      </c>
      <c r="Q58" s="415" t="s">
        <v>249</v>
      </c>
      <c r="R58" s="383" t="e">
        <f>'2ª'!#REF!</f>
        <v>#REF!</v>
      </c>
      <c r="S58" s="383" t="e">
        <f>'2ª'!#REF!</f>
        <v>#REF!</v>
      </c>
      <c r="T58" s="383" t="e">
        <f>'2ª'!#REF!</f>
        <v>#REF!</v>
      </c>
      <c r="U58" s="383" t="e">
        <f>'2ª'!#REF!</f>
        <v>#REF!</v>
      </c>
      <c r="V58" s="383" t="e">
        <f>'2ª'!#REF!</f>
        <v>#REF!</v>
      </c>
      <c r="W58" s="383" t="e">
        <f>'2ª'!#REF!</f>
        <v>#REF!</v>
      </c>
      <c r="X58" s="383" t="e">
        <f>'2ª'!#REF!</f>
        <v>#REF!</v>
      </c>
      <c r="Y58" s="383" t="e">
        <f>'2ª'!#REF!</f>
        <v>#REF!</v>
      </c>
      <c r="Z58" s="384" t="e">
        <f>'2ª'!#REF!</f>
        <v>#REF!</v>
      </c>
      <c r="AA58" s="384" t="e">
        <f>'2ª'!#REF!</f>
        <v>#REF!</v>
      </c>
      <c r="AB58" s="385" t="s">
        <v>321</v>
      </c>
      <c r="AC58" s="385"/>
      <c r="AD58" s="435" t="s">
        <v>466</v>
      </c>
    </row>
    <row r="59" spans="1:30" ht="15.75" x14ac:dyDescent="0.25">
      <c r="A59" s="416" t="str">
        <f>RIGHT('[1]2ª'!$A$5:$D$5,12)</f>
        <v>2ª SÉRIE E.F</v>
      </c>
      <c r="B59" s="451">
        <v>3</v>
      </c>
      <c r="C59" s="248">
        <f>'2ª'!$B8</f>
        <v>18908</v>
      </c>
      <c r="D59" s="362" t="str">
        <f>'2ª'!$C8</f>
        <v>ELIANE IRENE DA SILVA SANTOS</v>
      </c>
      <c r="E59" s="249" t="str">
        <f>'2ª'!$D8</f>
        <v>F</v>
      </c>
      <c r="F59" s="249" t="str">
        <f>'2ª'!$E8</f>
        <v>MA</v>
      </c>
      <c r="G59" s="250">
        <f>'2ª'!$F8</f>
        <v>26448</v>
      </c>
      <c r="H59" s="362">
        <f>'2ª'!$G8</f>
        <v>0</v>
      </c>
      <c r="I59" s="362">
        <f>'2ª'!$H8</f>
        <v>0</v>
      </c>
      <c r="J59" s="362"/>
      <c r="K59" s="362">
        <f>'2ª'!$I8</f>
        <v>0</v>
      </c>
      <c r="L59" s="362" t="str">
        <f ca="1">'2ª'!$J8</f>
        <v>DISP.IDADE</v>
      </c>
      <c r="M59" s="362"/>
      <c r="N59" s="362">
        <f ca="1">'2ª'!$K8</f>
        <v>53</v>
      </c>
      <c r="O59" s="362"/>
      <c r="P59" s="253" t="s">
        <v>110</v>
      </c>
      <c r="Q59" s="415" t="s">
        <v>249</v>
      </c>
      <c r="R59" s="383" t="str">
        <f>'2ª'!L8</f>
        <v>Não</v>
      </c>
      <c r="S59" s="383" t="str">
        <f>'2ª'!M8</f>
        <v>Eliane</v>
      </c>
      <c r="T59" s="383" t="str">
        <f>'2ª'!N8</f>
        <v>-</v>
      </c>
      <c r="U59" s="383" t="str">
        <f>'2ª'!O8</f>
        <v>-</v>
      </c>
      <c r="V59" s="383" t="str">
        <f>'2ª'!P8</f>
        <v>-</v>
      </c>
      <c r="W59" s="383" t="str">
        <f>'2ª'!Q8</f>
        <v>-</v>
      </c>
      <c r="X59" s="383" t="str">
        <f>'2ª'!R8</f>
        <v>-</v>
      </c>
      <c r="Y59" s="383" t="str">
        <f>'2ª'!S8</f>
        <v>-</v>
      </c>
      <c r="Z59" s="384">
        <f>'2ª'!T8</f>
        <v>0</v>
      </c>
      <c r="AA59" s="384">
        <f>'2ª'!U8</f>
        <v>0</v>
      </c>
      <c r="AB59" s="385" t="s">
        <v>321</v>
      </c>
      <c r="AC59" s="385"/>
      <c r="AD59" s="435" t="s">
        <v>466</v>
      </c>
    </row>
    <row r="60" spans="1:30" ht="15.75" x14ac:dyDescent="0.25">
      <c r="A60" s="416" t="str">
        <f>RIGHT('[1]2ª'!$A$5:$D$5,12)</f>
        <v>2ª SÉRIE E.F</v>
      </c>
      <c r="B60" s="451">
        <v>4</v>
      </c>
      <c r="C60" s="248">
        <f>'2ª'!$B9</f>
        <v>18911</v>
      </c>
      <c r="D60" s="362" t="str">
        <f>'2ª'!$C9</f>
        <v>RITA DOS SANTOS CORREIA</v>
      </c>
      <c r="E60" s="249" t="str">
        <f>'2ª'!$D9</f>
        <v>F</v>
      </c>
      <c r="F60" s="249" t="str">
        <f>'2ª'!$E9</f>
        <v>MA</v>
      </c>
      <c r="G60" s="250">
        <f>'2ª'!$F9</f>
        <v>16697</v>
      </c>
      <c r="H60" s="362" t="str">
        <f>'2ª'!$G9</f>
        <v>32468373-X</v>
      </c>
      <c r="I60" s="362">
        <f>'2ª'!$H9</f>
        <v>0</v>
      </c>
      <c r="J60" s="362"/>
      <c r="K60" s="362">
        <f>'2ª'!$I9</f>
        <v>0</v>
      </c>
      <c r="L60" s="362" t="str">
        <f ca="1">'2ª'!$J9</f>
        <v>DISP.IDADE</v>
      </c>
      <c r="M60" s="362"/>
      <c r="N60" s="362">
        <f ca="1">'2ª'!$K9</f>
        <v>80</v>
      </c>
      <c r="O60" s="362"/>
      <c r="P60" s="253" t="s">
        <v>110</v>
      </c>
      <c r="Q60" s="415" t="s">
        <v>249</v>
      </c>
      <c r="R60" s="383" t="str">
        <f>'2ª'!L9</f>
        <v>Não</v>
      </c>
      <c r="S60" s="383" t="str">
        <f>'2ª'!M9</f>
        <v>Eliane</v>
      </c>
      <c r="T60" s="383" t="str">
        <f>'2ª'!N9</f>
        <v>-</v>
      </c>
      <c r="U60" s="383" t="str">
        <f>'2ª'!O9</f>
        <v>-</v>
      </c>
      <c r="V60" s="383" t="str">
        <f>'2ª'!P9</f>
        <v>-</v>
      </c>
      <c r="W60" s="383" t="str">
        <f>'2ª'!Q9</f>
        <v>-</v>
      </c>
      <c r="X60" s="383" t="str">
        <f>'2ª'!R9</f>
        <v>-</v>
      </c>
      <c r="Y60" s="383" t="str">
        <f>'2ª'!S9</f>
        <v>-</v>
      </c>
      <c r="Z60" s="384">
        <f>'2ª'!T9</f>
        <v>0</v>
      </c>
      <c r="AA60" s="384">
        <f>'2ª'!U9</f>
        <v>0</v>
      </c>
      <c r="AB60" s="385" t="s">
        <v>321</v>
      </c>
      <c r="AC60" s="385"/>
      <c r="AD60" s="435" t="s">
        <v>466</v>
      </c>
    </row>
    <row r="61" spans="1:30" ht="15.75" x14ac:dyDescent="0.25">
      <c r="A61" s="416" t="str">
        <f>RIGHT('[1]2ª'!$A$5:$D$5,12)</f>
        <v>2ª SÉRIE E.F</v>
      </c>
      <c r="B61" s="451">
        <v>5</v>
      </c>
      <c r="C61" s="248">
        <f>'2ª'!$B10</f>
        <v>18970</v>
      </c>
      <c r="D61" s="362" t="str">
        <f>'2ª'!$C10</f>
        <v>MARIA CLEUSA DOS SANTOS</v>
      </c>
      <c r="E61" s="249" t="str">
        <f>'2ª'!$D10</f>
        <v>F</v>
      </c>
      <c r="F61" s="249" t="str">
        <f>'2ª'!$E10</f>
        <v>MA</v>
      </c>
      <c r="G61" s="250">
        <f>'2ª'!$F10</f>
        <v>25393</v>
      </c>
      <c r="H61" s="362">
        <f>'2ª'!$G10</f>
        <v>0</v>
      </c>
      <c r="I61" s="362" t="str">
        <f>'2ª'!$H10</f>
        <v>25427262-9</v>
      </c>
      <c r="J61" s="362"/>
      <c r="K61" s="362">
        <f>'2ª'!$I10</f>
        <v>0</v>
      </c>
      <c r="L61" s="362" t="str">
        <f ca="1">'2ª'!$J10</f>
        <v>DISP.IDADE</v>
      </c>
      <c r="M61" s="362"/>
      <c r="N61" s="362">
        <f ca="1">'2ª'!$K10</f>
        <v>56</v>
      </c>
      <c r="O61" s="362"/>
      <c r="P61" s="253" t="s">
        <v>110</v>
      </c>
      <c r="Q61" s="415" t="s">
        <v>249</v>
      </c>
      <c r="R61" s="383" t="str">
        <f>'2ª'!L10</f>
        <v>Não</v>
      </c>
      <c r="S61" s="383" t="str">
        <f>'2ª'!M10</f>
        <v>Eliane</v>
      </c>
      <c r="T61" s="383" t="str">
        <f>'2ª'!N10</f>
        <v>-</v>
      </c>
      <c r="U61" s="383" t="str">
        <f>'2ª'!O10</f>
        <v>-</v>
      </c>
      <c r="V61" s="383" t="str">
        <f>'2ª'!P10</f>
        <v>-</v>
      </c>
      <c r="W61" s="383" t="str">
        <f>'2ª'!Q10</f>
        <v>-</v>
      </c>
      <c r="X61" s="383" t="str">
        <f>'2ª'!R10</f>
        <v>-</v>
      </c>
      <c r="Y61" s="383" t="str">
        <f>'2ª'!S10</f>
        <v>-</v>
      </c>
      <c r="Z61" s="384">
        <f>'2ª'!T10</f>
        <v>0</v>
      </c>
      <c r="AA61" s="384">
        <f>'2ª'!U10</f>
        <v>0</v>
      </c>
      <c r="AB61" s="385" t="s">
        <v>321</v>
      </c>
      <c r="AC61" s="385"/>
      <c r="AD61" s="435" t="s">
        <v>466</v>
      </c>
    </row>
    <row r="62" spans="1:30" ht="15.75" x14ac:dyDescent="0.25">
      <c r="A62" s="416" t="str">
        <f>RIGHT('[1]2ª'!$A$5:$D$5,12)</f>
        <v>2ª SÉRIE E.F</v>
      </c>
      <c r="B62" s="451">
        <v>6</v>
      </c>
      <c r="C62" s="248">
        <f>'2ª'!$B11</f>
        <v>0</v>
      </c>
      <c r="D62" s="362">
        <f>'2ª'!$C11</f>
        <v>0</v>
      </c>
      <c r="E62" s="249">
        <f>'2ª'!$D11</f>
        <v>0</v>
      </c>
      <c r="F62" s="249" t="str">
        <f>'2ª'!$E11</f>
        <v/>
      </c>
      <c r="G62" s="250">
        <f>'2ª'!$F11</f>
        <v>0</v>
      </c>
      <c r="H62" s="362">
        <f>'2ª'!$G11</f>
        <v>0</v>
      </c>
      <c r="I62" s="362">
        <f>'2ª'!$H11</f>
        <v>0</v>
      </c>
      <c r="J62" s="362"/>
      <c r="K62" s="362">
        <f>'2ª'!$I11</f>
        <v>0</v>
      </c>
      <c r="L62" s="362" t="str">
        <f ca="1">'2ª'!$J11</f>
        <v/>
      </c>
      <c r="M62" s="362"/>
      <c r="N62" s="362" t="str">
        <f ca="1">'2ª'!$K11</f>
        <v/>
      </c>
      <c r="O62" s="362"/>
      <c r="P62" s="253" t="s">
        <v>110</v>
      </c>
      <c r="Q62" s="415" t="s">
        <v>249</v>
      </c>
      <c r="R62" s="383" t="str">
        <f>'2ª'!L11</f>
        <v>Não</v>
      </c>
      <c r="S62" s="383" t="str">
        <f>'2ª'!M11</f>
        <v>Eliane</v>
      </c>
      <c r="T62" s="383" t="str">
        <f>'2ª'!N11</f>
        <v>-</v>
      </c>
      <c r="U62" s="383" t="str">
        <f>'2ª'!O11</f>
        <v>-</v>
      </c>
      <c r="V62" s="383" t="str">
        <f>'2ª'!P11</f>
        <v>-</v>
      </c>
      <c r="W62" s="383" t="str">
        <f>'2ª'!Q11</f>
        <v>-</v>
      </c>
      <c r="X62" s="383" t="str">
        <f>'2ª'!R11</f>
        <v>-</v>
      </c>
      <c r="Y62" s="383" t="str">
        <f>'2ª'!S11</f>
        <v>-</v>
      </c>
      <c r="Z62" s="384">
        <f>'2ª'!T11</f>
        <v>0</v>
      </c>
      <c r="AA62" s="384">
        <f>'2ª'!U11</f>
        <v>0</v>
      </c>
      <c r="AB62" s="385" t="s">
        <v>321</v>
      </c>
      <c r="AC62" s="385"/>
      <c r="AD62" s="435" t="s">
        <v>466</v>
      </c>
    </row>
    <row r="63" spans="1:30" ht="15.75" x14ac:dyDescent="0.25">
      <c r="A63" s="416" t="str">
        <f>RIGHT('[1]2ª'!$A$5:$D$5,12)</f>
        <v>2ª SÉRIE E.F</v>
      </c>
      <c r="B63" s="451">
        <v>7</v>
      </c>
      <c r="C63" s="248">
        <f>'2ª'!$B12</f>
        <v>0</v>
      </c>
      <c r="D63" s="362">
        <f>'2ª'!$C12</f>
        <v>0</v>
      </c>
      <c r="E63" s="249">
        <f>'2ª'!$D12</f>
        <v>0</v>
      </c>
      <c r="F63" s="249" t="str">
        <f>'2ª'!$E12</f>
        <v/>
      </c>
      <c r="G63" s="250">
        <f>'2ª'!$F12</f>
        <v>0</v>
      </c>
      <c r="H63" s="362">
        <f>'2ª'!$G12</f>
        <v>0</v>
      </c>
      <c r="I63" s="362">
        <f>'2ª'!$H12</f>
        <v>0</v>
      </c>
      <c r="J63" s="362"/>
      <c r="K63" s="362">
        <f>'2ª'!$I12</f>
        <v>0</v>
      </c>
      <c r="L63" s="362" t="str">
        <f ca="1">'2ª'!$J12</f>
        <v/>
      </c>
      <c r="M63" s="362"/>
      <c r="N63" s="362" t="str">
        <f ca="1">'2ª'!$K12</f>
        <v/>
      </c>
      <c r="O63" s="362"/>
      <c r="P63" s="253" t="s">
        <v>110</v>
      </c>
      <c r="Q63" s="415" t="s">
        <v>249</v>
      </c>
      <c r="R63" s="383" t="str">
        <f>'2ª'!L12</f>
        <v>Não</v>
      </c>
      <c r="S63" s="383" t="str">
        <f>'2ª'!M12</f>
        <v>Eliane</v>
      </c>
      <c r="T63" s="383" t="str">
        <f>'2ª'!N12</f>
        <v>-</v>
      </c>
      <c r="U63" s="383" t="str">
        <f>'2ª'!O12</f>
        <v>-</v>
      </c>
      <c r="V63" s="383" t="str">
        <f>'2ª'!P12</f>
        <v>-</v>
      </c>
      <c r="W63" s="383" t="str">
        <f>'2ª'!Q12</f>
        <v>-</v>
      </c>
      <c r="X63" s="383" t="str">
        <f>'2ª'!R12</f>
        <v>-</v>
      </c>
      <c r="Y63" s="383" t="str">
        <f>'2ª'!S12</f>
        <v>-</v>
      </c>
      <c r="Z63" s="384">
        <f>'2ª'!T12</f>
        <v>0</v>
      </c>
      <c r="AA63" s="384">
        <f>'2ª'!U12</f>
        <v>0</v>
      </c>
      <c r="AB63" s="385" t="s">
        <v>321</v>
      </c>
      <c r="AC63" s="385"/>
      <c r="AD63" s="435" t="s">
        <v>466</v>
      </c>
    </row>
    <row r="64" spans="1:30" ht="15.75" x14ac:dyDescent="0.25">
      <c r="A64" s="416" t="str">
        <f>RIGHT('[1]2ª'!$A$5:$D$5,12)</f>
        <v>2ª SÉRIE E.F</v>
      </c>
      <c r="B64" s="451">
        <v>8</v>
      </c>
      <c r="C64" s="248">
        <f>'2ª'!$B13</f>
        <v>0</v>
      </c>
      <c r="D64" s="362">
        <f>'2ª'!$C13</f>
        <v>0</v>
      </c>
      <c r="E64" s="249">
        <f>'2ª'!$D13</f>
        <v>0</v>
      </c>
      <c r="F64" s="249" t="str">
        <f>'2ª'!$E13</f>
        <v/>
      </c>
      <c r="G64" s="250">
        <f>'2ª'!$F13</f>
        <v>0</v>
      </c>
      <c r="H64" s="362">
        <f>'2ª'!$G13</f>
        <v>0</v>
      </c>
      <c r="I64" s="362">
        <f>'2ª'!$H13</f>
        <v>0</v>
      </c>
      <c r="J64" s="362"/>
      <c r="K64" s="362">
        <f>'2ª'!$I13</f>
        <v>0</v>
      </c>
      <c r="L64" s="362" t="str">
        <f ca="1">'2ª'!$J13</f>
        <v/>
      </c>
      <c r="M64" s="362"/>
      <c r="N64" s="362" t="str">
        <f ca="1">'2ª'!$K13</f>
        <v/>
      </c>
      <c r="O64" s="362"/>
      <c r="P64" s="253" t="s">
        <v>110</v>
      </c>
      <c r="Q64" s="415" t="s">
        <v>249</v>
      </c>
      <c r="R64" s="383" t="str">
        <f>'2ª'!L13</f>
        <v>Não</v>
      </c>
      <c r="S64" s="383" t="str">
        <f>'2ª'!M13</f>
        <v>Eliane</v>
      </c>
      <c r="T64" s="383" t="str">
        <f>'2ª'!N13</f>
        <v>-</v>
      </c>
      <c r="U64" s="383" t="str">
        <f>'2ª'!O13</f>
        <v>-</v>
      </c>
      <c r="V64" s="383" t="str">
        <f>'2ª'!P13</f>
        <v>-</v>
      </c>
      <c r="W64" s="383" t="str">
        <f>'2ª'!Q13</f>
        <v>-</v>
      </c>
      <c r="X64" s="383" t="str">
        <f>'2ª'!R13</f>
        <v>-</v>
      </c>
      <c r="Y64" s="383" t="str">
        <f>'2ª'!S13</f>
        <v>-</v>
      </c>
      <c r="Z64" s="384">
        <f>'2ª'!T13</f>
        <v>0</v>
      </c>
      <c r="AA64" s="384">
        <f>'2ª'!U13</f>
        <v>0</v>
      </c>
      <c r="AB64" s="385" t="s">
        <v>321</v>
      </c>
      <c r="AC64" s="385"/>
      <c r="AD64" s="435" t="s">
        <v>466</v>
      </c>
    </row>
    <row r="65" spans="1:30" ht="15.75" x14ac:dyDescent="0.25">
      <c r="A65" s="416" t="str">
        <f>RIGHT('[1]2ª'!$A$5:$D$5,12)</f>
        <v>2ª SÉRIE E.F</v>
      </c>
      <c r="B65" s="451">
        <v>9</v>
      </c>
      <c r="C65" s="248">
        <f>'2ª'!$B14</f>
        <v>0</v>
      </c>
      <c r="D65" s="362">
        <f>'2ª'!$C14</f>
        <v>0</v>
      </c>
      <c r="E65" s="249">
        <f>'2ª'!$D14</f>
        <v>0</v>
      </c>
      <c r="F65" s="249" t="str">
        <f>'2ª'!$E14</f>
        <v/>
      </c>
      <c r="G65" s="250">
        <f>'2ª'!$F14</f>
        <v>0</v>
      </c>
      <c r="H65" s="362">
        <f>'2ª'!$G14</f>
        <v>0</v>
      </c>
      <c r="I65" s="362">
        <f>'2ª'!$H14</f>
        <v>0</v>
      </c>
      <c r="J65" s="362"/>
      <c r="K65" s="362">
        <f>'2ª'!$I14</f>
        <v>0</v>
      </c>
      <c r="L65" s="362" t="str">
        <f ca="1">'2ª'!$J14</f>
        <v/>
      </c>
      <c r="M65" s="362"/>
      <c r="N65" s="362" t="str">
        <f ca="1">'2ª'!$K14</f>
        <v/>
      </c>
      <c r="O65" s="362"/>
      <c r="P65" s="253" t="s">
        <v>110</v>
      </c>
      <c r="Q65" s="415" t="s">
        <v>249</v>
      </c>
      <c r="R65" s="383" t="str">
        <f>'2ª'!L14</f>
        <v>Não</v>
      </c>
      <c r="S65" s="383" t="str">
        <f>'2ª'!M14</f>
        <v>Eliane</v>
      </c>
      <c r="T65" s="383" t="str">
        <f>'2ª'!N14</f>
        <v>-</v>
      </c>
      <c r="U65" s="383" t="str">
        <f>'2ª'!O14</f>
        <v>-</v>
      </c>
      <c r="V65" s="383" t="str">
        <f>'2ª'!P14</f>
        <v>-</v>
      </c>
      <c r="W65" s="383" t="str">
        <f>'2ª'!Q14</f>
        <v>-</v>
      </c>
      <c r="X65" s="383" t="str">
        <f>'2ª'!R14</f>
        <v>-</v>
      </c>
      <c r="Y65" s="383" t="str">
        <f>'2ª'!S14</f>
        <v>-</v>
      </c>
      <c r="Z65" s="384">
        <f>'2ª'!T14</f>
        <v>0</v>
      </c>
      <c r="AA65" s="384">
        <f>'2ª'!U14</f>
        <v>0</v>
      </c>
      <c r="AB65" s="385" t="s">
        <v>321</v>
      </c>
      <c r="AC65" s="385"/>
      <c r="AD65" s="435" t="s">
        <v>466</v>
      </c>
    </row>
    <row r="66" spans="1:30" ht="15.75" x14ac:dyDescent="0.25">
      <c r="A66" s="416" t="str">
        <f>RIGHT('[1]2ª'!$A$5:$D$5,12)</f>
        <v>2ª SÉRIE E.F</v>
      </c>
      <c r="B66" s="451">
        <v>10</v>
      </c>
      <c r="C66" s="248">
        <f>'2ª'!$B15</f>
        <v>0</v>
      </c>
      <c r="D66" s="362">
        <f>'2ª'!$C15</f>
        <v>0</v>
      </c>
      <c r="E66" s="249">
        <f>'2ª'!$D15</f>
        <v>0</v>
      </c>
      <c r="F66" s="249" t="str">
        <f>'2ª'!$E15</f>
        <v/>
      </c>
      <c r="G66" s="250">
        <f>'2ª'!$F15</f>
        <v>0</v>
      </c>
      <c r="H66" s="362">
        <f>'2ª'!$G15</f>
        <v>0</v>
      </c>
      <c r="I66" s="362">
        <f>'2ª'!$H15</f>
        <v>0</v>
      </c>
      <c r="J66" s="362"/>
      <c r="K66" s="362">
        <f>'2ª'!$I15</f>
        <v>0</v>
      </c>
      <c r="L66" s="362" t="str">
        <f ca="1">'2ª'!$J15</f>
        <v/>
      </c>
      <c r="M66" s="362"/>
      <c r="N66" s="362" t="str">
        <f ca="1">'2ª'!$K15</f>
        <v/>
      </c>
      <c r="O66" s="362"/>
      <c r="P66" s="253" t="s">
        <v>110</v>
      </c>
      <c r="Q66" s="415" t="s">
        <v>249</v>
      </c>
      <c r="R66" s="383" t="str">
        <f>'2ª'!L15</f>
        <v>Não</v>
      </c>
      <c r="S66" s="383" t="str">
        <f>'2ª'!M15</f>
        <v>Eliane</v>
      </c>
      <c r="T66" s="383" t="str">
        <f>'2ª'!N15</f>
        <v>-</v>
      </c>
      <c r="U66" s="383" t="str">
        <f>'2ª'!O15</f>
        <v>-</v>
      </c>
      <c r="V66" s="383" t="str">
        <f>'2ª'!P15</f>
        <v>-</v>
      </c>
      <c r="W66" s="383" t="str">
        <f>'2ª'!Q15</f>
        <v>-</v>
      </c>
      <c r="X66" s="383" t="str">
        <f>'2ª'!R15</f>
        <v>-</v>
      </c>
      <c r="Y66" s="383" t="str">
        <f>'2ª'!S15</f>
        <v>-</v>
      </c>
      <c r="Z66" s="384">
        <f>'2ª'!T15</f>
        <v>0</v>
      </c>
      <c r="AA66" s="384">
        <f>'2ª'!U15</f>
        <v>0</v>
      </c>
      <c r="AB66" s="385" t="s">
        <v>321</v>
      </c>
      <c r="AC66" s="385"/>
      <c r="AD66" s="435" t="s">
        <v>466</v>
      </c>
    </row>
    <row r="67" spans="1:30" ht="15.75" x14ac:dyDescent="0.25">
      <c r="A67" s="416" t="str">
        <f>RIGHT('[1]2ª'!$A$5:$D$5,12)</f>
        <v>2ª SÉRIE E.F</v>
      </c>
      <c r="B67" s="451">
        <v>11</v>
      </c>
      <c r="C67" s="248">
        <f>'2ª'!$B16</f>
        <v>0</v>
      </c>
      <c r="D67" s="362">
        <f>'2ª'!$C16</f>
        <v>0</v>
      </c>
      <c r="E67" s="249">
        <f>'2ª'!$D16</f>
        <v>0</v>
      </c>
      <c r="F67" s="249" t="str">
        <f>'2ª'!$E16</f>
        <v/>
      </c>
      <c r="G67" s="250">
        <f>'2ª'!$F16</f>
        <v>0</v>
      </c>
      <c r="H67" s="362">
        <f>'2ª'!$G16</f>
        <v>0</v>
      </c>
      <c r="I67" s="362">
        <f>'2ª'!$H16</f>
        <v>0</v>
      </c>
      <c r="J67" s="362"/>
      <c r="K67" s="362">
        <f>'2ª'!$I16</f>
        <v>0</v>
      </c>
      <c r="L67" s="362" t="str">
        <f ca="1">'2ª'!$J16</f>
        <v/>
      </c>
      <c r="M67" s="362"/>
      <c r="N67" s="362" t="str">
        <f ca="1">'2ª'!$K16</f>
        <v/>
      </c>
      <c r="O67" s="362"/>
      <c r="P67" s="253" t="s">
        <v>110</v>
      </c>
      <c r="Q67" s="415" t="s">
        <v>249</v>
      </c>
      <c r="R67" s="383" t="str">
        <f>'2ª'!L16</f>
        <v>Não</v>
      </c>
      <c r="S67" s="383" t="str">
        <f>'2ª'!M16</f>
        <v>Eliane</v>
      </c>
      <c r="T67" s="383" t="str">
        <f>'2ª'!N16</f>
        <v>-</v>
      </c>
      <c r="U67" s="383" t="str">
        <f>'2ª'!O16</f>
        <v>-</v>
      </c>
      <c r="V67" s="383" t="str">
        <f>'2ª'!P16</f>
        <v>-</v>
      </c>
      <c r="W67" s="383" t="str">
        <f>'2ª'!Q16</f>
        <v>-</v>
      </c>
      <c r="X67" s="383" t="str">
        <f>'2ª'!R16</f>
        <v>-</v>
      </c>
      <c r="Y67" s="383" t="str">
        <f>'2ª'!S16</f>
        <v>-</v>
      </c>
      <c r="Z67" s="384">
        <f>'2ª'!T16</f>
        <v>0</v>
      </c>
      <c r="AA67" s="384">
        <f>'2ª'!U16</f>
        <v>0</v>
      </c>
      <c r="AB67" s="385" t="s">
        <v>321</v>
      </c>
      <c r="AC67" s="385"/>
      <c r="AD67" s="435" t="s">
        <v>466</v>
      </c>
    </row>
    <row r="68" spans="1:30" ht="15.75" x14ac:dyDescent="0.25">
      <c r="A68" s="416" t="str">
        <f>RIGHT('[1]2ª'!$A$5:$D$5,12)</f>
        <v>2ª SÉRIE E.F</v>
      </c>
      <c r="B68" s="451">
        <v>12</v>
      </c>
      <c r="C68" s="248">
        <f>'2ª'!$B17</f>
        <v>0</v>
      </c>
      <c r="D68" s="362">
        <f>'2ª'!$C17</f>
        <v>0</v>
      </c>
      <c r="E68" s="249">
        <f>'2ª'!$D17</f>
        <v>0</v>
      </c>
      <c r="F68" s="249" t="str">
        <f>'2ª'!$E17</f>
        <v/>
      </c>
      <c r="G68" s="250">
        <f>'2ª'!$F17</f>
        <v>0</v>
      </c>
      <c r="H68" s="362">
        <f>'2ª'!$G17</f>
        <v>0</v>
      </c>
      <c r="I68" s="362">
        <f>'2ª'!$H17</f>
        <v>0</v>
      </c>
      <c r="J68" s="362"/>
      <c r="K68" s="362">
        <f>'2ª'!$I17</f>
        <v>0</v>
      </c>
      <c r="L68" s="362" t="str">
        <f ca="1">'2ª'!$J17</f>
        <v/>
      </c>
      <c r="M68" s="362"/>
      <c r="N68" s="362" t="str">
        <f ca="1">'2ª'!$K17</f>
        <v/>
      </c>
      <c r="O68" s="362"/>
      <c r="P68" s="253" t="s">
        <v>110</v>
      </c>
      <c r="Q68" s="415" t="s">
        <v>249</v>
      </c>
      <c r="R68" s="383" t="str">
        <f>'2ª'!L17</f>
        <v>Não</v>
      </c>
      <c r="S68" s="383" t="str">
        <f>'2ª'!M17</f>
        <v>Eliane</v>
      </c>
      <c r="T68" s="383" t="str">
        <f>'2ª'!N17</f>
        <v>-</v>
      </c>
      <c r="U68" s="383" t="str">
        <f>'2ª'!O17</f>
        <v>-</v>
      </c>
      <c r="V68" s="383" t="str">
        <f>'2ª'!P17</f>
        <v>-</v>
      </c>
      <c r="W68" s="383" t="str">
        <f>'2ª'!Q17</f>
        <v>-</v>
      </c>
      <c r="X68" s="383" t="str">
        <f>'2ª'!R17</f>
        <v>-</v>
      </c>
      <c r="Y68" s="383" t="str">
        <f>'2ª'!S17</f>
        <v>-</v>
      </c>
      <c r="Z68" s="384">
        <f>'2ª'!T17</f>
        <v>0</v>
      </c>
      <c r="AA68" s="384">
        <f>'2ª'!U17</f>
        <v>0</v>
      </c>
      <c r="AB68" s="385" t="s">
        <v>321</v>
      </c>
      <c r="AC68" s="385"/>
      <c r="AD68" s="435" t="s">
        <v>466</v>
      </c>
    </row>
    <row r="69" spans="1:30" ht="15.75" x14ac:dyDescent="0.25">
      <c r="A69" s="416" t="str">
        <f>RIGHT('[1]2ª'!$A$5:$D$5,12)</f>
        <v>2ª SÉRIE E.F</v>
      </c>
      <c r="B69" s="451">
        <v>13</v>
      </c>
      <c r="C69" s="248">
        <f>'2ª'!$B18</f>
        <v>0</v>
      </c>
      <c r="D69" s="362">
        <f>'2ª'!$C18</f>
        <v>0</v>
      </c>
      <c r="E69" s="249">
        <f>'2ª'!$D18</f>
        <v>0</v>
      </c>
      <c r="F69" s="249" t="str">
        <f>'2ª'!$E18</f>
        <v/>
      </c>
      <c r="G69" s="250">
        <f>'2ª'!$F18</f>
        <v>0</v>
      </c>
      <c r="H69" s="362">
        <f>'2ª'!$G18</f>
        <v>0</v>
      </c>
      <c r="I69" s="362">
        <f>'2ª'!$H18</f>
        <v>0</v>
      </c>
      <c r="J69" s="362"/>
      <c r="K69" s="362">
        <f>'2ª'!$I18</f>
        <v>0</v>
      </c>
      <c r="L69" s="362" t="str">
        <f ca="1">'2ª'!$J18</f>
        <v/>
      </c>
      <c r="M69" s="362"/>
      <c r="N69" s="362" t="str">
        <f ca="1">'2ª'!$K18</f>
        <v/>
      </c>
      <c r="O69" s="362"/>
      <c r="P69" s="253" t="s">
        <v>110</v>
      </c>
      <c r="Q69" s="415" t="s">
        <v>249</v>
      </c>
      <c r="R69" s="383" t="str">
        <f>'2ª'!L18</f>
        <v>Não</v>
      </c>
      <c r="S69" s="383" t="str">
        <f>'2ª'!M18</f>
        <v>Eliane</v>
      </c>
      <c r="T69" s="383" t="str">
        <f>'2ª'!N18</f>
        <v>-</v>
      </c>
      <c r="U69" s="383" t="str">
        <f>'2ª'!O18</f>
        <v>-</v>
      </c>
      <c r="V69" s="383" t="str">
        <f>'2ª'!P18</f>
        <v>-</v>
      </c>
      <c r="W69" s="383" t="str">
        <f>'2ª'!Q18</f>
        <v>-</v>
      </c>
      <c r="X69" s="383" t="str">
        <f>'2ª'!R18</f>
        <v>-</v>
      </c>
      <c r="Y69" s="383" t="str">
        <f>'2ª'!S18</f>
        <v>-</v>
      </c>
      <c r="Z69" s="384">
        <f>'2ª'!T18</f>
        <v>0</v>
      </c>
      <c r="AA69" s="384">
        <f>'2ª'!U18</f>
        <v>0</v>
      </c>
      <c r="AB69" s="385" t="s">
        <v>321</v>
      </c>
      <c r="AC69" s="385"/>
      <c r="AD69" s="435" t="s">
        <v>466</v>
      </c>
    </row>
    <row r="70" spans="1:30" ht="15.75" x14ac:dyDescent="0.25">
      <c r="A70" s="416" t="str">
        <f>RIGHT('[1]2ª'!$A$5:$D$5,12)</f>
        <v>2ª SÉRIE E.F</v>
      </c>
      <c r="B70" s="451">
        <v>14</v>
      </c>
      <c r="C70" s="248">
        <f>'2ª'!$B19</f>
        <v>0</v>
      </c>
      <c r="D70" s="362">
        <f>'2ª'!$C19</f>
        <v>0</v>
      </c>
      <c r="E70" s="249">
        <f>'2ª'!$D19</f>
        <v>0</v>
      </c>
      <c r="F70" s="249" t="str">
        <f>'2ª'!$E19</f>
        <v/>
      </c>
      <c r="G70" s="250">
        <f>'2ª'!$F19</f>
        <v>0</v>
      </c>
      <c r="H70" s="362">
        <f>'2ª'!$G19</f>
        <v>0</v>
      </c>
      <c r="I70" s="362">
        <f>'2ª'!$H19</f>
        <v>0</v>
      </c>
      <c r="J70" s="362"/>
      <c r="K70" s="362">
        <f>'2ª'!$I19</f>
        <v>0</v>
      </c>
      <c r="L70" s="362" t="str">
        <f ca="1">'2ª'!$J19</f>
        <v/>
      </c>
      <c r="M70" s="362"/>
      <c r="N70" s="362" t="str">
        <f ca="1">'2ª'!$K19</f>
        <v/>
      </c>
      <c r="O70" s="362"/>
      <c r="P70" s="253" t="s">
        <v>110</v>
      </c>
      <c r="Q70" s="415" t="s">
        <v>249</v>
      </c>
      <c r="R70" s="383" t="str">
        <f>'2ª'!L19</f>
        <v>Não</v>
      </c>
      <c r="S70" s="383" t="str">
        <f>'2ª'!M19</f>
        <v>Eliane</v>
      </c>
      <c r="T70" s="383" t="str">
        <f>'2ª'!N19</f>
        <v>-</v>
      </c>
      <c r="U70" s="383" t="str">
        <f>'2ª'!O19</f>
        <v>-</v>
      </c>
      <c r="V70" s="383" t="str">
        <f>'2ª'!P19</f>
        <v>-</v>
      </c>
      <c r="W70" s="383" t="str">
        <f>'2ª'!Q19</f>
        <v>-</v>
      </c>
      <c r="X70" s="383" t="str">
        <f>'2ª'!R19</f>
        <v>-</v>
      </c>
      <c r="Y70" s="383" t="str">
        <f>'2ª'!S19</f>
        <v>-</v>
      </c>
      <c r="Z70" s="384">
        <f>'2ª'!T19</f>
        <v>0</v>
      </c>
      <c r="AA70" s="384">
        <f>'2ª'!U19</f>
        <v>0</v>
      </c>
      <c r="AB70" s="385" t="s">
        <v>321</v>
      </c>
      <c r="AC70" s="385"/>
      <c r="AD70" s="435" t="s">
        <v>466</v>
      </c>
    </row>
    <row r="71" spans="1:30" ht="15.75" x14ac:dyDescent="0.25">
      <c r="A71" s="416" t="str">
        <f>RIGHT('[1]2ª'!$A$5:$D$5,12)</f>
        <v>2ª SÉRIE E.F</v>
      </c>
      <c r="B71" s="451">
        <v>15</v>
      </c>
      <c r="C71" s="248">
        <f>'2ª'!$B20</f>
        <v>0</v>
      </c>
      <c r="D71" s="362">
        <f>'2ª'!$C20</f>
        <v>0</v>
      </c>
      <c r="E71" s="249">
        <f>'2ª'!$D20</f>
        <v>0</v>
      </c>
      <c r="F71" s="249" t="str">
        <f>'2ª'!$E20</f>
        <v/>
      </c>
      <c r="G71" s="250">
        <f>'2ª'!$F20</f>
        <v>0</v>
      </c>
      <c r="H71" s="362">
        <f>'2ª'!$G20</f>
        <v>0</v>
      </c>
      <c r="I71" s="362">
        <f>'2ª'!$H20</f>
        <v>0</v>
      </c>
      <c r="J71" s="362"/>
      <c r="K71" s="362">
        <f>'2ª'!$I20</f>
        <v>0</v>
      </c>
      <c r="L71" s="362" t="str">
        <f ca="1">'2ª'!$J20</f>
        <v/>
      </c>
      <c r="M71" s="362"/>
      <c r="N71" s="362" t="str">
        <f ca="1">'2ª'!$K20</f>
        <v/>
      </c>
      <c r="O71" s="362"/>
      <c r="P71" s="253" t="s">
        <v>110</v>
      </c>
      <c r="Q71" s="415" t="s">
        <v>249</v>
      </c>
      <c r="R71" s="383" t="str">
        <f>'2ª'!L20</f>
        <v>Não</v>
      </c>
      <c r="S71" s="383" t="str">
        <f>'2ª'!M20</f>
        <v>Eliane</v>
      </c>
      <c r="T71" s="383" t="str">
        <f>'2ª'!N20</f>
        <v>-</v>
      </c>
      <c r="U71" s="383" t="str">
        <f>'2ª'!O20</f>
        <v>-</v>
      </c>
      <c r="V71" s="383" t="str">
        <f>'2ª'!P20</f>
        <v>-</v>
      </c>
      <c r="W71" s="383" t="str">
        <f>'2ª'!Q20</f>
        <v>-</v>
      </c>
      <c r="X71" s="383" t="str">
        <f>'2ª'!R20</f>
        <v>-</v>
      </c>
      <c r="Y71" s="383" t="str">
        <f>'2ª'!S20</f>
        <v>-</v>
      </c>
      <c r="Z71" s="384">
        <f>'2ª'!T20</f>
        <v>0</v>
      </c>
      <c r="AA71" s="384">
        <f>'2ª'!U20</f>
        <v>0</v>
      </c>
      <c r="AB71" s="385" t="s">
        <v>321</v>
      </c>
      <c r="AC71" s="385"/>
      <c r="AD71" s="435" t="s">
        <v>466</v>
      </c>
    </row>
    <row r="72" spans="1:30" ht="15.75" x14ac:dyDescent="0.25">
      <c r="A72" s="416" t="str">
        <f>RIGHT('[1]2ª'!$A$5:$D$5,12)</f>
        <v>2ª SÉRIE E.F</v>
      </c>
      <c r="B72" s="451">
        <v>16</v>
      </c>
      <c r="C72" s="248">
        <f>'2ª'!$B21</f>
        <v>0</v>
      </c>
      <c r="D72" s="362">
        <f>'2ª'!$C21</f>
        <v>0</v>
      </c>
      <c r="E72" s="249">
        <f>'2ª'!$D21</f>
        <v>0</v>
      </c>
      <c r="F72" s="249" t="str">
        <f>'2ª'!$E21</f>
        <v/>
      </c>
      <c r="G72" s="250">
        <f>'2ª'!$F21</f>
        <v>0</v>
      </c>
      <c r="H72" s="362">
        <f>'2ª'!$G21</f>
        <v>0</v>
      </c>
      <c r="I72" s="362">
        <f>'2ª'!$H21</f>
        <v>0</v>
      </c>
      <c r="J72" s="362"/>
      <c r="K72" s="362">
        <f>'2ª'!$I21</f>
        <v>0</v>
      </c>
      <c r="L72" s="362" t="str">
        <f ca="1">'2ª'!$J21</f>
        <v/>
      </c>
      <c r="M72" s="362"/>
      <c r="N72" s="362" t="str">
        <f ca="1">'2ª'!$K21</f>
        <v/>
      </c>
      <c r="O72" s="362"/>
      <c r="P72" s="253" t="s">
        <v>110</v>
      </c>
      <c r="Q72" s="415" t="s">
        <v>249</v>
      </c>
      <c r="R72" s="383" t="str">
        <f>'2ª'!L21</f>
        <v>Não</v>
      </c>
      <c r="S72" s="383" t="str">
        <f>'2ª'!M21</f>
        <v>Eliane</v>
      </c>
      <c r="T72" s="383" t="str">
        <f>'2ª'!N21</f>
        <v>-</v>
      </c>
      <c r="U72" s="383" t="str">
        <f>'2ª'!O21</f>
        <v>-</v>
      </c>
      <c r="V72" s="383" t="str">
        <f>'2ª'!P21</f>
        <v>-</v>
      </c>
      <c r="W72" s="383" t="str">
        <f>'2ª'!Q21</f>
        <v>-</v>
      </c>
      <c r="X72" s="383" t="str">
        <f>'2ª'!R21</f>
        <v>-</v>
      </c>
      <c r="Y72" s="383" t="str">
        <f>'2ª'!S21</f>
        <v>-</v>
      </c>
      <c r="Z72" s="384">
        <f>'2ª'!T21</f>
        <v>0</v>
      </c>
      <c r="AA72" s="384">
        <f>'2ª'!U21</f>
        <v>0</v>
      </c>
      <c r="AB72" s="385" t="s">
        <v>321</v>
      </c>
      <c r="AC72" s="385"/>
      <c r="AD72" s="435" t="s">
        <v>466</v>
      </c>
    </row>
    <row r="73" spans="1:30" ht="15.75" x14ac:dyDescent="0.25">
      <c r="A73" s="416" t="str">
        <f>RIGHT('[1]2ª'!$A$5:$D$5,12)</f>
        <v>2ª SÉRIE E.F</v>
      </c>
      <c r="B73" s="451">
        <v>17</v>
      </c>
      <c r="C73" s="248">
        <f>'2ª'!$B22</f>
        <v>0</v>
      </c>
      <c r="D73" s="362">
        <f>'2ª'!$C22</f>
        <v>0</v>
      </c>
      <c r="E73" s="249">
        <f>'2ª'!$D22</f>
        <v>0</v>
      </c>
      <c r="F73" s="249" t="str">
        <f>'2ª'!$E22</f>
        <v/>
      </c>
      <c r="G73" s="250">
        <f>'2ª'!$F22</f>
        <v>0</v>
      </c>
      <c r="H73" s="362">
        <f>'2ª'!$G22</f>
        <v>0</v>
      </c>
      <c r="I73" s="362">
        <f>'2ª'!$H22</f>
        <v>0</v>
      </c>
      <c r="J73" s="362"/>
      <c r="K73" s="362">
        <f>'2ª'!$I22</f>
        <v>0</v>
      </c>
      <c r="L73" s="362" t="str">
        <f ca="1">'2ª'!$J22</f>
        <v/>
      </c>
      <c r="M73" s="362"/>
      <c r="N73" s="362" t="str">
        <f ca="1">'2ª'!$K22</f>
        <v/>
      </c>
      <c r="O73" s="362"/>
      <c r="P73" s="253" t="s">
        <v>110</v>
      </c>
      <c r="Q73" s="415" t="s">
        <v>249</v>
      </c>
      <c r="R73" s="383" t="str">
        <f>'2ª'!L22</f>
        <v>Não</v>
      </c>
      <c r="S73" s="383" t="str">
        <f>'2ª'!M22</f>
        <v>Eliane</v>
      </c>
      <c r="T73" s="383" t="str">
        <f>'2ª'!N22</f>
        <v>-</v>
      </c>
      <c r="U73" s="383" t="str">
        <f>'2ª'!O22</f>
        <v>-</v>
      </c>
      <c r="V73" s="383" t="str">
        <f>'2ª'!P22</f>
        <v>-</v>
      </c>
      <c r="W73" s="383" t="str">
        <f>'2ª'!Q22</f>
        <v>-</v>
      </c>
      <c r="X73" s="383" t="str">
        <f>'2ª'!R22</f>
        <v>-</v>
      </c>
      <c r="Y73" s="383" t="str">
        <f>'2ª'!S22</f>
        <v>-</v>
      </c>
      <c r="Z73" s="384">
        <f>'2ª'!T22</f>
        <v>0</v>
      </c>
      <c r="AA73" s="384">
        <f>'2ª'!U22</f>
        <v>0</v>
      </c>
      <c r="AB73" s="385" t="s">
        <v>321</v>
      </c>
      <c r="AC73" s="385"/>
      <c r="AD73" s="435" t="s">
        <v>466</v>
      </c>
    </row>
    <row r="74" spans="1:30" ht="15.75" x14ac:dyDescent="0.25">
      <c r="A74" s="416" t="str">
        <f>RIGHT('[1]2ª'!$A$5:$D$5,12)</f>
        <v>2ª SÉRIE E.F</v>
      </c>
      <c r="B74" s="451">
        <v>18</v>
      </c>
      <c r="C74" s="248">
        <f>'2ª'!$B23</f>
        <v>0</v>
      </c>
      <c r="D74" s="362">
        <f>'2ª'!$C23</f>
        <v>0</v>
      </c>
      <c r="E74" s="249">
        <f>'2ª'!$D23</f>
        <v>0</v>
      </c>
      <c r="F74" s="249" t="str">
        <f>'2ª'!$E23</f>
        <v/>
      </c>
      <c r="G74" s="250">
        <f>'2ª'!$F23</f>
        <v>0</v>
      </c>
      <c r="H74" s="362">
        <f>'2ª'!$G23</f>
        <v>0</v>
      </c>
      <c r="I74" s="362">
        <f>'2ª'!$H23</f>
        <v>0</v>
      </c>
      <c r="J74" s="362"/>
      <c r="K74" s="362">
        <f>'2ª'!$I23</f>
        <v>0</v>
      </c>
      <c r="L74" s="362" t="str">
        <f ca="1">'2ª'!$J23</f>
        <v/>
      </c>
      <c r="M74" s="362"/>
      <c r="N74" s="362" t="str">
        <f ca="1">'2ª'!$K23</f>
        <v/>
      </c>
      <c r="O74" s="362"/>
      <c r="P74" s="253" t="s">
        <v>110</v>
      </c>
      <c r="Q74" s="415" t="s">
        <v>249</v>
      </c>
      <c r="R74" s="383" t="str">
        <f>'2ª'!L23</f>
        <v>Não</v>
      </c>
      <c r="S74" s="383" t="str">
        <f>'2ª'!M23</f>
        <v>Eliane</v>
      </c>
      <c r="T74" s="383" t="str">
        <f>'2ª'!N23</f>
        <v>-</v>
      </c>
      <c r="U74" s="383" t="str">
        <f>'2ª'!O23</f>
        <v>-</v>
      </c>
      <c r="V74" s="383" t="str">
        <f>'2ª'!P23</f>
        <v>-</v>
      </c>
      <c r="W74" s="383" t="str">
        <f>'2ª'!Q23</f>
        <v>-</v>
      </c>
      <c r="X74" s="383" t="str">
        <f>'2ª'!R23</f>
        <v>-</v>
      </c>
      <c r="Y74" s="383" t="str">
        <f>'2ª'!S23</f>
        <v>-</v>
      </c>
      <c r="Z74" s="384">
        <f>'2ª'!T23</f>
        <v>0</v>
      </c>
      <c r="AA74" s="384">
        <f>'2ª'!U23</f>
        <v>0</v>
      </c>
      <c r="AB74" s="385" t="s">
        <v>321</v>
      </c>
      <c r="AC74" s="385"/>
      <c r="AD74" s="435" t="s">
        <v>466</v>
      </c>
    </row>
    <row r="75" spans="1:30" ht="15.75" x14ac:dyDescent="0.25">
      <c r="A75" s="416" t="str">
        <f>RIGHT('[1]2ª'!$A$5:$D$5,12)</f>
        <v>2ª SÉRIE E.F</v>
      </c>
      <c r="B75" s="451">
        <v>19</v>
      </c>
      <c r="C75" s="248">
        <f>'2ª'!$B24</f>
        <v>0</v>
      </c>
      <c r="D75" s="362">
        <f>'2ª'!$C24</f>
        <v>0</v>
      </c>
      <c r="E75" s="249">
        <f>'2ª'!$D24</f>
        <v>0</v>
      </c>
      <c r="F75" s="249" t="str">
        <f>'2ª'!$E24</f>
        <v/>
      </c>
      <c r="G75" s="250">
        <f>'2ª'!$F24</f>
        <v>0</v>
      </c>
      <c r="H75" s="362">
        <f>'2ª'!$G24</f>
        <v>0</v>
      </c>
      <c r="I75" s="362">
        <f>'2ª'!$H24</f>
        <v>0</v>
      </c>
      <c r="J75" s="362"/>
      <c r="K75" s="362">
        <f>'2ª'!$I24</f>
        <v>0</v>
      </c>
      <c r="L75" s="362" t="str">
        <f ca="1">'2ª'!$J24</f>
        <v/>
      </c>
      <c r="M75" s="362"/>
      <c r="N75" s="362" t="str">
        <f ca="1">'2ª'!$K24</f>
        <v/>
      </c>
      <c r="O75" s="362"/>
      <c r="P75" s="253" t="s">
        <v>110</v>
      </c>
      <c r="Q75" s="415" t="s">
        <v>249</v>
      </c>
      <c r="R75" s="383" t="str">
        <f>'2ª'!L24</f>
        <v>Não</v>
      </c>
      <c r="S75" s="383" t="str">
        <f>'2ª'!M24</f>
        <v>Eliane</v>
      </c>
      <c r="T75" s="383" t="str">
        <f>'2ª'!N24</f>
        <v>-</v>
      </c>
      <c r="U75" s="383" t="str">
        <f>'2ª'!O24</f>
        <v>-</v>
      </c>
      <c r="V75" s="383" t="str">
        <f>'2ª'!P24</f>
        <v>-</v>
      </c>
      <c r="W75" s="383" t="str">
        <f>'2ª'!Q24</f>
        <v>-</v>
      </c>
      <c r="X75" s="383" t="str">
        <f>'2ª'!R24</f>
        <v>-</v>
      </c>
      <c r="Y75" s="383" t="str">
        <f>'2ª'!S24</f>
        <v>-</v>
      </c>
      <c r="Z75" s="384">
        <f>'2ª'!T24</f>
        <v>0</v>
      </c>
      <c r="AA75" s="384">
        <f>'2ª'!U24</f>
        <v>0</v>
      </c>
      <c r="AB75" s="385" t="s">
        <v>321</v>
      </c>
      <c r="AC75" s="385"/>
      <c r="AD75" s="435" t="s">
        <v>466</v>
      </c>
    </row>
    <row r="76" spans="1:30" ht="15.75" x14ac:dyDescent="0.25">
      <c r="A76" s="416" t="str">
        <f>RIGHT('[1]2ª'!$A$5:$D$5,12)</f>
        <v>2ª SÉRIE E.F</v>
      </c>
      <c r="B76" s="451">
        <v>20</v>
      </c>
      <c r="C76" s="248">
        <f>'2ª'!$B25</f>
        <v>0</v>
      </c>
      <c r="D76" s="362">
        <f>'2ª'!$C25</f>
        <v>0</v>
      </c>
      <c r="E76" s="249">
        <f>'2ª'!$D25</f>
        <v>0</v>
      </c>
      <c r="F76" s="249" t="str">
        <f>'2ª'!$E25</f>
        <v/>
      </c>
      <c r="G76" s="250">
        <f>'2ª'!$F25</f>
        <v>0</v>
      </c>
      <c r="H76" s="362">
        <f>'2ª'!$G25</f>
        <v>0</v>
      </c>
      <c r="I76" s="362">
        <f>'2ª'!$H25</f>
        <v>0</v>
      </c>
      <c r="J76" s="362"/>
      <c r="K76" s="362">
        <f>'2ª'!$I25</f>
        <v>0</v>
      </c>
      <c r="L76" s="362" t="str">
        <f ca="1">'2ª'!$J25</f>
        <v/>
      </c>
      <c r="M76" s="362"/>
      <c r="N76" s="362" t="str">
        <f ca="1">'2ª'!$K25</f>
        <v/>
      </c>
      <c r="O76" s="362"/>
      <c r="P76" s="253" t="s">
        <v>110</v>
      </c>
      <c r="Q76" s="415" t="s">
        <v>249</v>
      </c>
      <c r="R76" s="383" t="str">
        <f>'2ª'!L25</f>
        <v>Não</v>
      </c>
      <c r="S76" s="383" t="str">
        <f>'2ª'!M25</f>
        <v>Eliane</v>
      </c>
      <c r="T76" s="383" t="str">
        <f>'2ª'!N25</f>
        <v>-</v>
      </c>
      <c r="U76" s="383" t="str">
        <f>'2ª'!O25</f>
        <v>-</v>
      </c>
      <c r="V76" s="383" t="str">
        <f>'2ª'!P25</f>
        <v>-</v>
      </c>
      <c r="W76" s="383" t="str">
        <f>'2ª'!Q25</f>
        <v>-</v>
      </c>
      <c r="X76" s="383" t="str">
        <f>'2ª'!R25</f>
        <v>-</v>
      </c>
      <c r="Y76" s="383" t="str">
        <f>'2ª'!S25</f>
        <v>-</v>
      </c>
      <c r="Z76" s="384">
        <f>'2ª'!T25</f>
        <v>0</v>
      </c>
      <c r="AA76" s="384">
        <f>'2ª'!U25</f>
        <v>0</v>
      </c>
      <c r="AB76" s="385" t="s">
        <v>321</v>
      </c>
      <c r="AC76" s="385"/>
      <c r="AD76" s="435" t="s">
        <v>466</v>
      </c>
    </row>
    <row r="77" spans="1:30" ht="15.75" x14ac:dyDescent="0.25">
      <c r="A77" s="416" t="str">
        <f>RIGHT('[1]2ª'!$A$5:$D$5,12)</f>
        <v>2ª SÉRIE E.F</v>
      </c>
      <c r="B77" s="451">
        <v>21</v>
      </c>
      <c r="C77" s="248">
        <f>'2ª'!$B26</f>
        <v>0</v>
      </c>
      <c r="D77" s="362">
        <f>'2ª'!$C26</f>
        <v>0</v>
      </c>
      <c r="E77" s="249">
        <f>'2ª'!$D26</f>
        <v>0</v>
      </c>
      <c r="F77" s="249" t="str">
        <f>'2ª'!$E26</f>
        <v/>
      </c>
      <c r="G77" s="250">
        <f>'2ª'!$F26</f>
        <v>0</v>
      </c>
      <c r="H77" s="362">
        <f>'2ª'!$G26</f>
        <v>0</v>
      </c>
      <c r="I77" s="362">
        <f>'2ª'!$H26</f>
        <v>0</v>
      </c>
      <c r="J77" s="362"/>
      <c r="K77" s="362">
        <f>'2ª'!$I26</f>
        <v>0</v>
      </c>
      <c r="L77" s="362" t="str">
        <f ca="1">'2ª'!$J26</f>
        <v/>
      </c>
      <c r="M77" s="362"/>
      <c r="N77" s="362" t="str">
        <f ca="1">'2ª'!$K26</f>
        <v/>
      </c>
      <c r="O77" s="362"/>
      <c r="P77" s="253" t="s">
        <v>110</v>
      </c>
      <c r="Q77" s="415" t="s">
        <v>249</v>
      </c>
      <c r="R77" s="383" t="str">
        <f>'2ª'!L26</f>
        <v>Não</v>
      </c>
      <c r="S77" s="383" t="str">
        <f>'2ª'!M26</f>
        <v>Eliane</v>
      </c>
      <c r="T77" s="383" t="str">
        <f>'2ª'!N26</f>
        <v>-</v>
      </c>
      <c r="U77" s="383" t="str">
        <f>'2ª'!O26</f>
        <v>-</v>
      </c>
      <c r="V77" s="383" t="str">
        <f>'2ª'!P26</f>
        <v>-</v>
      </c>
      <c r="W77" s="383" t="str">
        <f>'2ª'!Q26</f>
        <v>-</v>
      </c>
      <c r="X77" s="383" t="str">
        <f>'2ª'!R26</f>
        <v>-</v>
      </c>
      <c r="Y77" s="383" t="str">
        <f>'2ª'!S26</f>
        <v>-</v>
      </c>
      <c r="Z77" s="384">
        <f>'2ª'!T26</f>
        <v>0</v>
      </c>
      <c r="AA77" s="384">
        <f>'2ª'!U26</f>
        <v>0</v>
      </c>
      <c r="AB77" s="385" t="s">
        <v>321</v>
      </c>
      <c r="AC77" s="385"/>
      <c r="AD77" s="435" t="s">
        <v>466</v>
      </c>
    </row>
    <row r="78" spans="1:30" ht="15.75" x14ac:dyDescent="0.25">
      <c r="A78" s="416" t="str">
        <f>RIGHT('[1]2ª'!$A$5:$D$5,12)</f>
        <v>2ª SÉRIE E.F</v>
      </c>
      <c r="B78" s="451">
        <v>22</v>
      </c>
      <c r="C78" s="248">
        <f>'2ª'!$B27</f>
        <v>0</v>
      </c>
      <c r="D78" s="362">
        <f>'2ª'!$C27</f>
        <v>0</v>
      </c>
      <c r="E78" s="249">
        <f>'2ª'!$D27</f>
        <v>0</v>
      </c>
      <c r="F78" s="249" t="str">
        <f>'2ª'!$E27</f>
        <v/>
      </c>
      <c r="G78" s="250">
        <f>'2ª'!$F27</f>
        <v>0</v>
      </c>
      <c r="H78" s="362">
        <f>'2ª'!$G27</f>
        <v>0</v>
      </c>
      <c r="I78" s="362">
        <f>'2ª'!$H27</f>
        <v>0</v>
      </c>
      <c r="J78" s="362"/>
      <c r="K78" s="362">
        <f>'2ª'!$I27</f>
        <v>0</v>
      </c>
      <c r="L78" s="362" t="str">
        <f ca="1">'2ª'!$J27</f>
        <v/>
      </c>
      <c r="M78" s="362"/>
      <c r="N78" s="362" t="str">
        <f ca="1">'2ª'!$K27</f>
        <v/>
      </c>
      <c r="O78" s="362"/>
      <c r="P78" s="253" t="s">
        <v>110</v>
      </c>
      <c r="Q78" s="415" t="s">
        <v>249</v>
      </c>
      <c r="R78" s="383" t="str">
        <f>'2ª'!L27</f>
        <v>Não</v>
      </c>
      <c r="S78" s="383" t="str">
        <f>'2ª'!M27</f>
        <v>Eliane</v>
      </c>
      <c r="T78" s="383" t="str">
        <f>'2ª'!N27</f>
        <v>-</v>
      </c>
      <c r="U78" s="383" t="str">
        <f>'2ª'!O27</f>
        <v>-</v>
      </c>
      <c r="V78" s="383" t="str">
        <f>'2ª'!P27</f>
        <v>-</v>
      </c>
      <c r="W78" s="383" t="str">
        <f>'2ª'!Q27</f>
        <v>-</v>
      </c>
      <c r="X78" s="383" t="str">
        <f>'2ª'!R27</f>
        <v>-</v>
      </c>
      <c r="Y78" s="383" t="str">
        <f>'2ª'!S27</f>
        <v>-</v>
      </c>
      <c r="Z78" s="384">
        <f>'2ª'!T27</f>
        <v>0</v>
      </c>
      <c r="AA78" s="384">
        <f>'2ª'!U27</f>
        <v>0</v>
      </c>
      <c r="AB78" s="385" t="s">
        <v>321</v>
      </c>
      <c r="AC78" s="385"/>
      <c r="AD78" s="435" t="s">
        <v>466</v>
      </c>
    </row>
    <row r="79" spans="1:30" ht="15.75" x14ac:dyDescent="0.25">
      <c r="A79" s="416" t="str">
        <f>RIGHT('[1]2ª'!$A$5:$D$5,12)</f>
        <v>2ª SÉRIE E.F</v>
      </c>
      <c r="B79" s="451">
        <v>23</v>
      </c>
      <c r="C79" s="248">
        <f>'2ª'!$B28</f>
        <v>0</v>
      </c>
      <c r="D79" s="362">
        <f>'2ª'!$C28</f>
        <v>0</v>
      </c>
      <c r="E79" s="249">
        <f>'2ª'!$D28</f>
        <v>0</v>
      </c>
      <c r="F79" s="249" t="str">
        <f>'2ª'!$E28</f>
        <v/>
      </c>
      <c r="G79" s="250">
        <f>'2ª'!$F28</f>
        <v>0</v>
      </c>
      <c r="H79" s="362">
        <f>'2ª'!$G28</f>
        <v>0</v>
      </c>
      <c r="I79" s="362">
        <f>'2ª'!$H28</f>
        <v>0</v>
      </c>
      <c r="J79" s="362"/>
      <c r="K79" s="362">
        <f>'2ª'!$I28</f>
        <v>0</v>
      </c>
      <c r="L79" s="362" t="str">
        <f ca="1">'2ª'!$J28</f>
        <v/>
      </c>
      <c r="M79" s="362"/>
      <c r="N79" s="362" t="str">
        <f ca="1">'2ª'!$K28</f>
        <v/>
      </c>
      <c r="O79" s="362"/>
      <c r="P79" s="253" t="s">
        <v>110</v>
      </c>
      <c r="Q79" s="415" t="s">
        <v>249</v>
      </c>
      <c r="R79" s="383" t="str">
        <f>'2ª'!L28</f>
        <v>Não</v>
      </c>
      <c r="S79" s="383" t="str">
        <f>'2ª'!M28</f>
        <v>Eliane</v>
      </c>
      <c r="T79" s="383" t="str">
        <f>'2ª'!N28</f>
        <v>-</v>
      </c>
      <c r="U79" s="383" t="str">
        <f>'2ª'!O28</f>
        <v>-</v>
      </c>
      <c r="V79" s="383" t="str">
        <f>'2ª'!P28</f>
        <v>-</v>
      </c>
      <c r="W79" s="383" t="str">
        <f>'2ª'!Q28</f>
        <v>-</v>
      </c>
      <c r="X79" s="383" t="str">
        <f>'2ª'!R28</f>
        <v>-</v>
      </c>
      <c r="Y79" s="383" t="str">
        <f>'2ª'!S28</f>
        <v>-</v>
      </c>
      <c r="Z79" s="384">
        <f>'2ª'!T28</f>
        <v>0</v>
      </c>
      <c r="AA79" s="384">
        <f>'2ª'!U28</f>
        <v>0</v>
      </c>
      <c r="AB79" s="385" t="s">
        <v>321</v>
      </c>
      <c r="AC79" s="385"/>
      <c r="AD79" s="435" t="s">
        <v>466</v>
      </c>
    </row>
    <row r="80" spans="1:30" ht="15.75" x14ac:dyDescent="0.25">
      <c r="A80" s="416" t="str">
        <f>RIGHT('[1]2ª'!$A$5:$D$5,12)</f>
        <v>2ª SÉRIE E.F</v>
      </c>
      <c r="B80" s="451">
        <v>24</v>
      </c>
      <c r="C80" s="248">
        <f>'2ª'!$B29</f>
        <v>0</v>
      </c>
      <c r="D80" s="362">
        <f>'2ª'!$C29</f>
        <v>0</v>
      </c>
      <c r="E80" s="249">
        <f>'2ª'!$D29</f>
        <v>0</v>
      </c>
      <c r="F80" s="249" t="str">
        <f>'2ª'!$E29</f>
        <v/>
      </c>
      <c r="G80" s="250">
        <f>'2ª'!$F29</f>
        <v>0</v>
      </c>
      <c r="H80" s="362">
        <f>'2ª'!$G29</f>
        <v>0</v>
      </c>
      <c r="I80" s="362">
        <f>'2ª'!$H29</f>
        <v>0</v>
      </c>
      <c r="J80" s="362"/>
      <c r="K80" s="362">
        <f>'2ª'!$I29</f>
        <v>0</v>
      </c>
      <c r="L80" s="362" t="str">
        <f ca="1">'2ª'!$J29</f>
        <v/>
      </c>
      <c r="M80" s="362"/>
      <c r="N80" s="362" t="str">
        <f ca="1">'2ª'!$K29</f>
        <v/>
      </c>
      <c r="O80" s="362"/>
      <c r="P80" s="253" t="s">
        <v>110</v>
      </c>
      <c r="Q80" s="415" t="s">
        <v>249</v>
      </c>
      <c r="R80" s="383" t="str">
        <f>'2ª'!L29</f>
        <v>Não</v>
      </c>
      <c r="S80" s="383" t="str">
        <f>'2ª'!M29</f>
        <v>Eliane</v>
      </c>
      <c r="T80" s="383" t="str">
        <f>'2ª'!N29</f>
        <v>-</v>
      </c>
      <c r="U80" s="383" t="str">
        <f>'2ª'!O29</f>
        <v>-</v>
      </c>
      <c r="V80" s="383" t="str">
        <f>'2ª'!P29</f>
        <v>-</v>
      </c>
      <c r="W80" s="383" t="str">
        <f>'2ª'!Q29</f>
        <v>-</v>
      </c>
      <c r="X80" s="383" t="str">
        <f>'2ª'!R29</f>
        <v>-</v>
      </c>
      <c r="Y80" s="383" t="str">
        <f>'2ª'!S29</f>
        <v>-</v>
      </c>
      <c r="Z80" s="384">
        <f>'2ª'!T29</f>
        <v>0</v>
      </c>
      <c r="AA80" s="384">
        <f>'2ª'!U29</f>
        <v>0</v>
      </c>
      <c r="AB80" s="385" t="s">
        <v>321</v>
      </c>
      <c r="AC80" s="385"/>
      <c r="AD80" s="435" t="s">
        <v>466</v>
      </c>
    </row>
    <row r="81" spans="1:30" ht="15.75" x14ac:dyDescent="0.25">
      <c r="A81" s="416" t="str">
        <f>RIGHT('[1]2ª'!$A$5:$D$5,12)</f>
        <v>2ª SÉRIE E.F</v>
      </c>
      <c r="B81" s="451">
        <v>25</v>
      </c>
      <c r="C81" s="248">
        <f>'2ª'!$B30</f>
        <v>0</v>
      </c>
      <c r="D81" s="362">
        <f>'2ª'!$C30</f>
        <v>0</v>
      </c>
      <c r="E81" s="249">
        <f>'2ª'!$D30</f>
        <v>0</v>
      </c>
      <c r="F81" s="249" t="str">
        <f>'2ª'!$E30</f>
        <v/>
      </c>
      <c r="G81" s="250">
        <f>'2ª'!$F30</f>
        <v>0</v>
      </c>
      <c r="H81" s="362">
        <f>'2ª'!$G30</f>
        <v>0</v>
      </c>
      <c r="I81" s="362">
        <f>'2ª'!$H30</f>
        <v>0</v>
      </c>
      <c r="J81" s="362"/>
      <c r="K81" s="362">
        <f>'2ª'!$I30</f>
        <v>0</v>
      </c>
      <c r="L81" s="362" t="str">
        <f ca="1">'2ª'!$J30</f>
        <v/>
      </c>
      <c r="M81" s="362"/>
      <c r="N81" s="362" t="str">
        <f ca="1">'2ª'!$K30</f>
        <v/>
      </c>
      <c r="O81" s="362"/>
      <c r="P81" s="253" t="s">
        <v>110</v>
      </c>
      <c r="Q81" s="415" t="s">
        <v>249</v>
      </c>
      <c r="R81" s="383" t="str">
        <f>'2ª'!L30</f>
        <v>Não</v>
      </c>
      <c r="S81" s="383" t="str">
        <f>'2ª'!M30</f>
        <v>Eliane</v>
      </c>
      <c r="T81" s="383" t="str">
        <f>'2ª'!N30</f>
        <v>-</v>
      </c>
      <c r="U81" s="383" t="str">
        <f>'2ª'!O30</f>
        <v>-</v>
      </c>
      <c r="V81" s="383" t="str">
        <f>'2ª'!P30</f>
        <v>-</v>
      </c>
      <c r="W81" s="383" t="str">
        <f>'2ª'!Q30</f>
        <v>-</v>
      </c>
      <c r="X81" s="383" t="str">
        <f>'2ª'!R30</f>
        <v>-</v>
      </c>
      <c r="Y81" s="383" t="str">
        <f>'2ª'!S30</f>
        <v>-</v>
      </c>
      <c r="Z81" s="384">
        <f>'2ª'!T30</f>
        <v>0</v>
      </c>
      <c r="AA81" s="384">
        <f>'2ª'!U30</f>
        <v>0</v>
      </c>
      <c r="AB81" s="385" t="s">
        <v>321</v>
      </c>
      <c r="AC81" s="385"/>
      <c r="AD81" s="435" t="s">
        <v>466</v>
      </c>
    </row>
    <row r="82" spans="1:30" ht="15.75" x14ac:dyDescent="0.25">
      <c r="A82" s="416" t="str">
        <f>RIGHT('[1]2ª'!$A$5:$D$5,12)</f>
        <v>2ª SÉRIE E.F</v>
      </c>
      <c r="B82" s="451">
        <v>26</v>
      </c>
      <c r="C82" s="248">
        <f>'2ª'!$B31</f>
        <v>0</v>
      </c>
      <c r="D82" s="362">
        <f>'2ª'!$C31</f>
        <v>0</v>
      </c>
      <c r="E82" s="249">
        <f>'2ª'!$D31</f>
        <v>0</v>
      </c>
      <c r="F82" s="249" t="str">
        <f>'2ª'!$E31</f>
        <v/>
      </c>
      <c r="G82" s="250">
        <f>'2ª'!$F31</f>
        <v>0</v>
      </c>
      <c r="H82" s="362">
        <f>'2ª'!$G31</f>
        <v>0</v>
      </c>
      <c r="I82" s="362">
        <f>'2ª'!$H31</f>
        <v>0</v>
      </c>
      <c r="J82" s="362"/>
      <c r="K82" s="362">
        <f>'2ª'!$I31</f>
        <v>0</v>
      </c>
      <c r="L82" s="362" t="str">
        <f ca="1">'2ª'!$J31</f>
        <v/>
      </c>
      <c r="M82" s="362"/>
      <c r="N82" s="362" t="str">
        <f ca="1">'2ª'!$K31</f>
        <v/>
      </c>
      <c r="O82" s="362"/>
      <c r="P82" s="253" t="s">
        <v>110</v>
      </c>
      <c r="Q82" s="415" t="s">
        <v>249</v>
      </c>
      <c r="R82" s="383" t="str">
        <f>'2ª'!L31</f>
        <v>Não</v>
      </c>
      <c r="S82" s="383" t="str">
        <f>'2ª'!M31</f>
        <v>Eliane</v>
      </c>
      <c r="T82" s="383" t="str">
        <f>'2ª'!N31</f>
        <v>-</v>
      </c>
      <c r="U82" s="383" t="str">
        <f>'2ª'!O31</f>
        <v>-</v>
      </c>
      <c r="V82" s="383" t="str">
        <f>'2ª'!P31</f>
        <v>-</v>
      </c>
      <c r="W82" s="383" t="str">
        <f>'2ª'!Q31</f>
        <v>-</v>
      </c>
      <c r="X82" s="383" t="str">
        <f>'2ª'!R31</f>
        <v>-</v>
      </c>
      <c r="Y82" s="383" t="str">
        <f>'2ª'!S31</f>
        <v>-</v>
      </c>
      <c r="Z82" s="384">
        <f>'2ª'!T31</f>
        <v>0</v>
      </c>
      <c r="AA82" s="384">
        <f>'2ª'!U31</f>
        <v>0</v>
      </c>
      <c r="AB82" s="385" t="s">
        <v>321</v>
      </c>
      <c r="AC82" s="385"/>
      <c r="AD82" s="435" t="s">
        <v>466</v>
      </c>
    </row>
    <row r="83" spans="1:30" ht="15.75" x14ac:dyDescent="0.25">
      <c r="A83" s="416" t="str">
        <f>RIGHT('[1]2ª'!$A$5:$D$5,12)</f>
        <v>2ª SÉRIE E.F</v>
      </c>
      <c r="B83" s="451">
        <v>27</v>
      </c>
      <c r="C83" s="248">
        <f>'2ª'!$B32</f>
        <v>0</v>
      </c>
      <c r="D83" s="362">
        <f>'2ª'!$C32</f>
        <v>0</v>
      </c>
      <c r="E83" s="249">
        <f>'2ª'!$D32</f>
        <v>0</v>
      </c>
      <c r="F83" s="249" t="str">
        <f>'2ª'!$E32</f>
        <v/>
      </c>
      <c r="G83" s="250">
        <f>'2ª'!$F32</f>
        <v>0</v>
      </c>
      <c r="H83" s="362">
        <f>'2ª'!$G32</f>
        <v>0</v>
      </c>
      <c r="I83" s="362">
        <f>'2ª'!$H32</f>
        <v>0</v>
      </c>
      <c r="J83" s="362"/>
      <c r="K83" s="362">
        <f>'2ª'!$I32</f>
        <v>0</v>
      </c>
      <c r="L83" s="362" t="str">
        <f ca="1">'2ª'!$J32</f>
        <v/>
      </c>
      <c r="M83" s="362"/>
      <c r="N83" s="362" t="str">
        <f ca="1">'2ª'!$K32</f>
        <v/>
      </c>
      <c r="O83" s="362"/>
      <c r="P83" s="253" t="s">
        <v>110</v>
      </c>
      <c r="Q83" s="415" t="s">
        <v>249</v>
      </c>
      <c r="R83" s="383" t="str">
        <f>'2ª'!L32</f>
        <v>Não</v>
      </c>
      <c r="S83" s="383" t="str">
        <f>'2ª'!M32</f>
        <v>Eliane</v>
      </c>
      <c r="T83" s="383" t="str">
        <f>'2ª'!N32</f>
        <v>-</v>
      </c>
      <c r="U83" s="383" t="str">
        <f>'2ª'!O32</f>
        <v>-</v>
      </c>
      <c r="V83" s="383" t="str">
        <f>'2ª'!P32</f>
        <v>-</v>
      </c>
      <c r="W83" s="383" t="str">
        <f>'2ª'!Q32</f>
        <v>-</v>
      </c>
      <c r="X83" s="383" t="str">
        <f>'2ª'!R32</f>
        <v>-</v>
      </c>
      <c r="Y83" s="383" t="str">
        <f>'2ª'!S32</f>
        <v>-</v>
      </c>
      <c r="Z83" s="384">
        <f>'2ª'!T32</f>
        <v>0</v>
      </c>
      <c r="AA83" s="384">
        <f>'2ª'!U32</f>
        <v>0</v>
      </c>
      <c r="AB83" s="385" t="s">
        <v>321</v>
      </c>
      <c r="AC83" s="385"/>
      <c r="AD83" s="435" t="s">
        <v>466</v>
      </c>
    </row>
    <row r="84" spans="1:30" ht="15.75" x14ac:dyDescent="0.25">
      <c r="A84" s="416" t="str">
        <f>RIGHT('[1]2ª'!$A$5:$D$5,12)</f>
        <v>2ª SÉRIE E.F</v>
      </c>
      <c r="B84" s="451">
        <v>28</v>
      </c>
      <c r="C84" s="248">
        <f>'2ª'!$B33</f>
        <v>0</v>
      </c>
      <c r="D84" s="362">
        <f>'2ª'!$C33</f>
        <v>0</v>
      </c>
      <c r="E84" s="249">
        <f>'2ª'!$D33</f>
        <v>0</v>
      </c>
      <c r="F84" s="249">
        <f>'2ª'!$E33</f>
        <v>0</v>
      </c>
      <c r="G84" s="250">
        <f>'2ª'!$F33</f>
        <v>0</v>
      </c>
      <c r="H84" s="362">
        <f>'2ª'!$G33</f>
        <v>0</v>
      </c>
      <c r="I84" s="362">
        <f>'2ª'!$H33</f>
        <v>0</v>
      </c>
      <c r="J84" s="362"/>
      <c r="K84" s="362">
        <f>'2ª'!$I33</f>
        <v>0</v>
      </c>
      <c r="L84" s="362">
        <f>'2ª'!$J33</f>
        <v>0</v>
      </c>
      <c r="M84" s="362"/>
      <c r="N84" s="362">
        <f>'2ª'!$K33</f>
        <v>0</v>
      </c>
      <c r="O84" s="362"/>
      <c r="P84" s="253" t="s">
        <v>110</v>
      </c>
      <c r="Q84" s="415" t="s">
        <v>249</v>
      </c>
      <c r="R84" s="383">
        <f>'2ª'!L33</f>
        <v>0</v>
      </c>
      <c r="S84" s="383">
        <f>'2ª'!M33</f>
        <v>0</v>
      </c>
      <c r="T84" s="383">
        <f>'2ª'!N33</f>
        <v>0</v>
      </c>
      <c r="U84" s="383">
        <f>'2ª'!O33</f>
        <v>0</v>
      </c>
      <c r="V84" s="383">
        <f>'2ª'!P33</f>
        <v>0</v>
      </c>
      <c r="W84" s="383">
        <f>'2ª'!Q33</f>
        <v>0</v>
      </c>
      <c r="X84" s="383">
        <f>'2ª'!R33</f>
        <v>0</v>
      </c>
      <c r="Y84" s="383">
        <f>'2ª'!S33</f>
        <v>0</v>
      </c>
      <c r="Z84" s="384">
        <f>'2ª'!T33</f>
        <v>0</v>
      </c>
      <c r="AA84" s="384">
        <f>'2ª'!U33</f>
        <v>0</v>
      </c>
      <c r="AB84" s="385" t="s">
        <v>321</v>
      </c>
      <c r="AC84" s="385"/>
      <c r="AD84" s="435" t="s">
        <v>466</v>
      </c>
    </row>
    <row r="85" spans="1:30" ht="15.75" x14ac:dyDescent="0.25">
      <c r="A85" s="416" t="str">
        <f>RIGHT('[1]2ª'!$A$5:$D$5,12)</f>
        <v>2ª SÉRIE E.F</v>
      </c>
      <c r="B85" s="451">
        <v>29</v>
      </c>
      <c r="C85" s="248">
        <f>'2ª'!$B34</f>
        <v>0</v>
      </c>
      <c r="D85" s="362">
        <f>'2ª'!$C34</f>
        <v>0</v>
      </c>
      <c r="E85" s="249">
        <f>'2ª'!$D34</f>
        <v>0</v>
      </c>
      <c r="F85" s="249">
        <f>'2ª'!$E34</f>
        <v>0</v>
      </c>
      <c r="G85" s="250">
        <f>'2ª'!$F34</f>
        <v>0</v>
      </c>
      <c r="H85" s="362">
        <f>'2ª'!$G34</f>
        <v>0</v>
      </c>
      <c r="I85" s="362">
        <f>'2ª'!$H34</f>
        <v>0</v>
      </c>
      <c r="J85" s="362"/>
      <c r="K85" s="362">
        <f>'2ª'!$I34</f>
        <v>0</v>
      </c>
      <c r="L85" s="362">
        <f>'2ª'!$J34</f>
        <v>0</v>
      </c>
      <c r="M85" s="362"/>
      <c r="N85" s="362">
        <f>'2ª'!$K34</f>
        <v>0</v>
      </c>
      <c r="O85" s="362"/>
      <c r="P85" s="253" t="s">
        <v>110</v>
      </c>
      <c r="Q85" s="415" t="s">
        <v>249</v>
      </c>
      <c r="R85" s="383">
        <f>'2ª'!L34</f>
        <v>0</v>
      </c>
      <c r="S85" s="383">
        <f>'2ª'!M34</f>
        <v>0</v>
      </c>
      <c r="T85" s="383">
        <f>'2ª'!N34</f>
        <v>0</v>
      </c>
      <c r="U85" s="383">
        <f>'2ª'!O34</f>
        <v>0</v>
      </c>
      <c r="V85" s="383">
        <f>'2ª'!P34</f>
        <v>0</v>
      </c>
      <c r="W85" s="383">
        <f>'2ª'!Q34</f>
        <v>0</v>
      </c>
      <c r="X85" s="383">
        <f>'2ª'!R34</f>
        <v>0</v>
      </c>
      <c r="Y85" s="383">
        <f>'2ª'!S34</f>
        <v>0</v>
      </c>
      <c r="Z85" s="384">
        <f>'2ª'!T34</f>
        <v>0</v>
      </c>
      <c r="AA85" s="384">
        <f>'2ª'!U34</f>
        <v>0</v>
      </c>
      <c r="AB85" s="385" t="s">
        <v>321</v>
      </c>
      <c r="AC85" s="385"/>
      <c r="AD85" s="435" t="s">
        <v>466</v>
      </c>
    </row>
    <row r="86" spans="1:30" ht="15.75" x14ac:dyDescent="0.25">
      <c r="A86" s="416" t="str">
        <f>RIGHT('[1]2ª'!$A$5:$D$5,12)</f>
        <v>2ª SÉRIE E.F</v>
      </c>
      <c r="B86" s="451">
        <v>30</v>
      </c>
      <c r="C86" s="248">
        <f>'2ª'!$B35</f>
        <v>0</v>
      </c>
      <c r="D86" s="362">
        <f>'2ª'!$C35</f>
        <v>0</v>
      </c>
      <c r="E86" s="249">
        <f>'2ª'!$D35</f>
        <v>0</v>
      </c>
      <c r="F86" s="249">
        <f>'2ª'!$E35</f>
        <v>0</v>
      </c>
      <c r="G86" s="250">
        <f>'2ª'!$F35</f>
        <v>0</v>
      </c>
      <c r="H86" s="362">
        <f>'2ª'!$G35</f>
        <v>0</v>
      </c>
      <c r="I86" s="362">
        <f>'2ª'!$H35</f>
        <v>0</v>
      </c>
      <c r="J86" s="362"/>
      <c r="K86" s="362">
        <f>'2ª'!$I35</f>
        <v>0</v>
      </c>
      <c r="L86" s="362">
        <f>'2ª'!$J35</f>
        <v>0</v>
      </c>
      <c r="M86" s="362"/>
      <c r="N86" s="362">
        <f>'2ª'!$K35</f>
        <v>0</v>
      </c>
      <c r="O86" s="362"/>
      <c r="P86" s="253" t="s">
        <v>110</v>
      </c>
      <c r="Q86" s="415" t="s">
        <v>249</v>
      </c>
      <c r="R86" s="383">
        <f>'2ª'!L35</f>
        <v>0</v>
      </c>
      <c r="S86" s="383">
        <f>'2ª'!M35</f>
        <v>0</v>
      </c>
      <c r="T86" s="383">
        <f>'2ª'!N35</f>
        <v>0</v>
      </c>
      <c r="U86" s="383">
        <f>'2ª'!O35</f>
        <v>0</v>
      </c>
      <c r="V86" s="383">
        <f>'2ª'!P35</f>
        <v>0</v>
      </c>
      <c r="W86" s="383">
        <f>'2ª'!Q35</f>
        <v>0</v>
      </c>
      <c r="X86" s="383">
        <f>'2ª'!R35</f>
        <v>0</v>
      </c>
      <c r="Y86" s="383">
        <f>'2ª'!S35</f>
        <v>0</v>
      </c>
      <c r="Z86" s="384">
        <f>'2ª'!T35</f>
        <v>0</v>
      </c>
      <c r="AA86" s="384">
        <f>'2ª'!U35</f>
        <v>0</v>
      </c>
      <c r="AB86" s="385" t="s">
        <v>321</v>
      </c>
      <c r="AC86" s="385"/>
      <c r="AD86" s="435" t="s">
        <v>466</v>
      </c>
    </row>
    <row r="87" spans="1:30" ht="15.75" x14ac:dyDescent="0.25">
      <c r="A87" s="416" t="str">
        <f>RIGHT('[1]2ª'!$A$5:$D$5,12)</f>
        <v>2ª SÉRIE E.F</v>
      </c>
      <c r="B87" s="451">
        <v>31</v>
      </c>
      <c r="C87" s="248">
        <f>'2ª'!$B36</f>
        <v>0</v>
      </c>
      <c r="D87" s="362">
        <f>'2ª'!$C36</f>
        <v>0</v>
      </c>
      <c r="E87" s="249">
        <f>'2ª'!$D36</f>
        <v>0</v>
      </c>
      <c r="F87" s="249">
        <f>'2ª'!$E36</f>
        <v>0</v>
      </c>
      <c r="G87" s="250">
        <f>'2ª'!$F36</f>
        <v>0</v>
      </c>
      <c r="H87" s="362">
        <f>'2ª'!$G36</f>
        <v>0</v>
      </c>
      <c r="I87" s="362">
        <f>'2ª'!$H36</f>
        <v>0</v>
      </c>
      <c r="J87" s="362"/>
      <c r="K87" s="362">
        <f>'2ª'!$I36</f>
        <v>0</v>
      </c>
      <c r="L87" s="362">
        <f>'2ª'!$J36</f>
        <v>0</v>
      </c>
      <c r="M87" s="362"/>
      <c r="N87" s="362">
        <f>'2ª'!$K36</f>
        <v>0</v>
      </c>
      <c r="O87" s="362"/>
      <c r="P87" s="253" t="s">
        <v>110</v>
      </c>
      <c r="Q87" s="415" t="s">
        <v>249</v>
      </c>
      <c r="R87" s="383">
        <f>'2ª'!L36</f>
        <v>0</v>
      </c>
      <c r="S87" s="383">
        <f>'2ª'!M36</f>
        <v>0</v>
      </c>
      <c r="T87" s="383">
        <f>'2ª'!N36</f>
        <v>0</v>
      </c>
      <c r="U87" s="383">
        <f>'2ª'!O36</f>
        <v>0</v>
      </c>
      <c r="V87" s="383">
        <f>'2ª'!P36</f>
        <v>0</v>
      </c>
      <c r="W87" s="383">
        <f>'2ª'!Q36</f>
        <v>0</v>
      </c>
      <c r="X87" s="383">
        <f>'2ª'!R36</f>
        <v>0</v>
      </c>
      <c r="Y87" s="383">
        <f>'2ª'!S36</f>
        <v>0</v>
      </c>
      <c r="Z87" s="384">
        <f>'2ª'!T36</f>
        <v>0</v>
      </c>
      <c r="AA87" s="384">
        <f>'2ª'!U36</f>
        <v>0</v>
      </c>
      <c r="AB87" s="385" t="s">
        <v>321</v>
      </c>
      <c r="AC87" s="385"/>
      <c r="AD87" s="435" t="s">
        <v>466</v>
      </c>
    </row>
    <row r="88" spans="1:30" ht="15.75" x14ac:dyDescent="0.25">
      <c r="A88" s="416" t="str">
        <f>RIGHT('[1]2ª'!$A$5:$D$5,12)</f>
        <v>2ª SÉRIE E.F</v>
      </c>
      <c r="B88" s="451">
        <v>32</v>
      </c>
      <c r="C88" s="248">
        <f>'2ª'!$B37</f>
        <v>0</v>
      </c>
      <c r="D88" s="362">
        <f>'2ª'!$C37</f>
        <v>0</v>
      </c>
      <c r="E88" s="249">
        <f>'2ª'!$D37</f>
        <v>0</v>
      </c>
      <c r="F88" s="249">
        <f>'2ª'!$E37</f>
        <v>0</v>
      </c>
      <c r="G88" s="250">
        <f>'2ª'!$F37</f>
        <v>0</v>
      </c>
      <c r="H88" s="362">
        <f>'2ª'!$G37</f>
        <v>0</v>
      </c>
      <c r="I88" s="362">
        <f>'2ª'!$H37</f>
        <v>0</v>
      </c>
      <c r="J88" s="362"/>
      <c r="K88" s="362">
        <f>'2ª'!$I37</f>
        <v>0</v>
      </c>
      <c r="L88" s="362">
        <f>'2ª'!$J37</f>
        <v>0</v>
      </c>
      <c r="M88" s="362"/>
      <c r="N88" s="362">
        <f>'2ª'!$K37</f>
        <v>0</v>
      </c>
      <c r="O88" s="362"/>
      <c r="P88" s="253" t="s">
        <v>110</v>
      </c>
      <c r="Q88" s="415" t="s">
        <v>249</v>
      </c>
      <c r="R88" s="383">
        <f>'2ª'!L37</f>
        <v>0</v>
      </c>
      <c r="S88" s="383">
        <f>'2ª'!M37</f>
        <v>0</v>
      </c>
      <c r="T88" s="383">
        <f>'2ª'!N37</f>
        <v>0</v>
      </c>
      <c r="U88" s="383">
        <f>'2ª'!O37</f>
        <v>0</v>
      </c>
      <c r="V88" s="383">
        <f>'2ª'!P37</f>
        <v>0</v>
      </c>
      <c r="W88" s="383">
        <f>'2ª'!Q37</f>
        <v>0</v>
      </c>
      <c r="X88" s="383">
        <f>'2ª'!R37</f>
        <v>0</v>
      </c>
      <c r="Y88" s="383">
        <f>'2ª'!S37</f>
        <v>0</v>
      </c>
      <c r="Z88" s="384">
        <f>'2ª'!T37</f>
        <v>0</v>
      </c>
      <c r="AA88" s="384">
        <f>'2ª'!U37</f>
        <v>0</v>
      </c>
      <c r="AB88" s="385" t="s">
        <v>321</v>
      </c>
      <c r="AC88" s="385"/>
      <c r="AD88" s="435" t="s">
        <v>466</v>
      </c>
    </row>
    <row r="89" spans="1:30" ht="15.75" x14ac:dyDescent="0.25">
      <c r="A89" s="416" t="str">
        <f>RIGHT('[1]2ª'!$A$5:$D$5,12)</f>
        <v>2ª SÉRIE E.F</v>
      </c>
      <c r="B89" s="451">
        <v>33</v>
      </c>
      <c r="C89" s="248">
        <f>'2ª'!$B38</f>
        <v>0</v>
      </c>
      <c r="D89" s="362">
        <f>'2ª'!$C38</f>
        <v>0</v>
      </c>
      <c r="E89" s="249">
        <f>'2ª'!$D38</f>
        <v>0</v>
      </c>
      <c r="F89" s="249">
        <f>'2ª'!$E38</f>
        <v>0</v>
      </c>
      <c r="G89" s="250">
        <f>'2ª'!$F38</f>
        <v>0</v>
      </c>
      <c r="H89" s="362">
        <f>'2ª'!$G38</f>
        <v>0</v>
      </c>
      <c r="I89" s="362">
        <f>'2ª'!$H38</f>
        <v>0</v>
      </c>
      <c r="J89" s="362"/>
      <c r="K89" s="362">
        <f>'2ª'!$I38</f>
        <v>0</v>
      </c>
      <c r="L89" s="362">
        <f>'2ª'!$J38</f>
        <v>0</v>
      </c>
      <c r="M89" s="362"/>
      <c r="N89" s="362">
        <f>'2ª'!$K38</f>
        <v>0</v>
      </c>
      <c r="O89" s="362"/>
      <c r="P89" s="253" t="s">
        <v>110</v>
      </c>
      <c r="Q89" s="415" t="s">
        <v>249</v>
      </c>
      <c r="R89" s="383">
        <f>'2ª'!L38</f>
        <v>0</v>
      </c>
      <c r="S89" s="383">
        <f>'2ª'!M38</f>
        <v>0</v>
      </c>
      <c r="T89" s="383">
        <f>'2ª'!N38</f>
        <v>0</v>
      </c>
      <c r="U89" s="383">
        <f>'2ª'!O38</f>
        <v>0</v>
      </c>
      <c r="V89" s="383">
        <f>'2ª'!P38</f>
        <v>0</v>
      </c>
      <c r="W89" s="383">
        <f>'2ª'!Q38</f>
        <v>0</v>
      </c>
      <c r="X89" s="383">
        <f>'2ª'!R38</f>
        <v>0</v>
      </c>
      <c r="Y89" s="383">
        <f>'2ª'!S38</f>
        <v>0</v>
      </c>
      <c r="Z89" s="384">
        <f>'2ª'!T38</f>
        <v>0</v>
      </c>
      <c r="AA89" s="384">
        <f>'2ª'!U38</f>
        <v>0</v>
      </c>
      <c r="AB89" s="385" t="s">
        <v>321</v>
      </c>
      <c r="AC89" s="385"/>
      <c r="AD89" s="435" t="s">
        <v>466</v>
      </c>
    </row>
    <row r="90" spans="1:30" ht="15.75" x14ac:dyDescent="0.25">
      <c r="A90" s="416" t="str">
        <f>RIGHT('[1]2ª'!$A$5:$D$5,12)</f>
        <v>2ª SÉRIE E.F</v>
      </c>
      <c r="B90" s="451">
        <v>34</v>
      </c>
      <c r="C90" s="248">
        <f>'2ª'!$B39</f>
        <v>0</v>
      </c>
      <c r="D90" s="362">
        <f>'2ª'!$C39</f>
        <v>0</v>
      </c>
      <c r="E90" s="249">
        <f>'2ª'!$D39</f>
        <v>0</v>
      </c>
      <c r="F90" s="249">
        <f>'2ª'!$E39</f>
        <v>0</v>
      </c>
      <c r="G90" s="250">
        <f>'2ª'!$F39</f>
        <v>0</v>
      </c>
      <c r="H90" s="362">
        <f>'2ª'!$G39</f>
        <v>0</v>
      </c>
      <c r="I90" s="362">
        <f>'2ª'!$H39</f>
        <v>0</v>
      </c>
      <c r="J90" s="362"/>
      <c r="K90" s="362">
        <f>'2ª'!$I39</f>
        <v>0</v>
      </c>
      <c r="L90" s="362">
        <f>'2ª'!$J39</f>
        <v>0</v>
      </c>
      <c r="M90" s="362"/>
      <c r="N90" s="362">
        <f>'2ª'!$K39</f>
        <v>0</v>
      </c>
      <c r="O90" s="362"/>
      <c r="P90" s="253" t="s">
        <v>110</v>
      </c>
      <c r="Q90" s="415" t="s">
        <v>249</v>
      </c>
      <c r="R90" s="383">
        <f>'2ª'!L39</f>
        <v>0</v>
      </c>
      <c r="S90" s="383">
        <f>'2ª'!M39</f>
        <v>0</v>
      </c>
      <c r="T90" s="383">
        <f>'2ª'!N39</f>
        <v>0</v>
      </c>
      <c r="U90" s="383">
        <f>'2ª'!O39</f>
        <v>0</v>
      </c>
      <c r="V90" s="383">
        <f>'2ª'!P39</f>
        <v>0</v>
      </c>
      <c r="W90" s="383">
        <f>'2ª'!Q39</f>
        <v>0</v>
      </c>
      <c r="X90" s="383">
        <f>'2ª'!R39</f>
        <v>0</v>
      </c>
      <c r="Y90" s="383">
        <f>'2ª'!S39</f>
        <v>0</v>
      </c>
      <c r="Z90" s="384">
        <f>'2ª'!T39</f>
        <v>0</v>
      </c>
      <c r="AA90" s="384">
        <f>'2ª'!U39</f>
        <v>0</v>
      </c>
      <c r="AB90" s="385" t="s">
        <v>321</v>
      </c>
      <c r="AC90" s="385"/>
      <c r="AD90" s="435" t="s">
        <v>466</v>
      </c>
    </row>
    <row r="91" spans="1:30" ht="15.75" x14ac:dyDescent="0.25">
      <c r="A91" s="416" t="str">
        <f>RIGHT('[1]2ª'!$A$5:$D$5,12)</f>
        <v>2ª SÉRIE E.F</v>
      </c>
      <c r="B91" s="451">
        <v>35</v>
      </c>
      <c r="C91" s="248">
        <f>'2ª'!$B40</f>
        <v>0</v>
      </c>
      <c r="D91" s="362">
        <f>'2ª'!$C40</f>
        <v>0</v>
      </c>
      <c r="E91" s="249">
        <f>'2ª'!$D40</f>
        <v>0</v>
      </c>
      <c r="F91" s="249">
        <f>'2ª'!$E40</f>
        <v>0</v>
      </c>
      <c r="G91" s="250">
        <f>'2ª'!$F40</f>
        <v>0</v>
      </c>
      <c r="H91" s="362">
        <f>'2ª'!$G40</f>
        <v>0</v>
      </c>
      <c r="I91" s="362">
        <f>'2ª'!$H40</f>
        <v>0</v>
      </c>
      <c r="J91" s="362"/>
      <c r="K91" s="362">
        <f>'2ª'!$I40</f>
        <v>0</v>
      </c>
      <c r="L91" s="362">
        <f>'2ª'!$J40</f>
        <v>0</v>
      </c>
      <c r="M91" s="362"/>
      <c r="N91" s="362">
        <f>'2ª'!$K40</f>
        <v>0</v>
      </c>
      <c r="O91" s="362"/>
      <c r="P91" s="253" t="s">
        <v>110</v>
      </c>
      <c r="Q91" s="415" t="s">
        <v>249</v>
      </c>
      <c r="R91" s="383">
        <f>'2ª'!L40</f>
        <v>0</v>
      </c>
      <c r="S91" s="383">
        <f>'2ª'!M40</f>
        <v>0</v>
      </c>
      <c r="T91" s="383">
        <f>'2ª'!N40</f>
        <v>0</v>
      </c>
      <c r="U91" s="383">
        <f>'2ª'!O40</f>
        <v>0</v>
      </c>
      <c r="V91" s="383">
        <f>'2ª'!P40</f>
        <v>0</v>
      </c>
      <c r="W91" s="383">
        <f>'2ª'!Q40</f>
        <v>0</v>
      </c>
      <c r="X91" s="383">
        <f>'2ª'!R40</f>
        <v>0</v>
      </c>
      <c r="Y91" s="383">
        <f>'2ª'!S40</f>
        <v>0</v>
      </c>
      <c r="Z91" s="384">
        <f>'2ª'!T40</f>
        <v>0</v>
      </c>
      <c r="AA91" s="384">
        <f>'2ª'!U40</f>
        <v>0</v>
      </c>
      <c r="AB91" s="385" t="s">
        <v>321</v>
      </c>
      <c r="AC91" s="385"/>
      <c r="AD91" s="435" t="s">
        <v>466</v>
      </c>
    </row>
    <row r="92" spans="1:30" ht="15.75" x14ac:dyDescent="0.25">
      <c r="A92" s="416" t="str">
        <f>RIGHT('[1]2ª'!$A$5:$D$5,12)</f>
        <v>2ª SÉRIE E.F</v>
      </c>
      <c r="B92" s="451">
        <v>36</v>
      </c>
      <c r="C92" s="248">
        <f>'2ª'!$B41</f>
        <v>0</v>
      </c>
      <c r="D92" s="362">
        <f>'2ª'!$C41</f>
        <v>0</v>
      </c>
      <c r="E92" s="249">
        <f>'2ª'!$D41</f>
        <v>0</v>
      </c>
      <c r="F92" s="249">
        <f>'2ª'!$E41</f>
        <v>0</v>
      </c>
      <c r="G92" s="250">
        <f>'2ª'!$F41</f>
        <v>0</v>
      </c>
      <c r="H92" s="362">
        <f>'2ª'!$G41</f>
        <v>0</v>
      </c>
      <c r="I92" s="362">
        <f>'2ª'!$H41</f>
        <v>0</v>
      </c>
      <c r="J92" s="362"/>
      <c r="K92" s="362">
        <f>'2ª'!$I41</f>
        <v>0</v>
      </c>
      <c r="L92" s="362">
        <f>'2ª'!$J41</f>
        <v>0</v>
      </c>
      <c r="M92" s="362"/>
      <c r="N92" s="362">
        <f>'2ª'!$K41</f>
        <v>0</v>
      </c>
      <c r="O92" s="362"/>
      <c r="P92" s="253" t="s">
        <v>110</v>
      </c>
      <c r="Q92" s="415" t="s">
        <v>249</v>
      </c>
      <c r="R92" s="383">
        <f>'2ª'!L41</f>
        <v>0</v>
      </c>
      <c r="S92" s="383">
        <f>'2ª'!M41</f>
        <v>0</v>
      </c>
      <c r="T92" s="383">
        <f>'2ª'!N41</f>
        <v>0</v>
      </c>
      <c r="U92" s="383">
        <f>'2ª'!O41</f>
        <v>0</v>
      </c>
      <c r="V92" s="383">
        <f>'2ª'!P41</f>
        <v>0</v>
      </c>
      <c r="W92" s="383">
        <f>'2ª'!Q41</f>
        <v>0</v>
      </c>
      <c r="X92" s="383">
        <f>'2ª'!R41</f>
        <v>0</v>
      </c>
      <c r="Y92" s="383">
        <f>'2ª'!S41</f>
        <v>0</v>
      </c>
      <c r="Z92" s="384">
        <f>'2ª'!T41</f>
        <v>0</v>
      </c>
      <c r="AA92" s="384">
        <f>'2ª'!U41</f>
        <v>0</v>
      </c>
      <c r="AB92" s="385" t="s">
        <v>321</v>
      </c>
      <c r="AC92" s="385"/>
      <c r="AD92" s="435" t="s">
        <v>466</v>
      </c>
    </row>
    <row r="93" spans="1:30" ht="15.75" x14ac:dyDescent="0.25">
      <c r="A93" s="416" t="str">
        <f>RIGHT('[1]2ª'!$A$5:$D$5,12)</f>
        <v>2ª SÉRIE E.F</v>
      </c>
      <c r="B93" s="451">
        <v>37</v>
      </c>
      <c r="C93" s="248">
        <f>'2ª'!$B42</f>
        <v>0</v>
      </c>
      <c r="D93" s="362">
        <f>'2ª'!$C42</f>
        <v>0</v>
      </c>
      <c r="E93" s="249">
        <f>'2ª'!$D42</f>
        <v>0</v>
      </c>
      <c r="F93" s="249">
        <f>'2ª'!$E42</f>
        <v>0</v>
      </c>
      <c r="G93" s="250">
        <f>'2ª'!$F42</f>
        <v>0</v>
      </c>
      <c r="H93" s="362">
        <f>'2ª'!$G42</f>
        <v>0</v>
      </c>
      <c r="I93" s="362">
        <f>'2ª'!$H42</f>
        <v>0</v>
      </c>
      <c r="J93" s="362"/>
      <c r="K93" s="362">
        <f>'2ª'!$I42</f>
        <v>0</v>
      </c>
      <c r="L93" s="362">
        <f>'2ª'!$J42</f>
        <v>0</v>
      </c>
      <c r="M93" s="362"/>
      <c r="N93" s="362">
        <f>'2ª'!$K42</f>
        <v>0</v>
      </c>
      <c r="O93" s="362"/>
      <c r="P93" s="253" t="s">
        <v>110</v>
      </c>
      <c r="Q93" s="415" t="s">
        <v>249</v>
      </c>
      <c r="R93" s="383">
        <f>'2ª'!L42</f>
        <v>0</v>
      </c>
      <c r="S93" s="383">
        <f>'2ª'!M42</f>
        <v>0</v>
      </c>
      <c r="T93" s="383">
        <f>'2ª'!N42</f>
        <v>0</v>
      </c>
      <c r="U93" s="383">
        <f>'2ª'!O42</f>
        <v>0</v>
      </c>
      <c r="V93" s="383">
        <f>'2ª'!P42</f>
        <v>0</v>
      </c>
      <c r="W93" s="383">
        <f>'2ª'!Q42</f>
        <v>0</v>
      </c>
      <c r="X93" s="383">
        <f>'2ª'!R42</f>
        <v>0</v>
      </c>
      <c r="Y93" s="383">
        <f>'2ª'!S42</f>
        <v>0</v>
      </c>
      <c r="Z93" s="384">
        <f>'2ª'!T42</f>
        <v>0</v>
      </c>
      <c r="AA93" s="384">
        <f>'2ª'!U42</f>
        <v>0</v>
      </c>
      <c r="AB93" s="385" t="s">
        <v>321</v>
      </c>
      <c r="AC93" s="385"/>
      <c r="AD93" s="435" t="s">
        <v>466</v>
      </c>
    </row>
    <row r="94" spans="1:30" ht="15.75" x14ac:dyDescent="0.25">
      <c r="A94" s="416" t="str">
        <f>RIGHT('[1]2ª'!$A$5:$D$5,12)</f>
        <v>2ª SÉRIE E.F</v>
      </c>
      <c r="B94" s="451">
        <v>38</v>
      </c>
      <c r="C94" s="248">
        <f>'2ª'!$B43</f>
        <v>0</v>
      </c>
      <c r="D94" s="362">
        <f>'2ª'!$C43</f>
        <v>0</v>
      </c>
      <c r="E94" s="249">
        <f>'2ª'!$D43</f>
        <v>0</v>
      </c>
      <c r="F94" s="249">
        <f>'2ª'!$E43</f>
        <v>0</v>
      </c>
      <c r="G94" s="250">
        <f>'2ª'!$F43</f>
        <v>0</v>
      </c>
      <c r="H94" s="362">
        <f>'2ª'!$G43</f>
        <v>0</v>
      </c>
      <c r="I94" s="362">
        <f>'2ª'!$H43</f>
        <v>0</v>
      </c>
      <c r="J94" s="362"/>
      <c r="K94" s="362">
        <f>'2ª'!$I43</f>
        <v>0</v>
      </c>
      <c r="L94" s="362">
        <f>'2ª'!$J43</f>
        <v>0</v>
      </c>
      <c r="M94" s="362"/>
      <c r="N94" s="362">
        <f>'2ª'!$K43</f>
        <v>0</v>
      </c>
      <c r="O94" s="362"/>
      <c r="P94" s="253" t="s">
        <v>110</v>
      </c>
      <c r="Q94" s="415" t="s">
        <v>249</v>
      </c>
      <c r="R94" s="383">
        <f>'2ª'!L43</f>
        <v>0</v>
      </c>
      <c r="S94" s="383">
        <f>'2ª'!M43</f>
        <v>0</v>
      </c>
      <c r="T94" s="383">
        <f>'2ª'!N43</f>
        <v>0</v>
      </c>
      <c r="U94" s="383">
        <f>'2ª'!O43</f>
        <v>0</v>
      </c>
      <c r="V94" s="383">
        <f>'2ª'!P43</f>
        <v>0</v>
      </c>
      <c r="W94" s="383">
        <f>'2ª'!Q43</f>
        <v>0</v>
      </c>
      <c r="X94" s="383">
        <f>'2ª'!R43</f>
        <v>0</v>
      </c>
      <c r="Y94" s="383">
        <f>'2ª'!S43</f>
        <v>0</v>
      </c>
      <c r="Z94" s="384">
        <f>'2ª'!T43</f>
        <v>0</v>
      </c>
      <c r="AA94" s="384">
        <f>'2ª'!U43</f>
        <v>0</v>
      </c>
      <c r="AB94" s="385" t="s">
        <v>321</v>
      </c>
      <c r="AC94" s="385"/>
      <c r="AD94" s="435" t="s">
        <v>466</v>
      </c>
    </row>
    <row r="95" spans="1:30" ht="15.75" x14ac:dyDescent="0.25">
      <c r="A95" s="416" t="str">
        <f>RIGHT('[1]2ª'!$A$5:$D$5,12)</f>
        <v>2ª SÉRIE E.F</v>
      </c>
      <c r="B95" s="451">
        <v>39</v>
      </c>
      <c r="C95" s="248">
        <f>'2ª'!$B44</f>
        <v>0</v>
      </c>
      <c r="D95" s="362">
        <f>'2ª'!$C44</f>
        <v>0</v>
      </c>
      <c r="E95" s="249">
        <f>'2ª'!$D44</f>
        <v>0</v>
      </c>
      <c r="F95" s="249">
        <f>'2ª'!$E44</f>
        <v>0</v>
      </c>
      <c r="G95" s="250">
        <f>'2ª'!$F44</f>
        <v>0</v>
      </c>
      <c r="H95" s="362">
        <f>'2ª'!$G44</f>
        <v>0</v>
      </c>
      <c r="I95" s="362">
        <f>'2ª'!$H44</f>
        <v>0</v>
      </c>
      <c r="J95" s="362"/>
      <c r="K95" s="362">
        <f>'2ª'!$I44</f>
        <v>0</v>
      </c>
      <c r="L95" s="362">
        <f>'2ª'!$J44</f>
        <v>0</v>
      </c>
      <c r="M95" s="362"/>
      <c r="N95" s="362">
        <f>'2ª'!$K44</f>
        <v>0</v>
      </c>
      <c r="O95" s="362"/>
      <c r="P95" s="253" t="s">
        <v>110</v>
      </c>
      <c r="Q95" s="415" t="s">
        <v>249</v>
      </c>
      <c r="R95" s="383">
        <f>'2ª'!L44</f>
        <v>0</v>
      </c>
      <c r="S95" s="383">
        <f>'2ª'!M44</f>
        <v>0</v>
      </c>
      <c r="T95" s="383">
        <f>'2ª'!N44</f>
        <v>0</v>
      </c>
      <c r="U95" s="383">
        <f>'2ª'!O44</f>
        <v>0</v>
      </c>
      <c r="V95" s="383">
        <f>'2ª'!P44</f>
        <v>0</v>
      </c>
      <c r="W95" s="383">
        <f>'2ª'!Q44</f>
        <v>0</v>
      </c>
      <c r="X95" s="383">
        <f>'2ª'!R44</f>
        <v>0</v>
      </c>
      <c r="Y95" s="383">
        <f>'2ª'!S44</f>
        <v>0</v>
      </c>
      <c r="Z95" s="384">
        <f>'2ª'!T44</f>
        <v>0</v>
      </c>
      <c r="AA95" s="384">
        <f>'2ª'!U44</f>
        <v>0</v>
      </c>
      <c r="AB95" s="385" t="s">
        <v>321</v>
      </c>
      <c r="AC95" s="385"/>
      <c r="AD95" s="435" t="s">
        <v>466</v>
      </c>
    </row>
    <row r="96" spans="1:30" ht="15.75" x14ac:dyDescent="0.25">
      <c r="A96" s="416" t="str">
        <f>RIGHT('[1]2ª'!$A$5:$D$5,12)</f>
        <v>2ª SÉRIE E.F</v>
      </c>
      <c r="B96" s="451">
        <v>40</v>
      </c>
      <c r="C96" s="248">
        <f>'2ª'!$B45</f>
        <v>0</v>
      </c>
      <c r="D96" s="362">
        <f>'2ª'!$C45</f>
        <v>0</v>
      </c>
      <c r="E96" s="249">
        <f>'2ª'!$D45</f>
        <v>0</v>
      </c>
      <c r="F96" s="249">
        <f>'2ª'!$E45</f>
        <v>0</v>
      </c>
      <c r="G96" s="250">
        <f>'2ª'!$F45</f>
        <v>0</v>
      </c>
      <c r="H96" s="362">
        <f>'2ª'!$G45</f>
        <v>0</v>
      </c>
      <c r="I96" s="362">
        <f>'2ª'!$H45</f>
        <v>0</v>
      </c>
      <c r="J96" s="362"/>
      <c r="K96" s="362">
        <f>'2ª'!$I45</f>
        <v>0</v>
      </c>
      <c r="L96" s="362">
        <f>'2ª'!$J45</f>
        <v>0</v>
      </c>
      <c r="M96" s="362"/>
      <c r="N96" s="362">
        <f>'2ª'!$K45</f>
        <v>0</v>
      </c>
      <c r="O96" s="362"/>
      <c r="P96" s="253" t="s">
        <v>110</v>
      </c>
      <c r="Q96" s="415" t="s">
        <v>249</v>
      </c>
      <c r="R96" s="383">
        <f>'2ª'!L45</f>
        <v>0</v>
      </c>
      <c r="S96" s="383">
        <f>'2ª'!M45</f>
        <v>0</v>
      </c>
      <c r="T96" s="383">
        <f>'2ª'!N45</f>
        <v>0</v>
      </c>
      <c r="U96" s="383">
        <f>'2ª'!O45</f>
        <v>0</v>
      </c>
      <c r="V96" s="383">
        <f>'2ª'!P45</f>
        <v>0</v>
      </c>
      <c r="W96" s="383">
        <f>'2ª'!Q45</f>
        <v>0</v>
      </c>
      <c r="X96" s="383">
        <f>'2ª'!R45</f>
        <v>0</v>
      </c>
      <c r="Y96" s="383">
        <f>'2ª'!S45</f>
        <v>0</v>
      </c>
      <c r="Z96" s="384">
        <f>'2ª'!T45</f>
        <v>0</v>
      </c>
      <c r="AA96" s="384">
        <f>'2ª'!U45</f>
        <v>0</v>
      </c>
      <c r="AB96" s="385" t="s">
        <v>321</v>
      </c>
      <c r="AC96" s="385"/>
      <c r="AD96" s="435" t="s">
        <v>466</v>
      </c>
    </row>
    <row r="97" spans="1:30" ht="15.75" x14ac:dyDescent="0.25">
      <c r="A97" s="416" t="str">
        <f>RIGHT('[1]2ª'!$A$5:$D$5,12)</f>
        <v>2ª SÉRIE E.F</v>
      </c>
      <c r="B97" s="451">
        <v>41</v>
      </c>
      <c r="C97" s="248">
        <f>'2ª'!$B46</f>
        <v>0</v>
      </c>
      <c r="D97" s="362">
        <f>'2ª'!$C46</f>
        <v>0</v>
      </c>
      <c r="E97" s="249">
        <f>'2ª'!$D46</f>
        <v>0</v>
      </c>
      <c r="F97" s="249">
        <f>'2ª'!$E46</f>
        <v>0</v>
      </c>
      <c r="G97" s="250">
        <f>'2ª'!$F46</f>
        <v>0</v>
      </c>
      <c r="H97" s="362">
        <f>'2ª'!$G46</f>
        <v>0</v>
      </c>
      <c r="I97" s="362">
        <f>'2ª'!$H46</f>
        <v>0</v>
      </c>
      <c r="J97" s="362"/>
      <c r="K97" s="362">
        <f>'2ª'!$I46</f>
        <v>0</v>
      </c>
      <c r="L97" s="362">
        <f>'2ª'!$J46</f>
        <v>0</v>
      </c>
      <c r="M97" s="362"/>
      <c r="N97" s="362">
        <f>'2ª'!$K46</f>
        <v>0</v>
      </c>
      <c r="O97" s="362"/>
      <c r="P97" s="253" t="s">
        <v>110</v>
      </c>
      <c r="Q97" s="415" t="s">
        <v>249</v>
      </c>
      <c r="R97" s="383">
        <f>'2ª'!L46</f>
        <v>0</v>
      </c>
      <c r="S97" s="383">
        <f>'2ª'!M46</f>
        <v>0</v>
      </c>
      <c r="T97" s="383">
        <f>'2ª'!N46</f>
        <v>0</v>
      </c>
      <c r="U97" s="383">
        <f>'2ª'!O46</f>
        <v>0</v>
      </c>
      <c r="V97" s="383">
        <f>'2ª'!P46</f>
        <v>0</v>
      </c>
      <c r="W97" s="383">
        <f>'2ª'!Q46</f>
        <v>0</v>
      </c>
      <c r="X97" s="383">
        <f>'2ª'!R46</f>
        <v>0</v>
      </c>
      <c r="Y97" s="383">
        <f>'2ª'!S46</f>
        <v>0</v>
      </c>
      <c r="Z97" s="384">
        <f>'2ª'!T46</f>
        <v>0</v>
      </c>
      <c r="AA97" s="384">
        <f>'2ª'!U46</f>
        <v>0</v>
      </c>
      <c r="AB97" s="385" t="s">
        <v>321</v>
      </c>
      <c r="AC97" s="385"/>
      <c r="AD97" s="435" t="s">
        <v>466</v>
      </c>
    </row>
    <row r="98" spans="1:30" ht="15.75" x14ac:dyDescent="0.25">
      <c r="A98" s="416" t="str">
        <f>RIGHT('[1]2ª'!$A$5:$D$5,12)</f>
        <v>2ª SÉRIE E.F</v>
      </c>
      <c r="B98" s="451">
        <v>42</v>
      </c>
      <c r="C98" s="248">
        <f>'2ª'!$B47</f>
        <v>0</v>
      </c>
      <c r="D98" s="362">
        <f>'2ª'!$C47</f>
        <v>0</v>
      </c>
      <c r="E98" s="249">
        <f>'2ª'!$D47</f>
        <v>0</v>
      </c>
      <c r="F98" s="249">
        <f>'2ª'!$E47</f>
        <v>0</v>
      </c>
      <c r="G98" s="250">
        <f>'2ª'!$F47</f>
        <v>0</v>
      </c>
      <c r="H98" s="362">
        <f>'2ª'!$G47</f>
        <v>0</v>
      </c>
      <c r="I98" s="362">
        <f>'2ª'!$H47</f>
        <v>0</v>
      </c>
      <c r="J98" s="362"/>
      <c r="K98" s="362">
        <f>'2ª'!$I47</f>
        <v>0</v>
      </c>
      <c r="L98" s="362">
        <f>'2ª'!$J47</f>
        <v>0</v>
      </c>
      <c r="M98" s="362"/>
      <c r="N98" s="362">
        <f>'2ª'!$K47</f>
        <v>0</v>
      </c>
      <c r="O98" s="362"/>
      <c r="P98" s="253" t="s">
        <v>110</v>
      </c>
      <c r="Q98" s="415" t="s">
        <v>249</v>
      </c>
      <c r="R98" s="383">
        <f>'2ª'!L47</f>
        <v>0</v>
      </c>
      <c r="S98" s="383">
        <f>'2ª'!M47</f>
        <v>0</v>
      </c>
      <c r="T98" s="383">
        <f>'2ª'!N47</f>
        <v>0</v>
      </c>
      <c r="U98" s="383">
        <f>'2ª'!O47</f>
        <v>0</v>
      </c>
      <c r="V98" s="383">
        <f>'2ª'!P47</f>
        <v>0</v>
      </c>
      <c r="W98" s="383">
        <f>'2ª'!Q47</f>
        <v>0</v>
      </c>
      <c r="X98" s="383">
        <f>'2ª'!R47</f>
        <v>0</v>
      </c>
      <c r="Y98" s="383">
        <f>'2ª'!S47</f>
        <v>0</v>
      </c>
      <c r="Z98" s="384">
        <f>'2ª'!T47</f>
        <v>0</v>
      </c>
      <c r="AA98" s="384">
        <f>'2ª'!U47</f>
        <v>0</v>
      </c>
      <c r="AB98" s="385" t="s">
        <v>321</v>
      </c>
      <c r="AC98" s="385"/>
      <c r="AD98" s="435" t="s">
        <v>466</v>
      </c>
    </row>
    <row r="99" spans="1:30" ht="15.75" x14ac:dyDescent="0.25">
      <c r="A99" s="416" t="str">
        <f>RIGHT('[1]2ª'!$A$5:$D$5,12)</f>
        <v>2ª SÉRIE E.F</v>
      </c>
      <c r="B99" s="451">
        <v>43</v>
      </c>
      <c r="C99" s="248">
        <f>'2ª'!$B48</f>
        <v>0</v>
      </c>
      <c r="D99" s="362">
        <f>'2ª'!$C48</f>
        <v>0</v>
      </c>
      <c r="E99" s="249">
        <f>'2ª'!$D48</f>
        <v>0</v>
      </c>
      <c r="F99" s="249">
        <f>'2ª'!$E48</f>
        <v>0</v>
      </c>
      <c r="G99" s="250">
        <f>'2ª'!$F48</f>
        <v>0</v>
      </c>
      <c r="H99" s="362">
        <f>'2ª'!$G48</f>
        <v>0</v>
      </c>
      <c r="I99" s="362">
        <f>'2ª'!$H48</f>
        <v>0</v>
      </c>
      <c r="J99" s="362"/>
      <c r="K99" s="362">
        <f>'2ª'!$I48</f>
        <v>0</v>
      </c>
      <c r="L99" s="362">
        <f>'2ª'!$J48</f>
        <v>0</v>
      </c>
      <c r="M99" s="362"/>
      <c r="N99" s="362">
        <f>'2ª'!$K48</f>
        <v>0</v>
      </c>
      <c r="O99" s="362"/>
      <c r="P99" s="253" t="s">
        <v>110</v>
      </c>
      <c r="Q99" s="415" t="s">
        <v>249</v>
      </c>
      <c r="R99" s="383">
        <f>'2ª'!L48</f>
        <v>0</v>
      </c>
      <c r="S99" s="383">
        <f>'2ª'!M48</f>
        <v>0</v>
      </c>
      <c r="T99" s="383">
        <f>'2ª'!N48</f>
        <v>0</v>
      </c>
      <c r="U99" s="383">
        <f>'2ª'!O48</f>
        <v>0</v>
      </c>
      <c r="V99" s="383">
        <f>'2ª'!P48</f>
        <v>0</v>
      </c>
      <c r="W99" s="383">
        <f>'2ª'!Q48</f>
        <v>0</v>
      </c>
      <c r="X99" s="383">
        <f>'2ª'!R48</f>
        <v>0</v>
      </c>
      <c r="Y99" s="383">
        <f>'2ª'!S48</f>
        <v>0</v>
      </c>
      <c r="Z99" s="384">
        <f>'2ª'!T48</f>
        <v>0</v>
      </c>
      <c r="AA99" s="384">
        <f>'2ª'!U48</f>
        <v>0</v>
      </c>
      <c r="AB99" s="385" t="s">
        <v>321</v>
      </c>
      <c r="AC99" s="385"/>
      <c r="AD99" s="435" t="s">
        <v>466</v>
      </c>
    </row>
    <row r="100" spans="1:30" ht="15.75" x14ac:dyDescent="0.25">
      <c r="A100" s="416" t="str">
        <f>RIGHT('[1]2ª'!$A$5:$D$5,12)</f>
        <v>2ª SÉRIE E.F</v>
      </c>
      <c r="B100" s="451">
        <v>44</v>
      </c>
      <c r="C100" s="248">
        <f>'2ª'!$B49</f>
        <v>0</v>
      </c>
      <c r="D100" s="362">
        <f>'2ª'!$C49</f>
        <v>0</v>
      </c>
      <c r="E100" s="249">
        <f>'2ª'!$D49</f>
        <v>0</v>
      </c>
      <c r="F100" s="249">
        <f>'2ª'!$E49</f>
        <v>0</v>
      </c>
      <c r="G100" s="250">
        <f>'2ª'!$F49</f>
        <v>0</v>
      </c>
      <c r="H100" s="362">
        <f>'2ª'!$G49</f>
        <v>0</v>
      </c>
      <c r="I100" s="362">
        <f>'2ª'!$H49</f>
        <v>0</v>
      </c>
      <c r="J100" s="362"/>
      <c r="K100" s="362">
        <f>'2ª'!$I49</f>
        <v>0</v>
      </c>
      <c r="L100" s="362">
        <f>'2ª'!$J49</f>
        <v>0</v>
      </c>
      <c r="M100" s="362"/>
      <c r="N100" s="362">
        <f>'2ª'!$K49</f>
        <v>0</v>
      </c>
      <c r="O100" s="362"/>
      <c r="P100" s="253" t="s">
        <v>110</v>
      </c>
      <c r="Q100" s="415" t="s">
        <v>249</v>
      </c>
      <c r="R100" s="383">
        <f>'2ª'!L49</f>
        <v>0</v>
      </c>
      <c r="S100" s="383">
        <f>'2ª'!M49</f>
        <v>0</v>
      </c>
      <c r="T100" s="383">
        <f>'2ª'!N49</f>
        <v>0</v>
      </c>
      <c r="U100" s="383">
        <f>'2ª'!O49</f>
        <v>0</v>
      </c>
      <c r="V100" s="383">
        <f>'2ª'!P49</f>
        <v>0</v>
      </c>
      <c r="W100" s="383">
        <f>'2ª'!Q49</f>
        <v>0</v>
      </c>
      <c r="X100" s="383">
        <f>'2ª'!R49</f>
        <v>0</v>
      </c>
      <c r="Y100" s="383">
        <f>'2ª'!S49</f>
        <v>0</v>
      </c>
      <c r="Z100" s="384">
        <f>'2ª'!T49</f>
        <v>0</v>
      </c>
      <c r="AA100" s="384">
        <f>'2ª'!U49</f>
        <v>0</v>
      </c>
      <c r="AB100" s="385" t="s">
        <v>321</v>
      </c>
      <c r="AC100" s="385"/>
      <c r="AD100" s="435" t="s">
        <v>466</v>
      </c>
    </row>
    <row r="101" spans="1:30" ht="15.75" x14ac:dyDescent="0.25">
      <c r="A101" s="416" t="str">
        <f>RIGHT('[1]2ª'!$A$5:$D$5,12)</f>
        <v>2ª SÉRIE E.F</v>
      </c>
      <c r="B101" s="451">
        <v>45</v>
      </c>
      <c r="C101" s="248">
        <f>'2ª'!$B50</f>
        <v>0</v>
      </c>
      <c r="D101" s="362">
        <f>'2ª'!$C50</f>
        <v>0</v>
      </c>
      <c r="E101" s="249">
        <f>'2ª'!$D50</f>
        <v>0</v>
      </c>
      <c r="F101" s="249">
        <f>'2ª'!$E50</f>
        <v>0</v>
      </c>
      <c r="G101" s="250">
        <f>'2ª'!$F50</f>
        <v>0</v>
      </c>
      <c r="H101" s="362">
        <f>'2ª'!$G50</f>
        <v>0</v>
      </c>
      <c r="I101" s="362">
        <f>'2ª'!$H50</f>
        <v>0</v>
      </c>
      <c r="J101" s="362"/>
      <c r="K101" s="362">
        <f>'2ª'!$I50</f>
        <v>0</v>
      </c>
      <c r="L101" s="362">
        <f>'2ª'!$J50</f>
        <v>0</v>
      </c>
      <c r="M101" s="362"/>
      <c r="N101" s="362">
        <f>'2ª'!$K50</f>
        <v>0</v>
      </c>
      <c r="O101" s="362"/>
      <c r="P101" s="253" t="s">
        <v>110</v>
      </c>
      <c r="Q101" s="415" t="s">
        <v>249</v>
      </c>
      <c r="R101" s="383">
        <f>'2ª'!L50</f>
        <v>0</v>
      </c>
      <c r="S101" s="383">
        <f>'2ª'!M50</f>
        <v>0</v>
      </c>
      <c r="T101" s="383">
        <f>'2ª'!N50</f>
        <v>0</v>
      </c>
      <c r="U101" s="383">
        <f>'2ª'!O50</f>
        <v>0</v>
      </c>
      <c r="V101" s="383">
        <f>'2ª'!P50</f>
        <v>0</v>
      </c>
      <c r="W101" s="383">
        <f>'2ª'!Q50</f>
        <v>0</v>
      </c>
      <c r="X101" s="383">
        <f>'2ª'!R50</f>
        <v>0</v>
      </c>
      <c r="Y101" s="383">
        <f>'2ª'!S50</f>
        <v>0</v>
      </c>
      <c r="Z101" s="384">
        <f>'2ª'!T50</f>
        <v>0</v>
      </c>
      <c r="AA101" s="384">
        <f>'2ª'!U50</f>
        <v>0</v>
      </c>
      <c r="AB101" s="385" t="s">
        <v>321</v>
      </c>
      <c r="AC101" s="385"/>
      <c r="AD101" s="435" t="s">
        <v>466</v>
      </c>
    </row>
    <row r="102" spans="1:30" ht="15.75" x14ac:dyDescent="0.25">
      <c r="A102" s="416" t="str">
        <f>RIGHT('[1]2ª'!$A$5:$D$5,12)</f>
        <v>2ª SÉRIE E.F</v>
      </c>
      <c r="B102" s="451">
        <v>46</v>
      </c>
      <c r="C102" s="248">
        <f>'2ª'!$B51</f>
        <v>0</v>
      </c>
      <c r="D102" s="362">
        <f>'2ª'!$C51</f>
        <v>0</v>
      </c>
      <c r="E102" s="249">
        <f>'2ª'!$D51</f>
        <v>0</v>
      </c>
      <c r="F102" s="249">
        <f>'2ª'!$E51</f>
        <v>0</v>
      </c>
      <c r="G102" s="250">
        <f>'2ª'!$F51</f>
        <v>0</v>
      </c>
      <c r="H102" s="362">
        <f>'2ª'!$G51</f>
        <v>0</v>
      </c>
      <c r="I102" s="362">
        <f>'2ª'!$H51</f>
        <v>0</v>
      </c>
      <c r="J102" s="362"/>
      <c r="K102" s="362">
        <f>'2ª'!$I51</f>
        <v>0</v>
      </c>
      <c r="L102" s="362">
        <f>'2ª'!$J51</f>
        <v>0</v>
      </c>
      <c r="M102" s="362"/>
      <c r="N102" s="362">
        <f>'2ª'!$K51</f>
        <v>0</v>
      </c>
      <c r="O102" s="362"/>
      <c r="P102" s="253" t="s">
        <v>110</v>
      </c>
      <c r="Q102" s="415" t="s">
        <v>249</v>
      </c>
      <c r="R102" s="383">
        <f>'2ª'!L51</f>
        <v>0</v>
      </c>
      <c r="S102" s="383">
        <f>'2ª'!M51</f>
        <v>0</v>
      </c>
      <c r="T102" s="383">
        <f>'2ª'!N51</f>
        <v>0</v>
      </c>
      <c r="U102" s="383">
        <f>'2ª'!O51</f>
        <v>0</v>
      </c>
      <c r="V102" s="383">
        <f>'2ª'!P51</f>
        <v>0</v>
      </c>
      <c r="W102" s="383">
        <f>'2ª'!Q51</f>
        <v>0</v>
      </c>
      <c r="X102" s="383">
        <f>'2ª'!R51</f>
        <v>0</v>
      </c>
      <c r="Y102" s="383">
        <f>'2ª'!S51</f>
        <v>0</v>
      </c>
      <c r="Z102" s="384">
        <f>'2ª'!T51</f>
        <v>0</v>
      </c>
      <c r="AA102" s="384">
        <f>'2ª'!U51</f>
        <v>0</v>
      </c>
      <c r="AB102" s="385" t="s">
        <v>321</v>
      </c>
      <c r="AC102" s="385"/>
      <c r="AD102" s="435" t="s">
        <v>466</v>
      </c>
    </row>
    <row r="103" spans="1:30" ht="15.75" x14ac:dyDescent="0.25">
      <c r="A103" s="416" t="str">
        <f>RIGHT('[1]2ª'!$A$5:$D$5,12)</f>
        <v>2ª SÉRIE E.F</v>
      </c>
      <c r="B103" s="451">
        <v>47</v>
      </c>
      <c r="C103" s="248">
        <f>'2ª'!$B52</f>
        <v>0</v>
      </c>
      <c r="D103" s="362">
        <f>'2ª'!$C52</f>
        <v>0</v>
      </c>
      <c r="E103" s="249">
        <f>'2ª'!$D52</f>
        <v>0</v>
      </c>
      <c r="F103" s="249">
        <f>'2ª'!$E52</f>
        <v>0</v>
      </c>
      <c r="G103" s="250">
        <f>'2ª'!$F52</f>
        <v>0</v>
      </c>
      <c r="H103" s="362">
        <f>'2ª'!$G52</f>
        <v>0</v>
      </c>
      <c r="I103" s="362">
        <f>'2ª'!$H52</f>
        <v>0</v>
      </c>
      <c r="J103" s="362"/>
      <c r="K103" s="362">
        <f>'2ª'!$I52</f>
        <v>0</v>
      </c>
      <c r="L103" s="362">
        <f>'2ª'!$J52</f>
        <v>0</v>
      </c>
      <c r="M103" s="362"/>
      <c r="N103" s="362">
        <f>'2ª'!$K52</f>
        <v>0</v>
      </c>
      <c r="O103" s="362"/>
      <c r="P103" s="253" t="s">
        <v>110</v>
      </c>
      <c r="Q103" s="415" t="s">
        <v>249</v>
      </c>
      <c r="R103" s="383">
        <f>'2ª'!L52</f>
        <v>0</v>
      </c>
      <c r="S103" s="383">
        <f>'2ª'!M52</f>
        <v>0</v>
      </c>
      <c r="T103" s="383">
        <f>'2ª'!N52</f>
        <v>0</v>
      </c>
      <c r="U103" s="383">
        <f>'2ª'!O52</f>
        <v>0</v>
      </c>
      <c r="V103" s="383">
        <f>'2ª'!P52</f>
        <v>0</v>
      </c>
      <c r="W103" s="383">
        <f>'2ª'!Q52</f>
        <v>0</v>
      </c>
      <c r="X103" s="383">
        <f>'2ª'!R52</f>
        <v>0</v>
      </c>
      <c r="Y103" s="383">
        <f>'2ª'!S52</f>
        <v>0</v>
      </c>
      <c r="Z103" s="384">
        <f>'2ª'!T52</f>
        <v>0</v>
      </c>
      <c r="AA103" s="384">
        <f>'2ª'!U52</f>
        <v>0</v>
      </c>
      <c r="AB103" s="385" t="s">
        <v>321</v>
      </c>
      <c r="AC103" s="385"/>
      <c r="AD103" s="435" t="s">
        <v>466</v>
      </c>
    </row>
    <row r="104" spans="1:30" ht="15.75" x14ac:dyDescent="0.25">
      <c r="A104" s="416" t="str">
        <f>RIGHT('[1]2ª'!$A$5:$D$5,12)</f>
        <v>2ª SÉRIE E.F</v>
      </c>
      <c r="B104" s="451">
        <v>48</v>
      </c>
      <c r="C104" s="248">
        <f>'2ª'!$B53</f>
        <v>0</v>
      </c>
      <c r="D104" s="362">
        <f>'2ª'!$C53</f>
        <v>0</v>
      </c>
      <c r="E104" s="249">
        <f>'2ª'!$D53</f>
        <v>0</v>
      </c>
      <c r="F104" s="249">
        <f>'2ª'!$E53</f>
        <v>0</v>
      </c>
      <c r="G104" s="250">
        <f>'2ª'!$F53</f>
        <v>0</v>
      </c>
      <c r="H104" s="362">
        <f>'2ª'!$G53</f>
        <v>0</v>
      </c>
      <c r="I104" s="362">
        <f>'2ª'!$H53</f>
        <v>0</v>
      </c>
      <c r="J104" s="362"/>
      <c r="K104" s="362">
        <f>'2ª'!$I53</f>
        <v>0</v>
      </c>
      <c r="L104" s="362">
        <f>'2ª'!$J53</f>
        <v>0</v>
      </c>
      <c r="M104" s="362"/>
      <c r="N104" s="362">
        <f>'2ª'!$K53</f>
        <v>0</v>
      </c>
      <c r="O104" s="362"/>
      <c r="P104" s="253" t="s">
        <v>110</v>
      </c>
      <c r="Q104" s="415" t="s">
        <v>249</v>
      </c>
      <c r="R104" s="383">
        <f>'2ª'!L53</f>
        <v>0</v>
      </c>
      <c r="S104" s="383">
        <f>'2ª'!M53</f>
        <v>0</v>
      </c>
      <c r="T104" s="383">
        <f>'2ª'!N53</f>
        <v>0</v>
      </c>
      <c r="U104" s="383">
        <f>'2ª'!O53</f>
        <v>0</v>
      </c>
      <c r="V104" s="383">
        <f>'2ª'!P53</f>
        <v>0</v>
      </c>
      <c r="W104" s="383">
        <f>'2ª'!Q53</f>
        <v>0</v>
      </c>
      <c r="X104" s="383">
        <f>'2ª'!R53</f>
        <v>0</v>
      </c>
      <c r="Y104" s="383">
        <f>'2ª'!S53</f>
        <v>0</v>
      </c>
      <c r="Z104" s="384">
        <f>'2ª'!T53</f>
        <v>0</v>
      </c>
      <c r="AA104" s="384">
        <f>'2ª'!U53</f>
        <v>0</v>
      </c>
      <c r="AB104" s="385" t="s">
        <v>321</v>
      </c>
      <c r="AC104" s="385"/>
      <c r="AD104" s="435" t="s">
        <v>466</v>
      </c>
    </row>
    <row r="105" spans="1:30" ht="15.75" x14ac:dyDescent="0.25">
      <c r="A105" s="416" t="str">
        <f>RIGHT('[1]2ª'!$A$5:$D$5,12)</f>
        <v>2ª SÉRIE E.F</v>
      </c>
      <c r="B105" s="451">
        <v>49</v>
      </c>
      <c r="C105" s="248">
        <f>'2ª'!$B54</f>
        <v>0</v>
      </c>
      <c r="D105" s="362">
        <f>'2ª'!$C54</f>
        <v>0</v>
      </c>
      <c r="E105" s="249">
        <f>'2ª'!$D54</f>
        <v>0</v>
      </c>
      <c r="F105" s="249">
        <f>'2ª'!$E54</f>
        <v>0</v>
      </c>
      <c r="G105" s="250">
        <f>'2ª'!$F54</f>
        <v>0</v>
      </c>
      <c r="H105" s="362">
        <f>'2ª'!$G54</f>
        <v>0</v>
      </c>
      <c r="I105" s="362">
        <f>'2ª'!$H54</f>
        <v>0</v>
      </c>
      <c r="J105" s="362"/>
      <c r="K105" s="362">
        <f>'2ª'!$I54</f>
        <v>0</v>
      </c>
      <c r="L105" s="362">
        <f>'2ª'!$J54</f>
        <v>0</v>
      </c>
      <c r="M105" s="362"/>
      <c r="N105" s="362">
        <f>'2ª'!$K54</f>
        <v>0</v>
      </c>
      <c r="O105" s="362"/>
      <c r="P105" s="253" t="s">
        <v>110</v>
      </c>
      <c r="Q105" s="415" t="s">
        <v>249</v>
      </c>
      <c r="R105" s="383">
        <f>'2ª'!L54</f>
        <v>0</v>
      </c>
      <c r="S105" s="383">
        <f>'2ª'!M54</f>
        <v>0</v>
      </c>
      <c r="T105" s="383">
        <f>'2ª'!N54</f>
        <v>0</v>
      </c>
      <c r="U105" s="383">
        <f>'2ª'!O54</f>
        <v>0</v>
      </c>
      <c r="V105" s="383">
        <f>'2ª'!P54</f>
        <v>0</v>
      </c>
      <c r="W105" s="383">
        <f>'2ª'!Q54</f>
        <v>0</v>
      </c>
      <c r="X105" s="383">
        <f>'2ª'!R54</f>
        <v>0</v>
      </c>
      <c r="Y105" s="383">
        <f>'2ª'!S54</f>
        <v>0</v>
      </c>
      <c r="Z105" s="384">
        <f>'2ª'!T54</f>
        <v>0</v>
      </c>
      <c r="AA105" s="384">
        <f>'2ª'!U54</f>
        <v>0</v>
      </c>
      <c r="AB105" s="385" t="s">
        <v>321</v>
      </c>
      <c r="AC105" s="385"/>
      <c r="AD105" s="435" t="s">
        <v>466</v>
      </c>
    </row>
    <row r="106" spans="1:30" ht="15.75" x14ac:dyDescent="0.25">
      <c r="A106" s="416" t="str">
        <f>RIGHT('[1]2ª'!$A$5:$D$5,12)</f>
        <v>2ª SÉRIE E.F</v>
      </c>
      <c r="B106" s="451">
        <v>50</v>
      </c>
      <c r="C106" s="248">
        <f>'2ª'!$B55</f>
        <v>0</v>
      </c>
      <c r="D106" s="362">
        <f>'2ª'!$C55</f>
        <v>0</v>
      </c>
      <c r="E106" s="249">
        <f>'2ª'!$D55</f>
        <v>0</v>
      </c>
      <c r="F106" s="249">
        <f>'2ª'!$E55</f>
        <v>0</v>
      </c>
      <c r="G106" s="250">
        <f>'2ª'!$F55</f>
        <v>0</v>
      </c>
      <c r="H106" s="362">
        <f>'2ª'!$G55</f>
        <v>0</v>
      </c>
      <c r="I106" s="362">
        <f>'2ª'!$H55</f>
        <v>0</v>
      </c>
      <c r="J106" s="362"/>
      <c r="K106" s="362">
        <f>'2ª'!$I55</f>
        <v>0</v>
      </c>
      <c r="L106" s="362">
        <f>'2ª'!$J55</f>
        <v>0</v>
      </c>
      <c r="M106" s="362"/>
      <c r="N106" s="362">
        <f>'2ª'!$K55</f>
        <v>0</v>
      </c>
      <c r="O106" s="362"/>
      <c r="P106" s="253" t="s">
        <v>110</v>
      </c>
      <c r="Q106" s="415" t="s">
        <v>249</v>
      </c>
      <c r="R106" s="383">
        <f>'2ª'!L55</f>
        <v>0</v>
      </c>
      <c r="S106" s="383">
        <f>'2ª'!M55</f>
        <v>0</v>
      </c>
      <c r="T106" s="383">
        <f>'2ª'!N55</f>
        <v>0</v>
      </c>
      <c r="U106" s="383">
        <f>'2ª'!O55</f>
        <v>0</v>
      </c>
      <c r="V106" s="383">
        <f>'2ª'!P55</f>
        <v>0</v>
      </c>
      <c r="W106" s="383">
        <f>'2ª'!Q55</f>
        <v>0</v>
      </c>
      <c r="X106" s="383">
        <f>'2ª'!R55</f>
        <v>0</v>
      </c>
      <c r="Y106" s="383">
        <f>'2ª'!S55</f>
        <v>0</v>
      </c>
      <c r="Z106" s="384">
        <f>'2ª'!T55</f>
        <v>0</v>
      </c>
      <c r="AA106" s="384">
        <f>'2ª'!U55</f>
        <v>0</v>
      </c>
      <c r="AB106" s="385" t="s">
        <v>321</v>
      </c>
      <c r="AC106" s="385"/>
      <c r="AD106" s="435" t="s">
        <v>466</v>
      </c>
    </row>
    <row r="107" spans="1:30" ht="15.75" x14ac:dyDescent="0.25">
      <c r="A107" s="416" t="str">
        <f>RIGHT('[1]2ª'!$A$5:$D$5,12)</f>
        <v>2ª SÉRIE E.F</v>
      </c>
      <c r="B107" s="451">
        <v>51</v>
      </c>
      <c r="C107" s="248">
        <f>'2ª'!$B56</f>
        <v>0</v>
      </c>
      <c r="D107" s="362">
        <f>'2ª'!$C56</f>
        <v>0</v>
      </c>
      <c r="E107" s="249">
        <f>'2ª'!$D56</f>
        <v>0</v>
      </c>
      <c r="F107" s="249">
        <f>'2ª'!$E56</f>
        <v>0</v>
      </c>
      <c r="G107" s="250">
        <f>'2ª'!$F56</f>
        <v>0</v>
      </c>
      <c r="H107" s="362">
        <f>'2ª'!$G56</f>
        <v>0</v>
      </c>
      <c r="I107" s="362">
        <f>'2ª'!$H56</f>
        <v>0</v>
      </c>
      <c r="J107" s="362"/>
      <c r="K107" s="362">
        <f>'2ª'!$I56</f>
        <v>0</v>
      </c>
      <c r="L107" s="362">
        <f>'2ª'!$J56</f>
        <v>0</v>
      </c>
      <c r="M107" s="362"/>
      <c r="N107" s="362">
        <f>'2ª'!$K56</f>
        <v>0</v>
      </c>
      <c r="O107" s="362"/>
      <c r="P107" s="253" t="s">
        <v>110</v>
      </c>
      <c r="Q107" s="415" t="s">
        <v>249</v>
      </c>
      <c r="R107" s="383">
        <f>'2ª'!L56</f>
        <v>0</v>
      </c>
      <c r="S107" s="383">
        <f>'2ª'!M56</f>
        <v>0</v>
      </c>
      <c r="T107" s="383">
        <f>'2ª'!N56</f>
        <v>0</v>
      </c>
      <c r="U107" s="383">
        <f>'2ª'!O56</f>
        <v>0</v>
      </c>
      <c r="V107" s="383">
        <f>'2ª'!P56</f>
        <v>0</v>
      </c>
      <c r="W107" s="383">
        <f>'2ª'!Q56</f>
        <v>0</v>
      </c>
      <c r="X107" s="383">
        <f>'2ª'!R56</f>
        <v>0</v>
      </c>
      <c r="Y107" s="383">
        <f>'2ª'!S56</f>
        <v>0</v>
      </c>
      <c r="Z107" s="384">
        <f>'2ª'!T56</f>
        <v>0</v>
      </c>
      <c r="AA107" s="384">
        <f>'2ª'!U56</f>
        <v>0</v>
      </c>
      <c r="AB107" s="385" t="s">
        <v>321</v>
      </c>
      <c r="AC107" s="385"/>
      <c r="AD107" s="435" t="s">
        <v>466</v>
      </c>
    </row>
    <row r="108" spans="1:30" ht="15.75" x14ac:dyDescent="0.25">
      <c r="A108" s="416" t="str">
        <f>RIGHT('[1]2ª'!$A$5:$D$5,12)</f>
        <v>2ª SÉRIE E.F</v>
      </c>
      <c r="B108" s="451">
        <v>52</v>
      </c>
      <c r="C108" s="248">
        <f>'2ª'!$B57</f>
        <v>0</v>
      </c>
      <c r="D108" s="362">
        <f>'2ª'!$C57</f>
        <v>0</v>
      </c>
      <c r="E108" s="249">
        <f>'2ª'!$D57</f>
        <v>0</v>
      </c>
      <c r="F108" s="249">
        <f>'2ª'!$E57</f>
        <v>0</v>
      </c>
      <c r="G108" s="250">
        <f>'2ª'!$F57</f>
        <v>0</v>
      </c>
      <c r="H108" s="362">
        <f>'2ª'!$G57</f>
        <v>0</v>
      </c>
      <c r="I108" s="362">
        <f>'2ª'!$H57</f>
        <v>0</v>
      </c>
      <c r="J108" s="362"/>
      <c r="K108" s="362">
        <f>'2ª'!$I57</f>
        <v>0</v>
      </c>
      <c r="L108" s="362">
        <f>'2ª'!$J57</f>
        <v>0</v>
      </c>
      <c r="M108" s="362"/>
      <c r="N108" s="362">
        <f>'2ª'!$K57</f>
        <v>0</v>
      </c>
      <c r="O108" s="362"/>
      <c r="P108" s="253" t="s">
        <v>110</v>
      </c>
      <c r="Q108" s="415" t="s">
        <v>249</v>
      </c>
      <c r="R108" s="383">
        <f>'2ª'!L57</f>
        <v>0</v>
      </c>
      <c r="S108" s="383">
        <f>'2ª'!M57</f>
        <v>0</v>
      </c>
      <c r="T108" s="383">
        <f>'2ª'!N57</f>
        <v>0</v>
      </c>
      <c r="U108" s="383">
        <f>'2ª'!O57</f>
        <v>0</v>
      </c>
      <c r="V108" s="383">
        <f>'2ª'!P57</f>
        <v>0</v>
      </c>
      <c r="W108" s="383">
        <f>'2ª'!Q57</f>
        <v>0</v>
      </c>
      <c r="X108" s="383">
        <f>'2ª'!R57</f>
        <v>0</v>
      </c>
      <c r="Y108" s="383">
        <f>'2ª'!S57</f>
        <v>0</v>
      </c>
      <c r="Z108" s="384">
        <f>'2ª'!T57</f>
        <v>0</v>
      </c>
      <c r="AA108" s="384">
        <f>'2ª'!U57</f>
        <v>0</v>
      </c>
      <c r="AB108" s="385" t="s">
        <v>321</v>
      </c>
      <c r="AC108" s="385"/>
      <c r="AD108" s="435" t="s">
        <v>466</v>
      </c>
    </row>
    <row r="109" spans="1:30" ht="15.75" x14ac:dyDescent="0.25">
      <c r="A109" s="416" t="str">
        <f>RIGHT('[1]2ª'!$A$5:$D$5,12)</f>
        <v>2ª SÉRIE E.F</v>
      </c>
      <c r="B109" s="451">
        <v>53</v>
      </c>
      <c r="C109" s="248">
        <f>'2ª'!$B58</f>
        <v>0</v>
      </c>
      <c r="D109" s="362">
        <f>'2ª'!$C58</f>
        <v>0</v>
      </c>
      <c r="E109" s="249">
        <f>'2ª'!$D58</f>
        <v>0</v>
      </c>
      <c r="F109" s="249">
        <f>'2ª'!$E58</f>
        <v>0</v>
      </c>
      <c r="G109" s="250">
        <f>'2ª'!$F58</f>
        <v>0</v>
      </c>
      <c r="H109" s="362">
        <f>'2ª'!$G58</f>
        <v>0</v>
      </c>
      <c r="I109" s="362">
        <f>'2ª'!$H58</f>
        <v>0</v>
      </c>
      <c r="J109" s="362"/>
      <c r="K109" s="362">
        <f>'2ª'!$I58</f>
        <v>0</v>
      </c>
      <c r="L109" s="362">
        <f>'2ª'!$J58</f>
        <v>0</v>
      </c>
      <c r="M109" s="362"/>
      <c r="N109" s="362">
        <f>'2ª'!$K58</f>
        <v>0</v>
      </c>
      <c r="O109" s="362"/>
      <c r="P109" s="253" t="s">
        <v>110</v>
      </c>
      <c r="Q109" s="415" t="s">
        <v>249</v>
      </c>
      <c r="R109" s="383">
        <f>'2ª'!L58</f>
        <v>0</v>
      </c>
      <c r="S109" s="383">
        <f>'2ª'!M58</f>
        <v>0</v>
      </c>
      <c r="T109" s="383">
        <f>'2ª'!N58</f>
        <v>0</v>
      </c>
      <c r="U109" s="383">
        <f>'2ª'!O58</f>
        <v>0</v>
      </c>
      <c r="V109" s="383">
        <f>'2ª'!P58</f>
        <v>0</v>
      </c>
      <c r="W109" s="383">
        <f>'2ª'!Q58</f>
        <v>0</v>
      </c>
      <c r="X109" s="383">
        <f>'2ª'!R58</f>
        <v>0</v>
      </c>
      <c r="Y109" s="383">
        <f>'2ª'!S58</f>
        <v>0</v>
      </c>
      <c r="Z109" s="384">
        <f>'2ª'!T58</f>
        <v>0</v>
      </c>
      <c r="AA109" s="384">
        <f>'2ª'!U58</f>
        <v>0</v>
      </c>
      <c r="AB109" s="385" t="s">
        <v>321</v>
      </c>
      <c r="AC109" s="385"/>
      <c r="AD109" s="435" t="s">
        <v>466</v>
      </c>
    </row>
    <row r="110" spans="1:30" ht="15.75" x14ac:dyDescent="0.25">
      <c r="A110" s="416" t="str">
        <f>RIGHT('[1]2ª'!$A$5:$D$5,12)</f>
        <v>2ª SÉRIE E.F</v>
      </c>
      <c r="B110" s="451">
        <v>54</v>
      </c>
      <c r="C110" s="248">
        <f>'2ª'!$B59</f>
        <v>0</v>
      </c>
      <c r="D110" s="362">
        <f>'2ª'!$C59</f>
        <v>0</v>
      </c>
      <c r="E110" s="249">
        <f>'2ª'!$D59</f>
        <v>0</v>
      </c>
      <c r="F110" s="249">
        <f>'2ª'!$E59</f>
        <v>0</v>
      </c>
      <c r="G110" s="250">
        <f>'2ª'!$F59</f>
        <v>0</v>
      </c>
      <c r="H110" s="362">
        <f>'2ª'!$G59</f>
        <v>0</v>
      </c>
      <c r="I110" s="362">
        <f>'2ª'!$H59</f>
        <v>0</v>
      </c>
      <c r="J110" s="362"/>
      <c r="K110" s="362">
        <f>'2ª'!$I59</f>
        <v>0</v>
      </c>
      <c r="L110" s="362">
        <f>'2ª'!$J59</f>
        <v>0</v>
      </c>
      <c r="M110" s="362"/>
      <c r="N110" s="362">
        <f>'2ª'!$K59</f>
        <v>0</v>
      </c>
      <c r="O110" s="362"/>
      <c r="P110" s="253" t="s">
        <v>110</v>
      </c>
      <c r="Q110" s="415" t="s">
        <v>249</v>
      </c>
      <c r="R110" s="383">
        <f>'2ª'!L59</f>
        <v>0</v>
      </c>
      <c r="S110" s="383">
        <f>'2ª'!M59</f>
        <v>0</v>
      </c>
      <c r="T110" s="383">
        <f>'2ª'!N59</f>
        <v>0</v>
      </c>
      <c r="U110" s="383">
        <f>'2ª'!O59</f>
        <v>0</v>
      </c>
      <c r="V110" s="383">
        <f>'2ª'!P59</f>
        <v>0</v>
      </c>
      <c r="W110" s="383">
        <f>'2ª'!Q59</f>
        <v>0</v>
      </c>
      <c r="X110" s="383">
        <f>'2ª'!R59</f>
        <v>0</v>
      </c>
      <c r="Y110" s="383">
        <f>'2ª'!S59</f>
        <v>0</v>
      </c>
      <c r="Z110" s="384">
        <f>'2ª'!T59</f>
        <v>0</v>
      </c>
      <c r="AA110" s="384">
        <f>'2ª'!U59</f>
        <v>0</v>
      </c>
      <c r="AB110" s="385" t="s">
        <v>321</v>
      </c>
      <c r="AC110" s="385"/>
      <c r="AD110" s="435" t="s">
        <v>466</v>
      </c>
    </row>
    <row r="111" spans="1:30" ht="15.75" x14ac:dyDescent="0.25">
      <c r="A111" s="416" t="str">
        <f>RIGHT('[1]2ª'!$A$5:$D$5,12)</f>
        <v>2ª SÉRIE E.F</v>
      </c>
      <c r="B111" s="451">
        <v>55</v>
      </c>
      <c r="C111" s="248">
        <f>'2ª'!$B60</f>
        <v>0</v>
      </c>
      <c r="D111" s="362">
        <f>'2ª'!$C60</f>
        <v>0</v>
      </c>
      <c r="E111" s="249">
        <f>'2ª'!$D60</f>
        <v>0</v>
      </c>
      <c r="F111" s="249">
        <f>'2ª'!$E60</f>
        <v>0</v>
      </c>
      <c r="G111" s="250">
        <f>'2ª'!$F60</f>
        <v>0</v>
      </c>
      <c r="H111" s="362">
        <f>'2ª'!$G60</f>
        <v>0</v>
      </c>
      <c r="I111" s="362">
        <f>'2ª'!$H60</f>
        <v>0</v>
      </c>
      <c r="J111" s="362"/>
      <c r="K111" s="362">
        <f>'2ª'!$I60</f>
        <v>0</v>
      </c>
      <c r="L111" s="362">
        <f>'2ª'!$J60</f>
        <v>0</v>
      </c>
      <c r="M111" s="362"/>
      <c r="N111" s="362">
        <f>'2ª'!$K60</f>
        <v>0</v>
      </c>
      <c r="O111" s="362"/>
      <c r="P111" s="253" t="s">
        <v>110</v>
      </c>
      <c r="Q111" s="415" t="s">
        <v>249</v>
      </c>
      <c r="R111" s="383">
        <f>'2ª'!L60</f>
        <v>0</v>
      </c>
      <c r="S111" s="383">
        <f>'2ª'!M60</f>
        <v>0</v>
      </c>
      <c r="T111" s="383">
        <f>'2ª'!N60</f>
        <v>0</v>
      </c>
      <c r="U111" s="383">
        <f>'2ª'!O60</f>
        <v>0</v>
      </c>
      <c r="V111" s="383">
        <f>'2ª'!P60</f>
        <v>0</v>
      </c>
      <c r="W111" s="383">
        <f>'2ª'!Q60</f>
        <v>0</v>
      </c>
      <c r="X111" s="383">
        <f>'2ª'!R60</f>
        <v>0</v>
      </c>
      <c r="Y111" s="383">
        <f>'2ª'!S60</f>
        <v>0</v>
      </c>
      <c r="Z111" s="384">
        <f>'2ª'!T60</f>
        <v>0</v>
      </c>
      <c r="AA111" s="384">
        <f>'2ª'!U60</f>
        <v>0</v>
      </c>
      <c r="AB111" s="385" t="s">
        <v>321</v>
      </c>
      <c r="AC111" s="385"/>
      <c r="AD111" s="435" t="s">
        <v>466</v>
      </c>
    </row>
    <row r="112" spans="1:30" s="446" customFormat="1" ht="15.75" x14ac:dyDescent="0.25">
      <c r="A112" s="387" t="str">
        <f>RIGHT('[1]3ª'!$A$5:$D$5,12)</f>
        <v>3ª SÉRIE E.F</v>
      </c>
      <c r="B112" s="388">
        <v>1</v>
      </c>
      <c r="C112" s="389">
        <f>'3ª'!$B7</f>
        <v>18767</v>
      </c>
      <c r="D112" s="390" t="str">
        <f>'3ª'!$C7</f>
        <v>CLAUDEMIR JOSE DE AMORIM</v>
      </c>
      <c r="E112" s="391" t="str">
        <f>'3ª'!$D7</f>
        <v>M</v>
      </c>
      <c r="F112" s="391" t="str">
        <f>'3ª'!$E7</f>
        <v>MA</v>
      </c>
      <c r="G112" s="392">
        <f>'3ª'!$F7</f>
        <v>24673</v>
      </c>
      <c r="H112" s="390">
        <f>'3ª'!$G7</f>
        <v>0</v>
      </c>
      <c r="I112" s="393" t="str">
        <f>'3ª'!$H7</f>
        <v>69889673-7</v>
      </c>
      <c r="J112" s="390"/>
      <c r="K112" s="390">
        <f>'3ª'!$I7</f>
        <v>0</v>
      </c>
      <c r="L112" s="392" t="str">
        <f ca="1">'3ª'!$J7</f>
        <v>DISP.IDADE</v>
      </c>
      <c r="M112" s="390"/>
      <c r="N112" s="394">
        <f ca="1">'3ª'!$K7</f>
        <v>58</v>
      </c>
      <c r="O112" s="390"/>
      <c r="P112" s="395" t="s">
        <v>110</v>
      </c>
      <c r="Q112" s="396" t="s">
        <v>249</v>
      </c>
      <c r="R112" s="397" t="str">
        <f>'3ª'!$L7</f>
        <v>Não</v>
      </c>
      <c r="S112" s="397" t="str">
        <f>'3ª'!$M7</f>
        <v>Eliane</v>
      </c>
      <c r="T112" s="397" t="str">
        <f>'3ª'!$N7</f>
        <v>-</v>
      </c>
      <c r="U112" s="397" t="str">
        <f>'3ª'!$O7</f>
        <v>-</v>
      </c>
      <c r="V112" s="397" t="str">
        <f>'3ª'!$P7</f>
        <v>-</v>
      </c>
      <c r="W112" s="397" t="str">
        <f>'3ª'!$Q7</f>
        <v>-</v>
      </c>
      <c r="X112" s="397" t="str">
        <f>'3ª'!$R7</f>
        <v>-</v>
      </c>
      <c r="Y112" s="397" t="str">
        <f>'3ª'!$S7</f>
        <v>-</v>
      </c>
      <c r="Z112" s="398">
        <f>'3ª'!$T7</f>
        <v>0</v>
      </c>
      <c r="AA112" s="398">
        <f>'3ª'!$U7</f>
        <v>0</v>
      </c>
      <c r="AB112" s="399" t="s">
        <v>323</v>
      </c>
      <c r="AC112" s="399"/>
      <c r="AD112" s="435" t="s">
        <v>466</v>
      </c>
    </row>
    <row r="113" spans="1:30" ht="15.75" x14ac:dyDescent="0.25">
      <c r="A113" s="416" t="str">
        <f>RIGHT('[1]3ª'!$A$5:$D$5,12)</f>
        <v>3ª SÉRIE E.F</v>
      </c>
      <c r="B113" s="451">
        <v>2</v>
      </c>
      <c r="C113" s="248">
        <f>'3ª'!$B8</f>
        <v>18837</v>
      </c>
      <c r="D113" s="362" t="str">
        <f>'3ª'!$C8</f>
        <v>DIEGO RYAN SANTOS DE ALCANTARA</v>
      </c>
      <c r="E113" s="249" t="str">
        <f>'3ª'!$D8</f>
        <v>M</v>
      </c>
      <c r="F113" s="249" t="str">
        <f>'3ª'!$E8</f>
        <v>MA</v>
      </c>
      <c r="G113" s="250">
        <f>'3ª'!$F8</f>
        <v>40045</v>
      </c>
      <c r="H113" s="362" t="str">
        <f>'3ª'!$G8</f>
        <v>111223789-6</v>
      </c>
      <c r="I113" s="363">
        <f>'3ª'!$H8</f>
        <v>0</v>
      </c>
      <c r="J113" s="362"/>
      <c r="K113" s="362">
        <f>'3ª'!$I8</f>
        <v>0</v>
      </c>
      <c r="L113" s="250" t="str">
        <f ca="1">'3ª'!$J8</f>
        <v/>
      </c>
      <c r="M113" s="362"/>
      <c r="N113" s="252">
        <f ca="1">'3ª'!$K8</f>
        <v>16</v>
      </c>
      <c r="O113" s="362"/>
      <c r="P113" s="253" t="s">
        <v>110</v>
      </c>
      <c r="Q113" s="415" t="s">
        <v>249</v>
      </c>
      <c r="R113" s="383" t="str">
        <f>'3ª'!$L8</f>
        <v>Não</v>
      </c>
      <c r="S113" s="383" t="str">
        <f>'3ª'!$M8</f>
        <v>Eliane</v>
      </c>
      <c r="T113" s="383" t="str">
        <f>'3ª'!$N8</f>
        <v>-</v>
      </c>
      <c r="U113" s="383" t="str">
        <f>'3ª'!$O8</f>
        <v>-</v>
      </c>
      <c r="V113" s="383" t="str">
        <f>'3ª'!$P8</f>
        <v>-</v>
      </c>
      <c r="W113" s="383" t="str">
        <f>'3ª'!$Q8</f>
        <v>-</v>
      </c>
      <c r="X113" s="383" t="str">
        <f>'3ª'!$R8</f>
        <v>-</v>
      </c>
      <c r="Y113" s="383" t="str">
        <f>'3ª'!$S8</f>
        <v>-</v>
      </c>
      <c r="Z113" s="384">
        <f>'3ª'!$T8</f>
        <v>0</v>
      </c>
      <c r="AA113" s="384">
        <f>'3ª'!$U8</f>
        <v>0</v>
      </c>
      <c r="AB113" s="385" t="s">
        <v>323</v>
      </c>
      <c r="AC113" s="385"/>
      <c r="AD113" s="435" t="s">
        <v>466</v>
      </c>
    </row>
    <row r="114" spans="1:30" ht="15.75" x14ac:dyDescent="0.25">
      <c r="A114" s="416" t="str">
        <f>RIGHT('[1]3ª'!$A$5:$D$5,12)</f>
        <v>3ª SÉRIE E.F</v>
      </c>
      <c r="B114" s="451">
        <v>3</v>
      </c>
      <c r="C114" s="248">
        <f>'3ª'!$B9</f>
        <v>17989</v>
      </c>
      <c r="D114" s="362" t="str">
        <f>'3ª'!$C9</f>
        <v>ELISA DA COSTA BARRETO</v>
      </c>
      <c r="E114" s="249" t="str">
        <f>'3ª'!$D9</f>
        <v>F</v>
      </c>
      <c r="F114" s="249" t="str">
        <f>'3ª'!$E9</f>
        <v>MC</v>
      </c>
      <c r="G114" s="250">
        <f>'3ª'!$F9</f>
        <v>24447</v>
      </c>
      <c r="H114" s="362" t="str">
        <f>'3ª'!$G9</f>
        <v>124351785-2</v>
      </c>
      <c r="I114" s="363" t="str">
        <f>'3ª'!$H9</f>
        <v>52171529-5</v>
      </c>
      <c r="J114" s="362"/>
      <c r="K114" s="362" t="str">
        <f>'3ª'!$I9</f>
        <v>MC - 20/08</v>
      </c>
      <c r="L114" s="250" t="str">
        <f ca="1">'3ª'!$J9</f>
        <v>DISP.IDADE</v>
      </c>
      <c r="M114" s="362"/>
      <c r="N114" s="252">
        <f ca="1">'3ª'!$K9</f>
        <v>58</v>
      </c>
      <c r="O114" s="362"/>
      <c r="P114" s="253" t="s">
        <v>110</v>
      </c>
      <c r="Q114" s="415" t="s">
        <v>249</v>
      </c>
      <c r="R114" s="383" t="str">
        <f>'3ª'!$L9</f>
        <v>Não</v>
      </c>
      <c r="S114" s="383" t="str">
        <f>'3ª'!$M9</f>
        <v>Eliane</v>
      </c>
      <c r="T114" s="383" t="str">
        <f>'3ª'!$N9</f>
        <v>-</v>
      </c>
      <c r="U114" s="383" t="str">
        <f>'3ª'!$O9</f>
        <v>-</v>
      </c>
      <c r="V114" s="383" t="str">
        <f>'3ª'!$P9</f>
        <v>-</v>
      </c>
      <c r="W114" s="383" t="str">
        <f>'3ª'!$Q9</f>
        <v>-</v>
      </c>
      <c r="X114" s="383" t="str">
        <f>'3ª'!$R9</f>
        <v>-</v>
      </c>
      <c r="Y114" s="383" t="str">
        <f>'3ª'!$S9</f>
        <v>-</v>
      </c>
      <c r="Z114" s="384" t="str">
        <f>'3ª'!$T9</f>
        <v>Sem Informação</v>
      </c>
      <c r="AA114" s="384" t="str">
        <f>'3ª'!$U9</f>
        <v>MC por Solicitação do Responsavel</v>
      </c>
      <c r="AB114" s="385" t="s">
        <v>323</v>
      </c>
      <c r="AC114" s="385"/>
      <c r="AD114" s="435" t="s">
        <v>466</v>
      </c>
    </row>
    <row r="115" spans="1:30" ht="15.75" x14ac:dyDescent="0.25">
      <c r="A115" s="416" t="str">
        <f>RIGHT('[1]3ª'!$A$5:$D$5,12)</f>
        <v>3ª SÉRIE E.F</v>
      </c>
      <c r="B115" s="451">
        <v>4</v>
      </c>
      <c r="C115" s="248">
        <f>'3ª'!$B10</f>
        <v>18839</v>
      </c>
      <c r="D115" s="362" t="str">
        <f>'3ª'!$C10</f>
        <v>JOSE MIGUEL DA SILVA FILHO</v>
      </c>
      <c r="E115" s="249" t="str">
        <f>'3ª'!$D10</f>
        <v>M</v>
      </c>
      <c r="F115" s="249" t="str">
        <f>'3ª'!$E10</f>
        <v>MA</v>
      </c>
      <c r="G115" s="250">
        <f>'3ª'!$F10</f>
        <v>26939</v>
      </c>
      <c r="H115" s="362">
        <f>'3ª'!$G10</f>
        <v>0</v>
      </c>
      <c r="I115" s="363">
        <f>'3ª'!$H10</f>
        <v>26885705</v>
      </c>
      <c r="J115" s="362"/>
      <c r="K115" s="362">
        <f>'3ª'!$I10</f>
        <v>0</v>
      </c>
      <c r="L115" s="250" t="str">
        <f ca="1">'3ª'!$J10</f>
        <v>DISP.IDADE</v>
      </c>
      <c r="M115" s="362"/>
      <c r="N115" s="252">
        <f ca="1">'3ª'!$K10</f>
        <v>51</v>
      </c>
      <c r="O115" s="362"/>
      <c r="P115" s="253" t="s">
        <v>110</v>
      </c>
      <c r="Q115" s="415" t="s">
        <v>249</v>
      </c>
      <c r="R115" s="383" t="str">
        <f>'3ª'!$L10</f>
        <v>Não</v>
      </c>
      <c r="S115" s="383" t="str">
        <f>'3ª'!$M10</f>
        <v>Eliane</v>
      </c>
      <c r="T115" s="383" t="str">
        <f>'3ª'!$N10</f>
        <v>-</v>
      </c>
      <c r="U115" s="383" t="str">
        <f>'3ª'!$O10</f>
        <v>-</v>
      </c>
      <c r="V115" s="383" t="str">
        <f>'3ª'!$P10</f>
        <v>-</v>
      </c>
      <c r="W115" s="383" t="str">
        <f>'3ª'!$Q10</f>
        <v>-</v>
      </c>
      <c r="X115" s="383" t="str">
        <f>'3ª'!$R10</f>
        <v>-</v>
      </c>
      <c r="Y115" s="383" t="str">
        <f>'3ª'!$S10</f>
        <v>-</v>
      </c>
      <c r="Z115" s="384">
        <f>'3ª'!$T10</f>
        <v>0</v>
      </c>
      <c r="AA115" s="384">
        <f>'3ª'!$U10</f>
        <v>0</v>
      </c>
      <c r="AB115" s="385" t="s">
        <v>323</v>
      </c>
      <c r="AC115" s="385"/>
      <c r="AD115" s="435" t="s">
        <v>466</v>
      </c>
    </row>
    <row r="116" spans="1:30" ht="15.75" x14ac:dyDescent="0.25">
      <c r="A116" s="416" t="str">
        <f>RIGHT('[1]3ª'!$A$5:$D$5,12)</f>
        <v>3ª SÉRIE E.F</v>
      </c>
      <c r="B116" s="451">
        <v>5</v>
      </c>
      <c r="C116" s="248">
        <f>'3ª'!$B11</f>
        <v>18357</v>
      </c>
      <c r="D116" s="362" t="str">
        <f>'3ª'!$C11</f>
        <v>JOSETE FERREIRA DAMIAO DA SILVA</v>
      </c>
      <c r="E116" s="249" t="str">
        <f>'3ª'!$D11</f>
        <v>F</v>
      </c>
      <c r="F116" s="249" t="str">
        <f>'3ª'!$E11</f>
        <v>MC</v>
      </c>
      <c r="G116" s="250">
        <f>'3ª'!$F11</f>
        <v>23056</v>
      </c>
      <c r="H116" s="362">
        <f>'3ª'!$G11</f>
        <v>0</v>
      </c>
      <c r="I116" s="363" t="str">
        <f>'3ª'!$H11</f>
        <v>67130928-6</v>
      </c>
      <c r="J116" s="362"/>
      <c r="K116" s="362" t="str">
        <f>'3ª'!$I11</f>
        <v>MC - 05/08</v>
      </c>
      <c r="L116" s="250" t="str">
        <f ca="1">'3ª'!$J11</f>
        <v>DISP.IDADE</v>
      </c>
      <c r="M116" s="362"/>
      <c r="N116" s="252">
        <f ca="1">'3ª'!$K11</f>
        <v>62</v>
      </c>
      <c r="O116" s="362"/>
      <c r="P116" s="253" t="s">
        <v>110</v>
      </c>
      <c r="Q116" s="415" t="s">
        <v>249</v>
      </c>
      <c r="R116" s="383" t="str">
        <f>'3ª'!$L11</f>
        <v>Não</v>
      </c>
      <c r="S116" s="383" t="str">
        <f>'3ª'!$M11</f>
        <v>Eliane</v>
      </c>
      <c r="T116" s="383" t="str">
        <f>'3ª'!$N11</f>
        <v>-</v>
      </c>
      <c r="U116" s="383" t="str">
        <f>'3ª'!$O11</f>
        <v>-</v>
      </c>
      <c r="V116" s="383" t="str">
        <f>'3ª'!$P11</f>
        <v>-</v>
      </c>
      <c r="W116" s="383" t="str">
        <f>'3ª'!$Q11</f>
        <v>-</v>
      </c>
      <c r="X116" s="383" t="str">
        <f>'3ª'!$R11</f>
        <v>-</v>
      </c>
      <c r="Y116" s="383" t="str">
        <f>'3ª'!$S11</f>
        <v>-</v>
      </c>
      <c r="Z116" s="384" t="str">
        <f>'3ª'!$T11</f>
        <v>Sem Informação</v>
      </c>
      <c r="AA116" s="384" t="str">
        <f>'3ª'!$U11</f>
        <v>MC por Solicitação do Responsavel</v>
      </c>
      <c r="AB116" s="385" t="s">
        <v>323</v>
      </c>
      <c r="AC116" s="385"/>
      <c r="AD116" s="435" t="s">
        <v>466</v>
      </c>
    </row>
    <row r="117" spans="1:30" ht="15.75" x14ac:dyDescent="0.25">
      <c r="A117" s="416" t="str">
        <f>RIGHT('[1]3ª'!$A$5:$D$5,12)</f>
        <v>3ª SÉRIE E.F</v>
      </c>
      <c r="B117" s="451">
        <v>6</v>
      </c>
      <c r="C117" s="248">
        <f>'3ª'!$B12</f>
        <v>18747</v>
      </c>
      <c r="D117" s="362" t="str">
        <f>'3ª'!$C12</f>
        <v xml:space="preserve">MARIA LUCIA LEITE DE OLIVEIRA </v>
      </c>
      <c r="E117" s="249" t="str">
        <f>'3ª'!$D12</f>
        <v>F</v>
      </c>
      <c r="F117" s="249" t="str">
        <f>'3ª'!$E12</f>
        <v>MA</v>
      </c>
      <c r="G117" s="250">
        <f>'3ª'!$F12</f>
        <v>21869</v>
      </c>
      <c r="H117" s="362">
        <f>'3ª'!$G12</f>
        <v>0</v>
      </c>
      <c r="I117" s="363">
        <f>'3ª'!$H12</f>
        <v>131542312</v>
      </c>
      <c r="J117" s="362"/>
      <c r="K117" s="362">
        <f>'3ª'!$I12</f>
        <v>0</v>
      </c>
      <c r="L117" s="250" t="str">
        <f ca="1">'3ª'!$J12</f>
        <v>DISP.IDADE</v>
      </c>
      <c r="M117" s="362"/>
      <c r="N117" s="252">
        <f ca="1">'3ª'!$K12</f>
        <v>65</v>
      </c>
      <c r="O117" s="362"/>
      <c r="P117" s="253" t="s">
        <v>110</v>
      </c>
      <c r="Q117" s="415" t="s">
        <v>249</v>
      </c>
      <c r="R117" s="383" t="str">
        <f>'3ª'!$L12</f>
        <v>Não</v>
      </c>
      <c r="S117" s="383" t="str">
        <f>'3ª'!$M12</f>
        <v>Eliane</v>
      </c>
      <c r="T117" s="383" t="str">
        <f>'3ª'!$N12</f>
        <v>-</v>
      </c>
      <c r="U117" s="383" t="str">
        <f>'3ª'!$O12</f>
        <v>-</v>
      </c>
      <c r="V117" s="383" t="str">
        <f>'3ª'!$P12</f>
        <v>-</v>
      </c>
      <c r="W117" s="383" t="str">
        <f>'3ª'!$Q12</f>
        <v>-</v>
      </c>
      <c r="X117" s="383" t="str">
        <f>'3ª'!$R12</f>
        <v>-</v>
      </c>
      <c r="Y117" s="383" t="str">
        <f>'3ª'!$S12</f>
        <v>-</v>
      </c>
      <c r="Z117" s="384">
        <f>'3ª'!$T12</f>
        <v>0</v>
      </c>
      <c r="AA117" s="384">
        <f>'3ª'!$U12</f>
        <v>0</v>
      </c>
      <c r="AB117" s="385" t="s">
        <v>323</v>
      </c>
      <c r="AC117" s="385"/>
      <c r="AD117" s="435" t="s">
        <v>466</v>
      </c>
    </row>
    <row r="118" spans="1:30" ht="15.75" x14ac:dyDescent="0.25">
      <c r="A118" s="416" t="str">
        <f>RIGHT('[1]3ª'!$A$5:$D$5,12)</f>
        <v>3ª SÉRIE E.F</v>
      </c>
      <c r="B118" s="451">
        <v>7</v>
      </c>
      <c r="C118" s="248">
        <f>'3ª'!$B13</f>
        <v>18906</v>
      </c>
      <c r="D118" s="362" t="str">
        <f>'3ª'!$C13</f>
        <v>MYKAELLY CRISTINA CARVALHO CAMPOS</v>
      </c>
      <c r="E118" s="249" t="str">
        <f>'3ª'!$D13</f>
        <v>F</v>
      </c>
      <c r="F118" s="249" t="str">
        <f>'3ª'!$E13</f>
        <v>MA</v>
      </c>
      <c r="G118" s="250">
        <f>'3ª'!$F13</f>
        <v>40161</v>
      </c>
      <c r="H118" s="362" t="str">
        <f>'3ª'!$G13</f>
        <v>113758780-5</v>
      </c>
      <c r="I118" s="363">
        <f>'3ª'!$H13</f>
        <v>0</v>
      </c>
      <c r="J118" s="362"/>
      <c r="K118" s="362">
        <f>'3ª'!$I13</f>
        <v>0</v>
      </c>
      <c r="L118" s="250" t="str">
        <f ca="1">'3ª'!$J13</f>
        <v/>
      </c>
      <c r="M118" s="362"/>
      <c r="N118" s="252">
        <f ca="1">'3ª'!$K13</f>
        <v>15</v>
      </c>
      <c r="O118" s="362"/>
      <c r="P118" s="253" t="s">
        <v>110</v>
      </c>
      <c r="Q118" s="415" t="s">
        <v>249</v>
      </c>
      <c r="R118" s="383" t="str">
        <f>'3ª'!$L13</f>
        <v>Não</v>
      </c>
      <c r="S118" s="383" t="str">
        <f>'3ª'!$M13</f>
        <v>Eliane</v>
      </c>
      <c r="T118" s="383" t="str">
        <f>'3ª'!$N13</f>
        <v>-</v>
      </c>
      <c r="U118" s="383" t="str">
        <f>'3ª'!$O13</f>
        <v>-</v>
      </c>
      <c r="V118" s="383" t="str">
        <f>'3ª'!$P13</f>
        <v>-</v>
      </c>
      <c r="W118" s="383" t="str">
        <f>'3ª'!$Q13</f>
        <v>-</v>
      </c>
      <c r="X118" s="383" t="str">
        <f>'3ª'!$R13</f>
        <v>-</v>
      </c>
      <c r="Y118" s="383" t="str">
        <f>'3ª'!$S13</f>
        <v>-</v>
      </c>
      <c r="Z118" s="384">
        <f>'3ª'!$T13</f>
        <v>0</v>
      </c>
      <c r="AA118" s="384">
        <f>'3ª'!$U13</f>
        <v>0</v>
      </c>
      <c r="AB118" s="385" t="s">
        <v>323</v>
      </c>
      <c r="AC118" s="385"/>
      <c r="AD118" s="435" t="s">
        <v>466</v>
      </c>
    </row>
    <row r="119" spans="1:30" ht="15.75" x14ac:dyDescent="0.25">
      <c r="A119" s="416" t="str">
        <f>RIGHT('[1]3ª'!$A$5:$D$5,12)</f>
        <v>3ª SÉRIE E.F</v>
      </c>
      <c r="B119" s="451">
        <v>8</v>
      </c>
      <c r="C119" s="248">
        <f>'3ª'!$B14</f>
        <v>0</v>
      </c>
      <c r="D119" s="362">
        <f>'3ª'!$C14</f>
        <v>0</v>
      </c>
      <c r="E119" s="249">
        <f>'3ª'!$D14</f>
        <v>0</v>
      </c>
      <c r="F119" s="249" t="str">
        <f>'3ª'!$E14</f>
        <v/>
      </c>
      <c r="G119" s="250">
        <f>'3ª'!$F14</f>
        <v>0</v>
      </c>
      <c r="H119" s="362">
        <f>'3ª'!$G14</f>
        <v>0</v>
      </c>
      <c r="I119" s="363">
        <f>'3ª'!$H14</f>
        <v>0</v>
      </c>
      <c r="J119" s="362"/>
      <c r="K119" s="362">
        <f>'3ª'!$I14</f>
        <v>0</v>
      </c>
      <c r="L119" s="250" t="str">
        <f ca="1">'3ª'!$J14</f>
        <v/>
      </c>
      <c r="M119" s="362"/>
      <c r="N119" s="252" t="str">
        <f ca="1">'3ª'!$K14</f>
        <v/>
      </c>
      <c r="O119" s="362"/>
      <c r="P119" s="253" t="s">
        <v>110</v>
      </c>
      <c r="Q119" s="415" t="s">
        <v>249</v>
      </c>
      <c r="R119" s="383" t="str">
        <f>'3ª'!$L14</f>
        <v>Não</v>
      </c>
      <c r="S119" s="383" t="str">
        <f>'3ª'!$M14</f>
        <v>Eliane</v>
      </c>
      <c r="T119" s="383" t="str">
        <f>'3ª'!$N14</f>
        <v>-</v>
      </c>
      <c r="U119" s="383" t="str">
        <f>'3ª'!$O14</f>
        <v>-</v>
      </c>
      <c r="V119" s="383" t="str">
        <f>'3ª'!$P14</f>
        <v>-</v>
      </c>
      <c r="W119" s="383" t="str">
        <f>'3ª'!$Q14</f>
        <v>-</v>
      </c>
      <c r="X119" s="383" t="str">
        <f>'3ª'!$R14</f>
        <v>-</v>
      </c>
      <c r="Y119" s="383" t="str">
        <f>'3ª'!$S14</f>
        <v>-</v>
      </c>
      <c r="Z119" s="384">
        <f>'3ª'!$T14</f>
        <v>0</v>
      </c>
      <c r="AA119" s="384">
        <f>'3ª'!$U14</f>
        <v>0</v>
      </c>
      <c r="AB119" s="385" t="s">
        <v>323</v>
      </c>
      <c r="AC119" s="385"/>
      <c r="AD119" s="435" t="s">
        <v>466</v>
      </c>
    </row>
    <row r="120" spans="1:30" ht="15.75" x14ac:dyDescent="0.25">
      <c r="A120" s="416" t="str">
        <f>RIGHT('[1]3ª'!$A$5:$D$5,12)</f>
        <v>3ª SÉRIE E.F</v>
      </c>
      <c r="B120" s="451">
        <v>9</v>
      </c>
      <c r="C120" s="248">
        <f>'3ª'!$B15</f>
        <v>0</v>
      </c>
      <c r="D120" s="362">
        <f>'3ª'!$C15</f>
        <v>0</v>
      </c>
      <c r="E120" s="249">
        <f>'3ª'!$D15</f>
        <v>0</v>
      </c>
      <c r="F120" s="249" t="str">
        <f>'3ª'!$E15</f>
        <v/>
      </c>
      <c r="G120" s="250">
        <f>'3ª'!$F15</f>
        <v>0</v>
      </c>
      <c r="H120" s="362">
        <f>'3ª'!$G15</f>
        <v>0</v>
      </c>
      <c r="I120" s="363">
        <f>'3ª'!$H15</f>
        <v>0</v>
      </c>
      <c r="J120" s="362"/>
      <c r="K120" s="362">
        <f>'3ª'!$I15</f>
        <v>0</v>
      </c>
      <c r="L120" s="250" t="str">
        <f ca="1">'3ª'!$J15</f>
        <v/>
      </c>
      <c r="M120" s="362"/>
      <c r="N120" s="252" t="str">
        <f ca="1">'3ª'!$K15</f>
        <v/>
      </c>
      <c r="O120" s="362"/>
      <c r="P120" s="253" t="s">
        <v>110</v>
      </c>
      <c r="Q120" s="415" t="s">
        <v>249</v>
      </c>
      <c r="R120" s="383" t="str">
        <f>'3ª'!$L15</f>
        <v>Não</v>
      </c>
      <c r="S120" s="383" t="str">
        <f>'3ª'!$M15</f>
        <v>Eliane</v>
      </c>
      <c r="T120" s="383" t="str">
        <f>'3ª'!$N15</f>
        <v>-</v>
      </c>
      <c r="U120" s="383" t="str">
        <f>'3ª'!$O15</f>
        <v>-</v>
      </c>
      <c r="V120" s="383" t="str">
        <f>'3ª'!$P15</f>
        <v>-</v>
      </c>
      <c r="W120" s="383" t="str">
        <f>'3ª'!$Q15</f>
        <v>-</v>
      </c>
      <c r="X120" s="383" t="str">
        <f>'3ª'!$R15</f>
        <v>-</v>
      </c>
      <c r="Y120" s="383" t="str">
        <f>'3ª'!$S15</f>
        <v>-</v>
      </c>
      <c r="Z120" s="384">
        <f>'3ª'!$T15</f>
        <v>0</v>
      </c>
      <c r="AA120" s="384">
        <f>'3ª'!$U15</f>
        <v>0</v>
      </c>
      <c r="AB120" s="385" t="s">
        <v>323</v>
      </c>
      <c r="AC120" s="385"/>
      <c r="AD120" s="435" t="s">
        <v>466</v>
      </c>
    </row>
    <row r="121" spans="1:30" ht="15.75" x14ac:dyDescent="0.25">
      <c r="A121" s="416" t="str">
        <f>RIGHT('[1]3ª'!$A$5:$D$5,12)</f>
        <v>3ª SÉRIE E.F</v>
      </c>
      <c r="B121" s="451">
        <v>10</v>
      </c>
      <c r="C121" s="248">
        <f>'3ª'!$B16</f>
        <v>0</v>
      </c>
      <c r="D121" s="362">
        <f>'3ª'!$C16</f>
        <v>0</v>
      </c>
      <c r="E121" s="249">
        <f>'3ª'!$D16</f>
        <v>0</v>
      </c>
      <c r="F121" s="249" t="str">
        <f>'3ª'!$E16</f>
        <v/>
      </c>
      <c r="G121" s="250">
        <f>'3ª'!$F16</f>
        <v>0</v>
      </c>
      <c r="H121" s="362">
        <f>'3ª'!$G16</f>
        <v>0</v>
      </c>
      <c r="I121" s="363">
        <f>'3ª'!$H16</f>
        <v>0</v>
      </c>
      <c r="J121" s="362"/>
      <c r="K121" s="362">
        <f>'3ª'!$I16</f>
        <v>0</v>
      </c>
      <c r="L121" s="250" t="str">
        <f ca="1">'3ª'!$J16</f>
        <v/>
      </c>
      <c r="M121" s="362"/>
      <c r="N121" s="252" t="str">
        <f ca="1">'3ª'!$K16</f>
        <v/>
      </c>
      <c r="O121" s="362"/>
      <c r="P121" s="253" t="s">
        <v>110</v>
      </c>
      <c r="Q121" s="415" t="s">
        <v>249</v>
      </c>
      <c r="R121" s="383" t="str">
        <f>'3ª'!$L16</f>
        <v>Não</v>
      </c>
      <c r="S121" s="383" t="str">
        <f>'3ª'!$M16</f>
        <v>Eliane</v>
      </c>
      <c r="T121" s="383" t="str">
        <f>'3ª'!$N16</f>
        <v>-</v>
      </c>
      <c r="U121" s="383" t="str">
        <f>'3ª'!$O16</f>
        <v>-</v>
      </c>
      <c r="V121" s="383" t="str">
        <f>'3ª'!$P16</f>
        <v>-</v>
      </c>
      <c r="W121" s="383" t="str">
        <f>'3ª'!$Q16</f>
        <v>-</v>
      </c>
      <c r="X121" s="383" t="str">
        <f>'3ª'!$R16</f>
        <v>-</v>
      </c>
      <c r="Y121" s="383" t="str">
        <f>'3ª'!$S16</f>
        <v>-</v>
      </c>
      <c r="Z121" s="384">
        <f>'3ª'!$T16</f>
        <v>0</v>
      </c>
      <c r="AA121" s="384">
        <f>'3ª'!$U16</f>
        <v>0</v>
      </c>
      <c r="AB121" s="385" t="s">
        <v>323</v>
      </c>
      <c r="AC121" s="385"/>
      <c r="AD121" s="435" t="s">
        <v>466</v>
      </c>
    </row>
    <row r="122" spans="1:30" ht="15.75" x14ac:dyDescent="0.25">
      <c r="A122" s="416" t="str">
        <f>RIGHT('[1]3ª'!$A$5:$D$5,12)</f>
        <v>3ª SÉRIE E.F</v>
      </c>
      <c r="B122" s="451">
        <v>11</v>
      </c>
      <c r="C122" s="248">
        <f>'3ª'!$B17</f>
        <v>0</v>
      </c>
      <c r="D122" s="362">
        <f>'3ª'!$C17</f>
        <v>0</v>
      </c>
      <c r="E122" s="249">
        <f>'3ª'!$D17</f>
        <v>0</v>
      </c>
      <c r="F122" s="249" t="str">
        <f>'3ª'!$E17</f>
        <v/>
      </c>
      <c r="G122" s="250">
        <f>'3ª'!$F17</f>
        <v>0</v>
      </c>
      <c r="H122" s="362">
        <f>'3ª'!$G17</f>
        <v>0</v>
      </c>
      <c r="I122" s="363">
        <f>'3ª'!$H17</f>
        <v>0</v>
      </c>
      <c r="J122" s="362"/>
      <c r="K122" s="362">
        <f>'3ª'!$I17</f>
        <v>0</v>
      </c>
      <c r="L122" s="250" t="str">
        <f ca="1">'3ª'!$J17</f>
        <v/>
      </c>
      <c r="M122" s="362"/>
      <c r="N122" s="252" t="str">
        <f ca="1">'3ª'!$K17</f>
        <v/>
      </c>
      <c r="O122" s="362"/>
      <c r="P122" s="253" t="s">
        <v>110</v>
      </c>
      <c r="Q122" s="415" t="s">
        <v>249</v>
      </c>
      <c r="R122" s="383" t="str">
        <f>'3ª'!$L17</f>
        <v>Não</v>
      </c>
      <c r="S122" s="383" t="str">
        <f>'3ª'!$M17</f>
        <v>Eliane</v>
      </c>
      <c r="T122" s="383" t="str">
        <f>'3ª'!$N17</f>
        <v>-</v>
      </c>
      <c r="U122" s="383" t="str">
        <f>'3ª'!$O17</f>
        <v>-</v>
      </c>
      <c r="V122" s="383" t="str">
        <f>'3ª'!$P17</f>
        <v>-</v>
      </c>
      <c r="W122" s="383" t="str">
        <f>'3ª'!$Q17</f>
        <v>-</v>
      </c>
      <c r="X122" s="383" t="str">
        <f>'3ª'!$R17</f>
        <v>-</v>
      </c>
      <c r="Y122" s="383" t="str">
        <f>'3ª'!$S17</f>
        <v>-</v>
      </c>
      <c r="Z122" s="384">
        <f>'3ª'!$T17</f>
        <v>0</v>
      </c>
      <c r="AA122" s="384">
        <f>'3ª'!$U17</f>
        <v>0</v>
      </c>
      <c r="AB122" s="385" t="s">
        <v>323</v>
      </c>
      <c r="AC122" s="385"/>
      <c r="AD122" s="435" t="s">
        <v>466</v>
      </c>
    </row>
    <row r="123" spans="1:30" ht="15.75" x14ac:dyDescent="0.25">
      <c r="A123" s="416" t="str">
        <f>RIGHT('[1]3ª'!$A$5:$D$5,12)</f>
        <v>3ª SÉRIE E.F</v>
      </c>
      <c r="B123" s="451">
        <v>12</v>
      </c>
      <c r="C123" s="248">
        <f>'3ª'!$B18</f>
        <v>0</v>
      </c>
      <c r="D123" s="362">
        <f>'3ª'!$C18</f>
        <v>0</v>
      </c>
      <c r="E123" s="249">
        <f>'3ª'!$D18</f>
        <v>0</v>
      </c>
      <c r="F123" s="249" t="str">
        <f>'3ª'!$E18</f>
        <v/>
      </c>
      <c r="G123" s="250">
        <f>'3ª'!$F18</f>
        <v>0</v>
      </c>
      <c r="H123" s="362">
        <f>'3ª'!$G18</f>
        <v>0</v>
      </c>
      <c r="I123" s="363">
        <f>'3ª'!$H18</f>
        <v>0</v>
      </c>
      <c r="J123" s="362"/>
      <c r="K123" s="362">
        <f>'3ª'!$I18</f>
        <v>0</v>
      </c>
      <c r="L123" s="250" t="str">
        <f ca="1">'3ª'!$J18</f>
        <v/>
      </c>
      <c r="M123" s="362"/>
      <c r="N123" s="252" t="str">
        <f ca="1">'3ª'!$K18</f>
        <v/>
      </c>
      <c r="O123" s="362"/>
      <c r="P123" s="253" t="s">
        <v>110</v>
      </c>
      <c r="Q123" s="415" t="s">
        <v>249</v>
      </c>
      <c r="R123" s="383" t="str">
        <f>'3ª'!$L18</f>
        <v>Não</v>
      </c>
      <c r="S123" s="383" t="str">
        <f>'3ª'!$M18</f>
        <v>Eliane</v>
      </c>
      <c r="T123" s="383" t="str">
        <f>'3ª'!$N18</f>
        <v>-</v>
      </c>
      <c r="U123" s="383" t="str">
        <f>'3ª'!$O18</f>
        <v>-</v>
      </c>
      <c r="V123" s="383" t="str">
        <f>'3ª'!$P18</f>
        <v>-</v>
      </c>
      <c r="W123" s="383" t="str">
        <f>'3ª'!$Q18</f>
        <v>-</v>
      </c>
      <c r="X123" s="383" t="str">
        <f>'3ª'!$R18</f>
        <v>-</v>
      </c>
      <c r="Y123" s="383" t="str">
        <f>'3ª'!$S18</f>
        <v>-</v>
      </c>
      <c r="Z123" s="384">
        <f>'3ª'!$T18</f>
        <v>0</v>
      </c>
      <c r="AA123" s="384">
        <f>'3ª'!$U18</f>
        <v>0</v>
      </c>
      <c r="AB123" s="385" t="s">
        <v>323</v>
      </c>
      <c r="AC123" s="385"/>
      <c r="AD123" s="435" t="s">
        <v>466</v>
      </c>
    </row>
    <row r="124" spans="1:30" ht="15.75" x14ac:dyDescent="0.25">
      <c r="A124" s="416" t="str">
        <f>RIGHT('[1]3ª'!$A$5:$D$5,12)</f>
        <v>3ª SÉRIE E.F</v>
      </c>
      <c r="B124" s="451">
        <v>13</v>
      </c>
      <c r="C124" s="248">
        <f>'3ª'!$B19</f>
        <v>0</v>
      </c>
      <c r="D124" s="362">
        <f>'3ª'!$C19</f>
        <v>0</v>
      </c>
      <c r="E124" s="249">
        <f>'3ª'!$D19</f>
        <v>0</v>
      </c>
      <c r="F124" s="249" t="str">
        <f>'3ª'!$E19</f>
        <v/>
      </c>
      <c r="G124" s="250">
        <f>'3ª'!$F19</f>
        <v>0</v>
      </c>
      <c r="H124" s="362">
        <f>'3ª'!$G19</f>
        <v>0</v>
      </c>
      <c r="I124" s="363">
        <f>'3ª'!$H19</f>
        <v>0</v>
      </c>
      <c r="J124" s="362"/>
      <c r="K124" s="362">
        <f>'3ª'!$I19</f>
        <v>0</v>
      </c>
      <c r="L124" s="250" t="str">
        <f ca="1">'3ª'!$J19</f>
        <v/>
      </c>
      <c r="M124" s="362"/>
      <c r="N124" s="252" t="str">
        <f ca="1">'3ª'!$K19</f>
        <v/>
      </c>
      <c r="O124" s="362"/>
      <c r="P124" s="253" t="s">
        <v>110</v>
      </c>
      <c r="Q124" s="415" t="s">
        <v>249</v>
      </c>
      <c r="R124" s="383" t="str">
        <f>'3ª'!$L19</f>
        <v>Não</v>
      </c>
      <c r="S124" s="383" t="str">
        <f>'3ª'!$M19</f>
        <v>Eliane</v>
      </c>
      <c r="T124" s="383" t="str">
        <f>'3ª'!$N19</f>
        <v>-</v>
      </c>
      <c r="U124" s="383" t="str">
        <f>'3ª'!$O19</f>
        <v>-</v>
      </c>
      <c r="V124" s="383" t="str">
        <f>'3ª'!$P19</f>
        <v>-</v>
      </c>
      <c r="W124" s="383" t="str">
        <f>'3ª'!$Q19</f>
        <v>-</v>
      </c>
      <c r="X124" s="383" t="str">
        <f>'3ª'!$R19</f>
        <v>-</v>
      </c>
      <c r="Y124" s="383" t="str">
        <f>'3ª'!$S19</f>
        <v>-</v>
      </c>
      <c r="Z124" s="384">
        <f>'3ª'!$T19</f>
        <v>0</v>
      </c>
      <c r="AA124" s="384">
        <f>'3ª'!$U19</f>
        <v>0</v>
      </c>
      <c r="AB124" s="385" t="s">
        <v>323</v>
      </c>
      <c r="AC124" s="385"/>
      <c r="AD124" s="435" t="s">
        <v>466</v>
      </c>
    </row>
    <row r="125" spans="1:30" ht="15.75" x14ac:dyDescent="0.25">
      <c r="A125" s="416" t="str">
        <f>RIGHT('[1]3ª'!$A$5:$D$5,12)</f>
        <v>3ª SÉRIE E.F</v>
      </c>
      <c r="B125" s="451">
        <v>14</v>
      </c>
      <c r="C125" s="248">
        <f>'3ª'!$B20</f>
        <v>0</v>
      </c>
      <c r="D125" s="362">
        <f>'3ª'!$C20</f>
        <v>0</v>
      </c>
      <c r="E125" s="249">
        <f>'3ª'!$D20</f>
        <v>0</v>
      </c>
      <c r="F125" s="249" t="str">
        <f>'3ª'!$E20</f>
        <v/>
      </c>
      <c r="G125" s="250">
        <f>'3ª'!$F20</f>
        <v>0</v>
      </c>
      <c r="H125" s="362">
        <f>'3ª'!$G20</f>
        <v>0</v>
      </c>
      <c r="I125" s="363">
        <f>'3ª'!$H20</f>
        <v>0</v>
      </c>
      <c r="J125" s="362"/>
      <c r="K125" s="362">
        <f>'3ª'!$I20</f>
        <v>0</v>
      </c>
      <c r="L125" s="250" t="str">
        <f ca="1">'3ª'!$J20</f>
        <v/>
      </c>
      <c r="M125" s="362"/>
      <c r="N125" s="252" t="str">
        <f ca="1">'3ª'!$K20</f>
        <v/>
      </c>
      <c r="O125" s="362"/>
      <c r="P125" s="253" t="s">
        <v>110</v>
      </c>
      <c r="Q125" s="415" t="s">
        <v>249</v>
      </c>
      <c r="R125" s="383" t="str">
        <f>'3ª'!$L20</f>
        <v>Não</v>
      </c>
      <c r="S125" s="383" t="str">
        <f>'3ª'!$M20</f>
        <v>Eliane</v>
      </c>
      <c r="T125" s="383" t="str">
        <f>'3ª'!$N20</f>
        <v>-</v>
      </c>
      <c r="U125" s="383" t="str">
        <f>'3ª'!$O20</f>
        <v>-</v>
      </c>
      <c r="V125" s="383" t="str">
        <f>'3ª'!$P20</f>
        <v>-</v>
      </c>
      <c r="W125" s="383" t="str">
        <f>'3ª'!$Q20</f>
        <v>-</v>
      </c>
      <c r="X125" s="383" t="str">
        <f>'3ª'!$R20</f>
        <v>-</v>
      </c>
      <c r="Y125" s="383" t="str">
        <f>'3ª'!$S20</f>
        <v>-</v>
      </c>
      <c r="Z125" s="384">
        <f>'3ª'!$T20</f>
        <v>0</v>
      </c>
      <c r="AA125" s="384">
        <f>'3ª'!$U20</f>
        <v>0</v>
      </c>
      <c r="AB125" s="385" t="s">
        <v>323</v>
      </c>
      <c r="AC125" s="385"/>
      <c r="AD125" s="435" t="s">
        <v>466</v>
      </c>
    </row>
    <row r="126" spans="1:30" ht="15.75" x14ac:dyDescent="0.25">
      <c r="A126" s="416" t="str">
        <f>RIGHT('[1]3ª'!$A$5:$D$5,12)</f>
        <v>3ª SÉRIE E.F</v>
      </c>
      <c r="B126" s="451">
        <v>15</v>
      </c>
      <c r="C126" s="248">
        <f>'3ª'!$B21</f>
        <v>0</v>
      </c>
      <c r="D126" s="362">
        <f>'3ª'!$C21</f>
        <v>0</v>
      </c>
      <c r="E126" s="249">
        <f>'3ª'!$D21</f>
        <v>0</v>
      </c>
      <c r="F126" s="249" t="str">
        <f>'3ª'!$E21</f>
        <v/>
      </c>
      <c r="G126" s="250">
        <f>'3ª'!$F21</f>
        <v>0</v>
      </c>
      <c r="H126" s="362">
        <f>'3ª'!$G21</f>
        <v>0</v>
      </c>
      <c r="I126" s="363">
        <f>'3ª'!$H21</f>
        <v>0</v>
      </c>
      <c r="J126" s="362"/>
      <c r="K126" s="362">
        <f>'3ª'!$I21</f>
        <v>0</v>
      </c>
      <c r="L126" s="250" t="str">
        <f ca="1">'3ª'!$J21</f>
        <v/>
      </c>
      <c r="M126" s="362"/>
      <c r="N126" s="252" t="str">
        <f ca="1">'3ª'!$K21</f>
        <v/>
      </c>
      <c r="O126" s="362"/>
      <c r="P126" s="253" t="s">
        <v>110</v>
      </c>
      <c r="Q126" s="415" t="s">
        <v>249</v>
      </c>
      <c r="R126" s="383" t="str">
        <f>'3ª'!$L21</f>
        <v>Não</v>
      </c>
      <c r="S126" s="383" t="str">
        <f>'3ª'!$M21</f>
        <v>Eliane</v>
      </c>
      <c r="T126" s="383" t="str">
        <f>'3ª'!$N21</f>
        <v>-</v>
      </c>
      <c r="U126" s="383" t="str">
        <f>'3ª'!$O21</f>
        <v>-</v>
      </c>
      <c r="V126" s="383" t="str">
        <f>'3ª'!$P21</f>
        <v>-</v>
      </c>
      <c r="W126" s="383" t="str">
        <f>'3ª'!$Q21</f>
        <v>-</v>
      </c>
      <c r="X126" s="383" t="str">
        <f>'3ª'!$R21</f>
        <v>-</v>
      </c>
      <c r="Y126" s="383" t="str">
        <f>'3ª'!$S21</f>
        <v>-</v>
      </c>
      <c r="Z126" s="384">
        <f>'3ª'!$T21</f>
        <v>0</v>
      </c>
      <c r="AA126" s="384">
        <f>'3ª'!$U21</f>
        <v>0</v>
      </c>
      <c r="AB126" s="385" t="s">
        <v>323</v>
      </c>
      <c r="AC126" s="385"/>
      <c r="AD126" s="435" t="s">
        <v>466</v>
      </c>
    </row>
    <row r="127" spans="1:30" ht="15.75" x14ac:dyDescent="0.25">
      <c r="A127" s="416" t="str">
        <f>RIGHT('[1]3ª'!$A$5:$D$5,12)</f>
        <v>3ª SÉRIE E.F</v>
      </c>
      <c r="B127" s="451">
        <v>16</v>
      </c>
      <c r="C127" s="248">
        <f>'3ª'!$B22</f>
        <v>0</v>
      </c>
      <c r="D127" s="362">
        <f>'3ª'!$C22</f>
        <v>0</v>
      </c>
      <c r="E127" s="249">
        <f>'3ª'!$D22</f>
        <v>0</v>
      </c>
      <c r="F127" s="249" t="str">
        <f>'3ª'!$E22</f>
        <v/>
      </c>
      <c r="G127" s="250">
        <f>'3ª'!$F22</f>
        <v>0</v>
      </c>
      <c r="H127" s="362">
        <f>'3ª'!$G22</f>
        <v>0</v>
      </c>
      <c r="I127" s="363">
        <f>'3ª'!$H22</f>
        <v>0</v>
      </c>
      <c r="J127" s="362"/>
      <c r="K127" s="362">
        <f>'3ª'!$I22</f>
        <v>0</v>
      </c>
      <c r="L127" s="250" t="str">
        <f ca="1">'3ª'!$J22</f>
        <v/>
      </c>
      <c r="M127" s="362"/>
      <c r="N127" s="252" t="str">
        <f ca="1">'3ª'!$K22</f>
        <v/>
      </c>
      <c r="O127" s="362"/>
      <c r="P127" s="253" t="s">
        <v>110</v>
      </c>
      <c r="Q127" s="415" t="s">
        <v>249</v>
      </c>
      <c r="R127" s="383" t="str">
        <f>'3ª'!$L22</f>
        <v>Não</v>
      </c>
      <c r="S127" s="383" t="str">
        <f>'3ª'!$M22</f>
        <v>Eliane</v>
      </c>
      <c r="T127" s="383" t="str">
        <f>'3ª'!$N22</f>
        <v>-</v>
      </c>
      <c r="U127" s="383" t="str">
        <f>'3ª'!$O22</f>
        <v>-</v>
      </c>
      <c r="V127" s="383" t="str">
        <f>'3ª'!$P22</f>
        <v>-</v>
      </c>
      <c r="W127" s="383" t="str">
        <f>'3ª'!$Q22</f>
        <v>-</v>
      </c>
      <c r="X127" s="383" t="str">
        <f>'3ª'!$R22</f>
        <v>-</v>
      </c>
      <c r="Y127" s="383" t="str">
        <f>'3ª'!$S22</f>
        <v>-</v>
      </c>
      <c r="Z127" s="384">
        <f>'3ª'!$T22</f>
        <v>0</v>
      </c>
      <c r="AA127" s="384">
        <f>'3ª'!$U22</f>
        <v>0</v>
      </c>
      <c r="AB127" s="385" t="s">
        <v>323</v>
      </c>
      <c r="AC127" s="385"/>
      <c r="AD127" s="435" t="s">
        <v>466</v>
      </c>
    </row>
    <row r="128" spans="1:30" ht="15.75" x14ac:dyDescent="0.25">
      <c r="A128" s="416" t="str">
        <f>RIGHT('[1]3ª'!$A$5:$D$5,12)</f>
        <v>3ª SÉRIE E.F</v>
      </c>
      <c r="B128" s="451">
        <v>17</v>
      </c>
      <c r="C128" s="248">
        <f>'3ª'!$B23</f>
        <v>0</v>
      </c>
      <c r="D128" s="362">
        <f>'3ª'!$C23</f>
        <v>0</v>
      </c>
      <c r="E128" s="249">
        <f>'3ª'!$D23</f>
        <v>0</v>
      </c>
      <c r="F128" s="249" t="str">
        <f>'3ª'!$E23</f>
        <v/>
      </c>
      <c r="G128" s="250">
        <f>'3ª'!$F23</f>
        <v>0</v>
      </c>
      <c r="H128" s="362">
        <f>'3ª'!$G23</f>
        <v>0</v>
      </c>
      <c r="I128" s="363">
        <f>'3ª'!$H23</f>
        <v>0</v>
      </c>
      <c r="J128" s="362"/>
      <c r="K128" s="362">
        <f>'3ª'!$I23</f>
        <v>0</v>
      </c>
      <c r="L128" s="250" t="str">
        <f ca="1">'3ª'!$J23</f>
        <v/>
      </c>
      <c r="M128" s="362"/>
      <c r="N128" s="252" t="str">
        <f ca="1">'3ª'!$K23</f>
        <v/>
      </c>
      <c r="O128" s="362"/>
      <c r="P128" s="253" t="s">
        <v>110</v>
      </c>
      <c r="Q128" s="415" t="s">
        <v>249</v>
      </c>
      <c r="R128" s="383" t="str">
        <f>'3ª'!$L23</f>
        <v>Não</v>
      </c>
      <c r="S128" s="383" t="str">
        <f>'3ª'!$M23</f>
        <v>Eliane</v>
      </c>
      <c r="T128" s="383" t="str">
        <f>'3ª'!$N23</f>
        <v>-</v>
      </c>
      <c r="U128" s="383" t="str">
        <f>'3ª'!$O23</f>
        <v>-</v>
      </c>
      <c r="V128" s="383" t="str">
        <f>'3ª'!$P23</f>
        <v>-</v>
      </c>
      <c r="W128" s="383" t="str">
        <f>'3ª'!$Q23</f>
        <v>-</v>
      </c>
      <c r="X128" s="383" t="str">
        <f>'3ª'!$R23</f>
        <v>-</v>
      </c>
      <c r="Y128" s="383" t="str">
        <f>'3ª'!$S23</f>
        <v>-</v>
      </c>
      <c r="Z128" s="384">
        <f>'3ª'!$T23</f>
        <v>0</v>
      </c>
      <c r="AA128" s="384">
        <f>'3ª'!$U23</f>
        <v>0</v>
      </c>
      <c r="AB128" s="385" t="s">
        <v>323</v>
      </c>
      <c r="AC128" s="385"/>
      <c r="AD128" s="435" t="s">
        <v>466</v>
      </c>
    </row>
    <row r="129" spans="1:30" ht="15.75" x14ac:dyDescent="0.25">
      <c r="A129" s="416" t="str">
        <f>RIGHT('[1]3ª'!$A$5:$D$5,12)</f>
        <v>3ª SÉRIE E.F</v>
      </c>
      <c r="B129" s="451">
        <v>18</v>
      </c>
      <c r="C129" s="248">
        <f>'3ª'!$B24</f>
        <v>0</v>
      </c>
      <c r="D129" s="362">
        <f>'3ª'!$C24</f>
        <v>0</v>
      </c>
      <c r="E129" s="249">
        <f>'3ª'!$D24</f>
        <v>0</v>
      </c>
      <c r="F129" s="249" t="str">
        <f>'3ª'!$E24</f>
        <v/>
      </c>
      <c r="G129" s="250">
        <f>'3ª'!$F24</f>
        <v>0</v>
      </c>
      <c r="H129" s="362">
        <f>'3ª'!$G24</f>
        <v>0</v>
      </c>
      <c r="I129" s="363">
        <f>'3ª'!$H24</f>
        <v>0</v>
      </c>
      <c r="J129" s="362"/>
      <c r="K129" s="362">
        <f>'3ª'!$I24</f>
        <v>0</v>
      </c>
      <c r="L129" s="250" t="str">
        <f ca="1">'3ª'!$J24</f>
        <v/>
      </c>
      <c r="M129" s="362"/>
      <c r="N129" s="252" t="str">
        <f ca="1">'3ª'!$K24</f>
        <v/>
      </c>
      <c r="O129" s="362"/>
      <c r="P129" s="253" t="s">
        <v>110</v>
      </c>
      <c r="Q129" s="415" t="s">
        <v>249</v>
      </c>
      <c r="R129" s="383" t="str">
        <f>'3ª'!$L24</f>
        <v>Não</v>
      </c>
      <c r="S129" s="383" t="str">
        <f>'3ª'!$M24</f>
        <v>Eliane</v>
      </c>
      <c r="T129" s="383" t="str">
        <f>'3ª'!$N24</f>
        <v>-</v>
      </c>
      <c r="U129" s="383" t="str">
        <f>'3ª'!$O24</f>
        <v>-</v>
      </c>
      <c r="V129" s="383" t="str">
        <f>'3ª'!$P24</f>
        <v>-</v>
      </c>
      <c r="W129" s="383" t="str">
        <f>'3ª'!$Q24</f>
        <v>-</v>
      </c>
      <c r="X129" s="383" t="str">
        <f>'3ª'!$R24</f>
        <v>-</v>
      </c>
      <c r="Y129" s="383" t="str">
        <f>'3ª'!$S24</f>
        <v>-</v>
      </c>
      <c r="Z129" s="384">
        <f>'3ª'!$T24</f>
        <v>0</v>
      </c>
      <c r="AA129" s="384">
        <f>'3ª'!$U24</f>
        <v>0</v>
      </c>
      <c r="AB129" s="385" t="s">
        <v>323</v>
      </c>
      <c r="AC129" s="385"/>
      <c r="AD129" s="435" t="s">
        <v>466</v>
      </c>
    </row>
    <row r="130" spans="1:30" ht="15.75" x14ac:dyDescent="0.25">
      <c r="A130" s="416" t="str">
        <f>RIGHT('[1]3ª'!$A$5:$D$5,12)</f>
        <v>3ª SÉRIE E.F</v>
      </c>
      <c r="B130" s="451">
        <v>19</v>
      </c>
      <c r="C130" s="248">
        <f>'3ª'!$B25</f>
        <v>0</v>
      </c>
      <c r="D130" s="362">
        <f>'3ª'!$C25</f>
        <v>0</v>
      </c>
      <c r="E130" s="249">
        <f>'3ª'!$D25</f>
        <v>0</v>
      </c>
      <c r="F130" s="249" t="str">
        <f>'3ª'!$E25</f>
        <v/>
      </c>
      <c r="G130" s="250">
        <f>'3ª'!$F25</f>
        <v>0</v>
      </c>
      <c r="H130" s="362">
        <f>'3ª'!$G25</f>
        <v>0</v>
      </c>
      <c r="I130" s="363">
        <f>'3ª'!$H25</f>
        <v>0</v>
      </c>
      <c r="J130" s="362"/>
      <c r="K130" s="362">
        <f>'3ª'!$I25</f>
        <v>0</v>
      </c>
      <c r="L130" s="250" t="str">
        <f ca="1">'3ª'!$J25</f>
        <v/>
      </c>
      <c r="M130" s="362"/>
      <c r="N130" s="252" t="str">
        <f ca="1">'3ª'!$K25</f>
        <v/>
      </c>
      <c r="O130" s="362"/>
      <c r="P130" s="253" t="s">
        <v>110</v>
      </c>
      <c r="Q130" s="415" t="s">
        <v>249</v>
      </c>
      <c r="R130" s="383" t="str">
        <f>'3ª'!$L25</f>
        <v>Não</v>
      </c>
      <c r="S130" s="383" t="str">
        <f>'3ª'!$M25</f>
        <v>Eliane</v>
      </c>
      <c r="T130" s="383" t="str">
        <f>'3ª'!$N25</f>
        <v>-</v>
      </c>
      <c r="U130" s="383" t="str">
        <f>'3ª'!$O25</f>
        <v>-</v>
      </c>
      <c r="V130" s="383" t="str">
        <f>'3ª'!$P25</f>
        <v>-</v>
      </c>
      <c r="W130" s="383" t="str">
        <f>'3ª'!$Q25</f>
        <v>-</v>
      </c>
      <c r="X130" s="383" t="str">
        <f>'3ª'!$R25</f>
        <v>-</v>
      </c>
      <c r="Y130" s="383" t="str">
        <f>'3ª'!$S25</f>
        <v>-</v>
      </c>
      <c r="Z130" s="384">
        <f>'3ª'!$T25</f>
        <v>0</v>
      </c>
      <c r="AA130" s="384">
        <f>'3ª'!$U25</f>
        <v>0</v>
      </c>
      <c r="AB130" s="385" t="s">
        <v>323</v>
      </c>
      <c r="AC130" s="385"/>
      <c r="AD130" s="435" t="s">
        <v>466</v>
      </c>
    </row>
    <row r="131" spans="1:30" ht="15.75" x14ac:dyDescent="0.25">
      <c r="A131" s="416" t="str">
        <f>RIGHT('[1]3ª'!$A$5:$D$5,12)</f>
        <v>3ª SÉRIE E.F</v>
      </c>
      <c r="B131" s="451">
        <v>20</v>
      </c>
      <c r="C131" s="248">
        <f>'3ª'!$B26</f>
        <v>0</v>
      </c>
      <c r="D131" s="362">
        <f>'3ª'!$C26</f>
        <v>0</v>
      </c>
      <c r="E131" s="249">
        <f>'3ª'!$D26</f>
        <v>0</v>
      </c>
      <c r="F131" s="249" t="str">
        <f>'3ª'!$E26</f>
        <v/>
      </c>
      <c r="G131" s="250">
        <f>'3ª'!$F26</f>
        <v>0</v>
      </c>
      <c r="H131" s="362">
        <f>'3ª'!$G26</f>
        <v>0</v>
      </c>
      <c r="I131" s="363">
        <f>'3ª'!$H26</f>
        <v>0</v>
      </c>
      <c r="J131" s="362"/>
      <c r="K131" s="362">
        <f>'3ª'!$I26</f>
        <v>0</v>
      </c>
      <c r="L131" s="250" t="str">
        <f ca="1">'3ª'!$J26</f>
        <v/>
      </c>
      <c r="M131" s="362"/>
      <c r="N131" s="252" t="str">
        <f ca="1">'3ª'!$K26</f>
        <v/>
      </c>
      <c r="O131" s="362"/>
      <c r="P131" s="253" t="s">
        <v>110</v>
      </c>
      <c r="Q131" s="415" t="s">
        <v>249</v>
      </c>
      <c r="R131" s="383" t="str">
        <f>'3ª'!$L26</f>
        <v>Não</v>
      </c>
      <c r="S131" s="383" t="str">
        <f>'3ª'!$M26</f>
        <v>Eliane</v>
      </c>
      <c r="T131" s="383" t="str">
        <f>'3ª'!$N26</f>
        <v>-</v>
      </c>
      <c r="U131" s="383" t="str">
        <f>'3ª'!$O26</f>
        <v>-</v>
      </c>
      <c r="V131" s="383" t="str">
        <f>'3ª'!$P26</f>
        <v>-</v>
      </c>
      <c r="W131" s="383" t="str">
        <f>'3ª'!$Q26</f>
        <v>-</v>
      </c>
      <c r="X131" s="383" t="str">
        <f>'3ª'!$R26</f>
        <v>-</v>
      </c>
      <c r="Y131" s="383" t="str">
        <f>'3ª'!$S26</f>
        <v>-</v>
      </c>
      <c r="Z131" s="384">
        <f>'3ª'!$T26</f>
        <v>0</v>
      </c>
      <c r="AA131" s="384">
        <f>'3ª'!$U26</f>
        <v>0</v>
      </c>
      <c r="AB131" s="385" t="s">
        <v>323</v>
      </c>
      <c r="AC131" s="385"/>
      <c r="AD131" s="435" t="s">
        <v>466</v>
      </c>
    </row>
    <row r="132" spans="1:30" ht="15.75" x14ac:dyDescent="0.25">
      <c r="A132" s="416" t="str">
        <f>RIGHT('[1]3ª'!$A$5:$D$5,12)</f>
        <v>3ª SÉRIE E.F</v>
      </c>
      <c r="B132" s="451">
        <v>21</v>
      </c>
      <c r="C132" s="248">
        <f>'3ª'!$B27</f>
        <v>0</v>
      </c>
      <c r="D132" s="362">
        <f>'3ª'!$C27</f>
        <v>0</v>
      </c>
      <c r="E132" s="249">
        <f>'3ª'!$D27</f>
        <v>0</v>
      </c>
      <c r="F132" s="249" t="str">
        <f>'3ª'!$E27</f>
        <v/>
      </c>
      <c r="G132" s="250">
        <f>'3ª'!$F27</f>
        <v>0</v>
      </c>
      <c r="H132" s="362">
        <f>'3ª'!$G27</f>
        <v>0</v>
      </c>
      <c r="I132" s="363">
        <f>'3ª'!$H27</f>
        <v>0</v>
      </c>
      <c r="J132" s="362"/>
      <c r="K132" s="362">
        <f>'3ª'!$I27</f>
        <v>0</v>
      </c>
      <c r="L132" s="250" t="str">
        <f ca="1">'3ª'!$J27</f>
        <v/>
      </c>
      <c r="M132" s="362"/>
      <c r="N132" s="252" t="str">
        <f ca="1">'3ª'!$K27</f>
        <v/>
      </c>
      <c r="O132" s="362"/>
      <c r="P132" s="253" t="s">
        <v>110</v>
      </c>
      <c r="Q132" s="415" t="s">
        <v>249</v>
      </c>
      <c r="R132" s="383" t="str">
        <f>'3ª'!$L27</f>
        <v>Não</v>
      </c>
      <c r="S132" s="383" t="str">
        <f>'3ª'!$M27</f>
        <v>Eliane</v>
      </c>
      <c r="T132" s="383" t="str">
        <f>'3ª'!$N27</f>
        <v>-</v>
      </c>
      <c r="U132" s="383" t="str">
        <f>'3ª'!$O27</f>
        <v>-</v>
      </c>
      <c r="V132" s="383" t="str">
        <f>'3ª'!$P27</f>
        <v>-</v>
      </c>
      <c r="W132" s="383" t="str">
        <f>'3ª'!$Q27</f>
        <v>-</v>
      </c>
      <c r="X132" s="383" t="str">
        <f>'3ª'!$R27</f>
        <v>-</v>
      </c>
      <c r="Y132" s="383" t="str">
        <f>'3ª'!$S27</f>
        <v>-</v>
      </c>
      <c r="Z132" s="384">
        <f>'3ª'!$T27</f>
        <v>0</v>
      </c>
      <c r="AA132" s="384">
        <f>'3ª'!$U27</f>
        <v>0</v>
      </c>
      <c r="AB132" s="385" t="s">
        <v>323</v>
      </c>
      <c r="AC132" s="385"/>
      <c r="AD132" s="435" t="s">
        <v>466</v>
      </c>
    </row>
    <row r="133" spans="1:30" ht="15.75" x14ac:dyDescent="0.25">
      <c r="A133" s="416" t="str">
        <f>RIGHT('[1]3ª'!$A$5:$D$5,12)</f>
        <v>3ª SÉRIE E.F</v>
      </c>
      <c r="B133" s="451">
        <v>22</v>
      </c>
      <c r="C133" s="248">
        <f>'3ª'!$B28</f>
        <v>0</v>
      </c>
      <c r="D133" s="362">
        <f>'3ª'!$C28</f>
        <v>0</v>
      </c>
      <c r="E133" s="249">
        <f>'3ª'!$D28</f>
        <v>0</v>
      </c>
      <c r="F133" s="249" t="str">
        <f>'3ª'!$E28</f>
        <v/>
      </c>
      <c r="G133" s="250">
        <f>'3ª'!$F28</f>
        <v>0</v>
      </c>
      <c r="H133" s="362">
        <f>'3ª'!$G28</f>
        <v>0</v>
      </c>
      <c r="I133" s="363">
        <f>'3ª'!$H28</f>
        <v>0</v>
      </c>
      <c r="J133" s="362"/>
      <c r="K133" s="362">
        <f>'3ª'!$I28</f>
        <v>0</v>
      </c>
      <c r="L133" s="250" t="str">
        <f ca="1">'3ª'!$J28</f>
        <v/>
      </c>
      <c r="M133" s="362"/>
      <c r="N133" s="252" t="str">
        <f ca="1">'3ª'!$K28</f>
        <v/>
      </c>
      <c r="O133" s="362"/>
      <c r="P133" s="253" t="s">
        <v>110</v>
      </c>
      <c r="Q133" s="415" t="s">
        <v>249</v>
      </c>
      <c r="R133" s="383" t="str">
        <f>'3ª'!$L28</f>
        <v>Não</v>
      </c>
      <c r="S133" s="383" t="str">
        <f>'3ª'!$M28</f>
        <v>Eliane</v>
      </c>
      <c r="T133" s="383" t="str">
        <f>'3ª'!$N28</f>
        <v>-</v>
      </c>
      <c r="U133" s="383" t="str">
        <f>'3ª'!$O28</f>
        <v>-</v>
      </c>
      <c r="V133" s="383" t="str">
        <f>'3ª'!$P28</f>
        <v>-</v>
      </c>
      <c r="W133" s="383" t="str">
        <f>'3ª'!$Q28</f>
        <v>-</v>
      </c>
      <c r="X133" s="383" t="str">
        <f>'3ª'!$R28</f>
        <v>-</v>
      </c>
      <c r="Y133" s="383" t="str">
        <f>'3ª'!$S28</f>
        <v>-</v>
      </c>
      <c r="Z133" s="384">
        <f>'3ª'!$T28</f>
        <v>0</v>
      </c>
      <c r="AA133" s="384">
        <f>'3ª'!$U28</f>
        <v>0</v>
      </c>
      <c r="AB133" s="385" t="s">
        <v>323</v>
      </c>
      <c r="AC133" s="385"/>
      <c r="AD133" s="435" t="s">
        <v>466</v>
      </c>
    </row>
    <row r="134" spans="1:30" ht="15.75" x14ac:dyDescent="0.25">
      <c r="A134" s="416" t="str">
        <f>RIGHT('[1]3ª'!$A$5:$D$5,12)</f>
        <v>3ª SÉRIE E.F</v>
      </c>
      <c r="B134" s="451">
        <v>23</v>
      </c>
      <c r="C134" s="248">
        <f>'3ª'!$B29</f>
        <v>0</v>
      </c>
      <c r="D134" s="362">
        <f>'3ª'!$C29</f>
        <v>0</v>
      </c>
      <c r="E134" s="249">
        <f>'3ª'!$D29</f>
        <v>0</v>
      </c>
      <c r="F134" s="249" t="str">
        <f>'3ª'!$E29</f>
        <v/>
      </c>
      <c r="G134" s="250">
        <f>'3ª'!$F29</f>
        <v>0</v>
      </c>
      <c r="H134" s="362">
        <f>'3ª'!$G29</f>
        <v>0</v>
      </c>
      <c r="I134" s="363">
        <f>'3ª'!$H29</f>
        <v>0</v>
      </c>
      <c r="J134" s="362"/>
      <c r="K134" s="362">
        <f>'3ª'!$I29</f>
        <v>0</v>
      </c>
      <c r="L134" s="250" t="str">
        <f ca="1">'3ª'!$J29</f>
        <v/>
      </c>
      <c r="M134" s="362"/>
      <c r="N134" s="252" t="str">
        <f ca="1">'3ª'!$K29</f>
        <v/>
      </c>
      <c r="O134" s="362"/>
      <c r="P134" s="253" t="s">
        <v>110</v>
      </c>
      <c r="Q134" s="415" t="s">
        <v>249</v>
      </c>
      <c r="R134" s="383" t="str">
        <f>'3ª'!$L29</f>
        <v>Não</v>
      </c>
      <c r="S134" s="383" t="str">
        <f>'3ª'!$M29</f>
        <v>Eliane</v>
      </c>
      <c r="T134" s="383" t="str">
        <f>'3ª'!$N29</f>
        <v>-</v>
      </c>
      <c r="U134" s="383" t="str">
        <f>'3ª'!$O29</f>
        <v>-</v>
      </c>
      <c r="V134" s="383" t="str">
        <f>'3ª'!$P29</f>
        <v>-</v>
      </c>
      <c r="W134" s="383" t="str">
        <f>'3ª'!$Q29</f>
        <v>-</v>
      </c>
      <c r="X134" s="383" t="str">
        <f>'3ª'!$R29</f>
        <v>-</v>
      </c>
      <c r="Y134" s="383" t="str">
        <f>'3ª'!$S29</f>
        <v>-</v>
      </c>
      <c r="Z134" s="384">
        <f>'3ª'!$T29</f>
        <v>0</v>
      </c>
      <c r="AA134" s="384">
        <f>'3ª'!$U29</f>
        <v>0</v>
      </c>
      <c r="AB134" s="385" t="s">
        <v>323</v>
      </c>
      <c r="AC134" s="385"/>
      <c r="AD134" s="435" t="s">
        <v>466</v>
      </c>
    </row>
    <row r="135" spans="1:30" ht="15.75" x14ac:dyDescent="0.25">
      <c r="A135" s="416" t="str">
        <f>RIGHT('[1]3ª'!$A$5:$D$5,12)</f>
        <v>3ª SÉRIE E.F</v>
      </c>
      <c r="B135" s="451">
        <v>24</v>
      </c>
      <c r="C135" s="248">
        <f>'3ª'!$B30</f>
        <v>0</v>
      </c>
      <c r="D135" s="362">
        <f>'3ª'!$C30</f>
        <v>0</v>
      </c>
      <c r="E135" s="249">
        <f>'3ª'!$D30</f>
        <v>0</v>
      </c>
      <c r="F135" s="249" t="str">
        <f>'3ª'!$E30</f>
        <v/>
      </c>
      <c r="G135" s="250">
        <f>'3ª'!$F30</f>
        <v>0</v>
      </c>
      <c r="H135" s="362">
        <f>'3ª'!$G30</f>
        <v>0</v>
      </c>
      <c r="I135" s="363">
        <f>'3ª'!$H30</f>
        <v>0</v>
      </c>
      <c r="J135" s="362"/>
      <c r="K135" s="362">
        <f>'3ª'!$I30</f>
        <v>0</v>
      </c>
      <c r="L135" s="250" t="str">
        <f ca="1">'3ª'!$J30</f>
        <v/>
      </c>
      <c r="M135" s="362"/>
      <c r="N135" s="252" t="str">
        <f ca="1">'3ª'!$K30</f>
        <v/>
      </c>
      <c r="O135" s="362"/>
      <c r="P135" s="253" t="s">
        <v>110</v>
      </c>
      <c r="Q135" s="415" t="s">
        <v>249</v>
      </c>
      <c r="R135" s="383" t="str">
        <f>'3ª'!$L30</f>
        <v>Não</v>
      </c>
      <c r="S135" s="383" t="str">
        <f>'3ª'!$M30</f>
        <v>Eliane</v>
      </c>
      <c r="T135" s="383" t="str">
        <f>'3ª'!$N30</f>
        <v>-</v>
      </c>
      <c r="U135" s="383" t="str">
        <f>'3ª'!$O30</f>
        <v>-</v>
      </c>
      <c r="V135" s="383" t="str">
        <f>'3ª'!$P30</f>
        <v>-</v>
      </c>
      <c r="W135" s="383" t="str">
        <f>'3ª'!$Q30</f>
        <v>-</v>
      </c>
      <c r="X135" s="383" t="str">
        <f>'3ª'!$R30</f>
        <v>-</v>
      </c>
      <c r="Y135" s="383" t="str">
        <f>'3ª'!$S30</f>
        <v>-</v>
      </c>
      <c r="Z135" s="384">
        <f>'3ª'!$T30</f>
        <v>0</v>
      </c>
      <c r="AA135" s="384">
        <f>'3ª'!$U30</f>
        <v>0</v>
      </c>
      <c r="AB135" s="385" t="s">
        <v>323</v>
      </c>
      <c r="AC135" s="385"/>
      <c r="AD135" s="435" t="s">
        <v>466</v>
      </c>
    </row>
    <row r="136" spans="1:30" ht="15.75" x14ac:dyDescent="0.25">
      <c r="A136" s="416" t="str">
        <f>RIGHT('[1]3ª'!$A$5:$D$5,12)</f>
        <v>3ª SÉRIE E.F</v>
      </c>
      <c r="B136" s="451">
        <v>25</v>
      </c>
      <c r="C136" s="248">
        <f>'3ª'!$B31</f>
        <v>0</v>
      </c>
      <c r="D136" s="362">
        <f>'3ª'!$C31</f>
        <v>0</v>
      </c>
      <c r="E136" s="249">
        <f>'3ª'!$D31</f>
        <v>0</v>
      </c>
      <c r="F136" s="249" t="str">
        <f>'3ª'!$E31</f>
        <v/>
      </c>
      <c r="G136" s="250">
        <f>'3ª'!$F31</f>
        <v>0</v>
      </c>
      <c r="H136" s="362">
        <f>'3ª'!$G31</f>
        <v>0</v>
      </c>
      <c r="I136" s="363">
        <f>'3ª'!$H31</f>
        <v>0</v>
      </c>
      <c r="J136" s="362"/>
      <c r="K136" s="362">
        <f>'3ª'!$I31</f>
        <v>0</v>
      </c>
      <c r="L136" s="250" t="str">
        <f ca="1">'3ª'!$J31</f>
        <v/>
      </c>
      <c r="M136" s="362"/>
      <c r="N136" s="252" t="str">
        <f ca="1">'3ª'!$K31</f>
        <v/>
      </c>
      <c r="O136" s="362"/>
      <c r="P136" s="253" t="s">
        <v>110</v>
      </c>
      <c r="Q136" s="415" t="s">
        <v>249</v>
      </c>
      <c r="R136" s="383" t="str">
        <f>'3ª'!$L31</f>
        <v>Não</v>
      </c>
      <c r="S136" s="383" t="str">
        <f>'3ª'!$M31</f>
        <v>Eliane</v>
      </c>
      <c r="T136" s="383" t="str">
        <f>'3ª'!$N31</f>
        <v>-</v>
      </c>
      <c r="U136" s="383" t="str">
        <f>'3ª'!$O31</f>
        <v>-</v>
      </c>
      <c r="V136" s="383" t="str">
        <f>'3ª'!$P31</f>
        <v>-</v>
      </c>
      <c r="W136" s="383" t="str">
        <f>'3ª'!$Q31</f>
        <v>-</v>
      </c>
      <c r="X136" s="383" t="str">
        <f>'3ª'!$R31</f>
        <v>-</v>
      </c>
      <c r="Y136" s="383" t="str">
        <f>'3ª'!$S31</f>
        <v>-</v>
      </c>
      <c r="Z136" s="384">
        <f>'3ª'!$T31</f>
        <v>0</v>
      </c>
      <c r="AA136" s="384">
        <f>'3ª'!$U31</f>
        <v>0</v>
      </c>
      <c r="AB136" s="385" t="s">
        <v>323</v>
      </c>
      <c r="AC136" s="385"/>
      <c r="AD136" s="435" t="s">
        <v>466</v>
      </c>
    </row>
    <row r="137" spans="1:30" ht="15.75" x14ac:dyDescent="0.25">
      <c r="A137" s="416" t="str">
        <f>RIGHT('[1]3ª'!$A$5:$D$5,12)</f>
        <v>3ª SÉRIE E.F</v>
      </c>
      <c r="B137" s="451">
        <v>26</v>
      </c>
      <c r="C137" s="248">
        <f>'3ª'!$B32</f>
        <v>0</v>
      </c>
      <c r="D137" s="362">
        <f>'3ª'!$C32</f>
        <v>0</v>
      </c>
      <c r="E137" s="249">
        <f>'3ª'!$D32</f>
        <v>0</v>
      </c>
      <c r="F137" s="249" t="str">
        <f>'3ª'!$E32</f>
        <v/>
      </c>
      <c r="G137" s="250">
        <f>'3ª'!$F32</f>
        <v>0</v>
      </c>
      <c r="H137" s="362">
        <f>'3ª'!$G32</f>
        <v>0</v>
      </c>
      <c r="I137" s="363">
        <f>'3ª'!$H32</f>
        <v>0</v>
      </c>
      <c r="J137" s="362"/>
      <c r="K137" s="362">
        <f>'3ª'!$I32</f>
        <v>0</v>
      </c>
      <c r="L137" s="250" t="str">
        <f ca="1">'3ª'!$J32</f>
        <v/>
      </c>
      <c r="M137" s="362"/>
      <c r="N137" s="252" t="str">
        <f ca="1">'3ª'!$K32</f>
        <v/>
      </c>
      <c r="O137" s="362"/>
      <c r="P137" s="253" t="s">
        <v>110</v>
      </c>
      <c r="Q137" s="415" t="s">
        <v>249</v>
      </c>
      <c r="R137" s="383" t="str">
        <f>'3ª'!$L32</f>
        <v>Não</v>
      </c>
      <c r="S137" s="383" t="str">
        <f>'3ª'!$M32</f>
        <v>Eliane</v>
      </c>
      <c r="T137" s="383" t="str">
        <f>'3ª'!$N32</f>
        <v>-</v>
      </c>
      <c r="U137" s="383" t="str">
        <f>'3ª'!$O32</f>
        <v>-</v>
      </c>
      <c r="V137" s="383" t="str">
        <f>'3ª'!$P32</f>
        <v>-</v>
      </c>
      <c r="W137" s="383" t="str">
        <f>'3ª'!$Q32</f>
        <v>-</v>
      </c>
      <c r="X137" s="383" t="str">
        <f>'3ª'!$R32</f>
        <v>-</v>
      </c>
      <c r="Y137" s="383" t="str">
        <f>'3ª'!$S32</f>
        <v>-</v>
      </c>
      <c r="Z137" s="384">
        <f>'3ª'!$T32</f>
        <v>0</v>
      </c>
      <c r="AA137" s="384">
        <f>'3ª'!$U32</f>
        <v>0</v>
      </c>
      <c r="AB137" s="385" t="s">
        <v>323</v>
      </c>
      <c r="AC137" s="385"/>
      <c r="AD137" s="435" t="s">
        <v>466</v>
      </c>
    </row>
    <row r="138" spans="1:30" ht="15.75" x14ac:dyDescent="0.25">
      <c r="A138" s="416" t="str">
        <f>RIGHT('[1]3ª'!$A$5:$D$5,12)</f>
        <v>3ª SÉRIE E.F</v>
      </c>
      <c r="B138" s="451">
        <v>27</v>
      </c>
      <c r="C138" s="248">
        <f>'3ª'!$B33</f>
        <v>0</v>
      </c>
      <c r="D138" s="362">
        <f>'3ª'!$C33</f>
        <v>0</v>
      </c>
      <c r="E138" s="249">
        <f>'3ª'!$D33</f>
        <v>0</v>
      </c>
      <c r="F138" s="249" t="str">
        <f>'3ª'!$E33</f>
        <v/>
      </c>
      <c r="G138" s="250">
        <f>'3ª'!$F33</f>
        <v>0</v>
      </c>
      <c r="H138" s="362">
        <f>'3ª'!$G33</f>
        <v>0</v>
      </c>
      <c r="I138" s="363">
        <f>'3ª'!$H33</f>
        <v>0</v>
      </c>
      <c r="J138" s="362"/>
      <c r="K138" s="362">
        <f>'3ª'!$I33</f>
        <v>0</v>
      </c>
      <c r="L138" s="250" t="str">
        <f ca="1">'3ª'!$J33</f>
        <v/>
      </c>
      <c r="M138" s="362"/>
      <c r="N138" s="252" t="str">
        <f ca="1">'3ª'!$K33</f>
        <v/>
      </c>
      <c r="O138" s="362"/>
      <c r="P138" s="253" t="s">
        <v>110</v>
      </c>
      <c r="Q138" s="415" t="s">
        <v>249</v>
      </c>
      <c r="R138" s="383" t="str">
        <f>'3ª'!$L33</f>
        <v>Não</v>
      </c>
      <c r="S138" s="383" t="str">
        <f>'3ª'!$M33</f>
        <v>Eliane</v>
      </c>
      <c r="T138" s="383" t="str">
        <f>'3ª'!$N33</f>
        <v>-</v>
      </c>
      <c r="U138" s="383" t="str">
        <f>'3ª'!$O33</f>
        <v>-</v>
      </c>
      <c r="V138" s="383" t="str">
        <f>'3ª'!$P33</f>
        <v>-</v>
      </c>
      <c r="W138" s="383" t="str">
        <f>'3ª'!$Q33</f>
        <v>-</v>
      </c>
      <c r="X138" s="383" t="str">
        <f>'3ª'!$R33</f>
        <v>-</v>
      </c>
      <c r="Y138" s="383" t="str">
        <f>'3ª'!$S33</f>
        <v>-</v>
      </c>
      <c r="Z138" s="384">
        <f>'3ª'!$T33</f>
        <v>0</v>
      </c>
      <c r="AA138" s="384">
        <f>'3ª'!$U33</f>
        <v>0</v>
      </c>
      <c r="AB138" s="385" t="s">
        <v>323</v>
      </c>
      <c r="AC138" s="385"/>
      <c r="AD138" s="435" t="s">
        <v>466</v>
      </c>
    </row>
    <row r="139" spans="1:30" ht="15.75" x14ac:dyDescent="0.25">
      <c r="A139" s="416" t="str">
        <f>RIGHT('[1]3ª'!$A$5:$D$5,12)</f>
        <v>3ª SÉRIE E.F</v>
      </c>
      <c r="B139" s="451">
        <v>28</v>
      </c>
      <c r="C139" s="248">
        <f>'3ª'!$B34</f>
        <v>0</v>
      </c>
      <c r="D139" s="362">
        <f>'3ª'!$C34</f>
        <v>0</v>
      </c>
      <c r="E139" s="249">
        <f>'3ª'!$D34</f>
        <v>0</v>
      </c>
      <c r="F139" s="249" t="str">
        <f>'3ª'!$E34</f>
        <v/>
      </c>
      <c r="G139" s="250">
        <f>'3ª'!$F34</f>
        <v>0</v>
      </c>
      <c r="H139" s="362">
        <f>'3ª'!$G34</f>
        <v>0</v>
      </c>
      <c r="I139" s="363">
        <f>'3ª'!$H34</f>
        <v>0</v>
      </c>
      <c r="J139" s="362"/>
      <c r="K139" s="362">
        <f>'3ª'!$I34</f>
        <v>0</v>
      </c>
      <c r="L139" s="250" t="str">
        <f ca="1">'3ª'!$J34</f>
        <v/>
      </c>
      <c r="M139" s="362"/>
      <c r="N139" s="252" t="str">
        <f ca="1">'3ª'!$K34</f>
        <v/>
      </c>
      <c r="O139" s="362"/>
      <c r="P139" s="253" t="s">
        <v>110</v>
      </c>
      <c r="Q139" s="415" t="s">
        <v>249</v>
      </c>
      <c r="R139" s="383" t="str">
        <f>'3ª'!$L34</f>
        <v>Não</v>
      </c>
      <c r="S139" s="383" t="str">
        <f>'3ª'!$M34</f>
        <v>Eliane</v>
      </c>
      <c r="T139" s="383" t="str">
        <f>'3ª'!$N34</f>
        <v>-</v>
      </c>
      <c r="U139" s="383" t="str">
        <f>'3ª'!$O34</f>
        <v>-</v>
      </c>
      <c r="V139" s="383" t="str">
        <f>'3ª'!$P34</f>
        <v>-</v>
      </c>
      <c r="W139" s="383" t="str">
        <f>'3ª'!$Q34</f>
        <v>-</v>
      </c>
      <c r="X139" s="383" t="str">
        <f>'3ª'!$R34</f>
        <v>-</v>
      </c>
      <c r="Y139" s="383" t="str">
        <f>'3ª'!$S34</f>
        <v>-</v>
      </c>
      <c r="Z139" s="384">
        <f>'3ª'!$T34</f>
        <v>0</v>
      </c>
      <c r="AA139" s="384">
        <f>'3ª'!$U34</f>
        <v>0</v>
      </c>
      <c r="AB139" s="385" t="s">
        <v>323</v>
      </c>
      <c r="AC139" s="385"/>
      <c r="AD139" s="435" t="s">
        <v>466</v>
      </c>
    </row>
    <row r="140" spans="1:30" ht="15.75" x14ac:dyDescent="0.25">
      <c r="A140" s="416" t="str">
        <f>RIGHT('[1]3ª'!$A$5:$D$5,12)</f>
        <v>3ª SÉRIE E.F</v>
      </c>
      <c r="B140" s="451">
        <v>29</v>
      </c>
      <c r="C140" s="248">
        <f>'3ª'!$B35</f>
        <v>0</v>
      </c>
      <c r="D140" s="362">
        <f>'3ª'!$C35</f>
        <v>0</v>
      </c>
      <c r="E140" s="249">
        <f>'3ª'!$D35</f>
        <v>0</v>
      </c>
      <c r="F140" s="249" t="str">
        <f>'3ª'!$E35</f>
        <v/>
      </c>
      <c r="G140" s="250">
        <f>'3ª'!$F35</f>
        <v>0</v>
      </c>
      <c r="H140" s="362">
        <f>'3ª'!$G35</f>
        <v>0</v>
      </c>
      <c r="I140" s="363">
        <f>'3ª'!$H35</f>
        <v>0</v>
      </c>
      <c r="J140" s="362"/>
      <c r="K140" s="362">
        <f>'3ª'!$I35</f>
        <v>0</v>
      </c>
      <c r="L140" s="250" t="str">
        <f ca="1">'3ª'!$J35</f>
        <v/>
      </c>
      <c r="M140" s="362"/>
      <c r="N140" s="252" t="str">
        <f ca="1">'3ª'!$K35</f>
        <v/>
      </c>
      <c r="O140" s="362"/>
      <c r="P140" s="253" t="s">
        <v>110</v>
      </c>
      <c r="Q140" s="415" t="s">
        <v>249</v>
      </c>
      <c r="R140" s="383" t="str">
        <f>'3ª'!$L35</f>
        <v>Não</v>
      </c>
      <c r="S140" s="383" t="str">
        <f>'3ª'!$M35</f>
        <v>Eliane</v>
      </c>
      <c r="T140" s="383" t="str">
        <f>'3ª'!$N35</f>
        <v>-</v>
      </c>
      <c r="U140" s="383" t="str">
        <f>'3ª'!$O35</f>
        <v>-</v>
      </c>
      <c r="V140" s="383" t="str">
        <f>'3ª'!$P35</f>
        <v>-</v>
      </c>
      <c r="W140" s="383" t="str">
        <f>'3ª'!$Q35</f>
        <v>-</v>
      </c>
      <c r="X140" s="383" t="str">
        <f>'3ª'!$R35</f>
        <v>-</v>
      </c>
      <c r="Y140" s="383" t="str">
        <f>'3ª'!$S35</f>
        <v>-</v>
      </c>
      <c r="Z140" s="384">
        <f>'3ª'!$T35</f>
        <v>0</v>
      </c>
      <c r="AA140" s="384">
        <f>'3ª'!$U35</f>
        <v>0</v>
      </c>
      <c r="AB140" s="385" t="s">
        <v>323</v>
      </c>
      <c r="AC140" s="385"/>
      <c r="AD140" s="435" t="s">
        <v>466</v>
      </c>
    </row>
    <row r="141" spans="1:30" ht="15.75" x14ac:dyDescent="0.25">
      <c r="A141" s="416" t="str">
        <f>RIGHT('[1]3ª'!$A$5:$D$5,12)</f>
        <v>3ª SÉRIE E.F</v>
      </c>
      <c r="B141" s="451">
        <v>30</v>
      </c>
      <c r="C141" s="248">
        <f>'3ª'!$B36</f>
        <v>0</v>
      </c>
      <c r="D141" s="362">
        <f>'3ª'!$C36</f>
        <v>0</v>
      </c>
      <c r="E141" s="249">
        <f>'3ª'!$D36</f>
        <v>0</v>
      </c>
      <c r="F141" s="249" t="str">
        <f>'3ª'!$E36</f>
        <v/>
      </c>
      <c r="G141" s="250">
        <f>'3ª'!$F36</f>
        <v>0</v>
      </c>
      <c r="H141" s="362">
        <f>'3ª'!$G36</f>
        <v>0</v>
      </c>
      <c r="I141" s="363">
        <f>'3ª'!$H36</f>
        <v>0</v>
      </c>
      <c r="J141" s="362"/>
      <c r="K141" s="362">
        <f>'3ª'!$I36</f>
        <v>0</v>
      </c>
      <c r="L141" s="250" t="str">
        <f ca="1">'3ª'!$J36</f>
        <v/>
      </c>
      <c r="M141" s="362"/>
      <c r="N141" s="252" t="str">
        <f ca="1">'3ª'!$K36</f>
        <v/>
      </c>
      <c r="O141" s="362"/>
      <c r="P141" s="253" t="s">
        <v>110</v>
      </c>
      <c r="Q141" s="415" t="s">
        <v>249</v>
      </c>
      <c r="R141" s="383" t="str">
        <f>'3ª'!$L36</f>
        <v>Não</v>
      </c>
      <c r="S141" s="383" t="str">
        <f>'3ª'!$M36</f>
        <v>Eliane</v>
      </c>
      <c r="T141" s="383" t="str">
        <f>'3ª'!$N36</f>
        <v>-</v>
      </c>
      <c r="U141" s="383" t="str">
        <f>'3ª'!$O36</f>
        <v>-</v>
      </c>
      <c r="V141" s="383" t="str">
        <f>'3ª'!$P36</f>
        <v>-</v>
      </c>
      <c r="W141" s="383" t="str">
        <f>'3ª'!$Q36</f>
        <v>-</v>
      </c>
      <c r="X141" s="383" t="str">
        <f>'3ª'!$R36</f>
        <v>-</v>
      </c>
      <c r="Y141" s="383" t="str">
        <f>'3ª'!$S36</f>
        <v>-</v>
      </c>
      <c r="Z141" s="384">
        <f>'3ª'!$T36</f>
        <v>0</v>
      </c>
      <c r="AA141" s="384">
        <f>'3ª'!$U36</f>
        <v>0</v>
      </c>
      <c r="AB141" s="385" t="s">
        <v>323</v>
      </c>
      <c r="AC141" s="385"/>
      <c r="AD141" s="435" t="s">
        <v>466</v>
      </c>
    </row>
    <row r="142" spans="1:30" ht="15.75" x14ac:dyDescent="0.25">
      <c r="A142" s="416" t="str">
        <f>RIGHT('[1]3ª'!$A$5:$D$5,12)</f>
        <v>3ª SÉRIE E.F</v>
      </c>
      <c r="B142" s="451">
        <v>31</v>
      </c>
      <c r="C142" s="248">
        <f>'3ª'!$B37</f>
        <v>0</v>
      </c>
      <c r="D142" s="362">
        <f>'3ª'!$C37</f>
        <v>0</v>
      </c>
      <c r="E142" s="249">
        <f>'3ª'!$D37</f>
        <v>0</v>
      </c>
      <c r="F142" s="249">
        <f>'3ª'!$E37</f>
        <v>0</v>
      </c>
      <c r="G142" s="250">
        <f>'3ª'!$F37</f>
        <v>0</v>
      </c>
      <c r="H142" s="362">
        <f>'3ª'!$G37</f>
        <v>0</v>
      </c>
      <c r="I142" s="363">
        <f>'3ª'!$H37</f>
        <v>0</v>
      </c>
      <c r="J142" s="362"/>
      <c r="K142" s="362">
        <f>'3ª'!$I37</f>
        <v>0</v>
      </c>
      <c r="L142" s="250">
        <f>'3ª'!$J37</f>
        <v>0</v>
      </c>
      <c r="M142" s="362"/>
      <c r="N142" s="252">
        <f>'3ª'!$K37</f>
        <v>0</v>
      </c>
      <c r="O142" s="362"/>
      <c r="P142" s="253" t="s">
        <v>110</v>
      </c>
      <c r="Q142" s="415" t="s">
        <v>249</v>
      </c>
      <c r="R142" s="383">
        <f>'3ª'!$L37</f>
        <v>0</v>
      </c>
      <c r="S142" s="383">
        <f>'3ª'!$M37</f>
        <v>0</v>
      </c>
      <c r="T142" s="383">
        <f>'3ª'!$N37</f>
        <v>0</v>
      </c>
      <c r="U142" s="383">
        <f>'3ª'!$O37</f>
        <v>0</v>
      </c>
      <c r="V142" s="383">
        <f>'3ª'!$P37</f>
        <v>0</v>
      </c>
      <c r="W142" s="383">
        <f>'3ª'!$Q37</f>
        <v>0</v>
      </c>
      <c r="X142" s="383">
        <f>'3ª'!$R37</f>
        <v>0</v>
      </c>
      <c r="Y142" s="383">
        <f>'3ª'!$S37</f>
        <v>0</v>
      </c>
      <c r="Z142" s="384">
        <f>'3ª'!$T37</f>
        <v>0</v>
      </c>
      <c r="AA142" s="384">
        <f>'3ª'!$U37</f>
        <v>0</v>
      </c>
      <c r="AB142" s="385" t="s">
        <v>323</v>
      </c>
      <c r="AC142" s="385"/>
      <c r="AD142" s="435" t="s">
        <v>466</v>
      </c>
    </row>
    <row r="143" spans="1:30" ht="15.75" x14ac:dyDescent="0.25">
      <c r="A143" s="416" t="str">
        <f>RIGHT('[1]3ª'!$A$5:$D$5,12)</f>
        <v>3ª SÉRIE E.F</v>
      </c>
      <c r="B143" s="451">
        <v>32</v>
      </c>
      <c r="C143" s="248">
        <f>'3ª'!$B38</f>
        <v>0</v>
      </c>
      <c r="D143" s="362">
        <f>'3ª'!$C38</f>
        <v>0</v>
      </c>
      <c r="E143" s="249">
        <f>'3ª'!$D38</f>
        <v>0</v>
      </c>
      <c r="F143" s="249">
        <f>'3ª'!$E38</f>
        <v>0</v>
      </c>
      <c r="G143" s="250">
        <f>'3ª'!$F38</f>
        <v>0</v>
      </c>
      <c r="H143" s="362">
        <f>'3ª'!$G38</f>
        <v>0</v>
      </c>
      <c r="I143" s="363">
        <f>'3ª'!$H38</f>
        <v>0</v>
      </c>
      <c r="J143" s="362"/>
      <c r="K143" s="362">
        <f>'3ª'!$I38</f>
        <v>0</v>
      </c>
      <c r="L143" s="250">
        <f>'3ª'!$J38</f>
        <v>0</v>
      </c>
      <c r="M143" s="362"/>
      <c r="N143" s="252">
        <f>'3ª'!$K38</f>
        <v>0</v>
      </c>
      <c r="O143" s="362"/>
      <c r="P143" s="253" t="s">
        <v>110</v>
      </c>
      <c r="Q143" s="415" t="s">
        <v>249</v>
      </c>
      <c r="R143" s="383">
        <f>'3ª'!$L38</f>
        <v>0</v>
      </c>
      <c r="S143" s="383">
        <f>'3ª'!$M38</f>
        <v>0</v>
      </c>
      <c r="T143" s="383">
        <f>'3ª'!$N38</f>
        <v>0</v>
      </c>
      <c r="U143" s="383">
        <f>'3ª'!$O38</f>
        <v>0</v>
      </c>
      <c r="V143" s="383">
        <f>'3ª'!$P38</f>
        <v>0</v>
      </c>
      <c r="W143" s="383">
        <f>'3ª'!$Q38</f>
        <v>0</v>
      </c>
      <c r="X143" s="383">
        <f>'3ª'!$R38</f>
        <v>0</v>
      </c>
      <c r="Y143" s="383">
        <f>'3ª'!$S38</f>
        <v>0</v>
      </c>
      <c r="Z143" s="384">
        <f>'3ª'!$T38</f>
        <v>0</v>
      </c>
      <c r="AA143" s="384">
        <f>'3ª'!$U38</f>
        <v>0</v>
      </c>
      <c r="AB143" s="385" t="s">
        <v>323</v>
      </c>
      <c r="AC143" s="385"/>
      <c r="AD143" s="435" t="s">
        <v>466</v>
      </c>
    </row>
    <row r="144" spans="1:30" ht="15.75" x14ac:dyDescent="0.25">
      <c r="A144" s="416" t="str">
        <f>RIGHT('[1]3ª'!$A$5:$D$5,12)</f>
        <v>3ª SÉRIE E.F</v>
      </c>
      <c r="B144" s="451">
        <v>33</v>
      </c>
      <c r="C144" s="248">
        <f>'3ª'!$B39</f>
        <v>0</v>
      </c>
      <c r="D144" s="362">
        <f>'3ª'!$C39</f>
        <v>0</v>
      </c>
      <c r="E144" s="249">
        <f>'3ª'!$D39</f>
        <v>0</v>
      </c>
      <c r="F144" s="249">
        <f>'3ª'!$E39</f>
        <v>0</v>
      </c>
      <c r="G144" s="250">
        <f>'3ª'!$F39</f>
        <v>0</v>
      </c>
      <c r="H144" s="362">
        <f>'3ª'!$G39</f>
        <v>0</v>
      </c>
      <c r="I144" s="363">
        <f>'3ª'!$H39</f>
        <v>0</v>
      </c>
      <c r="J144" s="362"/>
      <c r="K144" s="362">
        <f>'3ª'!$I39</f>
        <v>0</v>
      </c>
      <c r="L144" s="250">
        <f>'3ª'!$J39</f>
        <v>0</v>
      </c>
      <c r="M144" s="362"/>
      <c r="N144" s="252">
        <f>'3ª'!$K39</f>
        <v>0</v>
      </c>
      <c r="O144" s="362"/>
      <c r="P144" s="253" t="s">
        <v>110</v>
      </c>
      <c r="Q144" s="415" t="s">
        <v>249</v>
      </c>
      <c r="R144" s="383">
        <f>'3ª'!$L39</f>
        <v>0</v>
      </c>
      <c r="S144" s="383">
        <f>'3ª'!$M39</f>
        <v>0</v>
      </c>
      <c r="T144" s="383">
        <f>'3ª'!$N39</f>
        <v>0</v>
      </c>
      <c r="U144" s="383">
        <f>'3ª'!$O39</f>
        <v>0</v>
      </c>
      <c r="V144" s="383">
        <f>'3ª'!$P39</f>
        <v>0</v>
      </c>
      <c r="W144" s="383">
        <f>'3ª'!$Q39</f>
        <v>0</v>
      </c>
      <c r="X144" s="383">
        <f>'3ª'!$R39</f>
        <v>0</v>
      </c>
      <c r="Y144" s="383">
        <f>'3ª'!$S39</f>
        <v>0</v>
      </c>
      <c r="Z144" s="384">
        <f>'3ª'!$T39</f>
        <v>0</v>
      </c>
      <c r="AA144" s="384">
        <f>'3ª'!$U39</f>
        <v>0</v>
      </c>
      <c r="AB144" s="385" t="s">
        <v>323</v>
      </c>
      <c r="AC144" s="385"/>
      <c r="AD144" s="435" t="s">
        <v>466</v>
      </c>
    </row>
    <row r="145" spans="1:30" ht="15.75" x14ac:dyDescent="0.25">
      <c r="A145" s="416" t="str">
        <f>RIGHT('[1]3ª'!$A$5:$D$5,12)</f>
        <v>3ª SÉRIE E.F</v>
      </c>
      <c r="B145" s="451">
        <v>34</v>
      </c>
      <c r="C145" s="248">
        <f>'3ª'!$B40</f>
        <v>0</v>
      </c>
      <c r="D145" s="362">
        <f>'3ª'!$C40</f>
        <v>0</v>
      </c>
      <c r="E145" s="249">
        <f>'3ª'!$D40</f>
        <v>0</v>
      </c>
      <c r="F145" s="249">
        <f>'3ª'!$E40</f>
        <v>0</v>
      </c>
      <c r="G145" s="250">
        <f>'3ª'!$F40</f>
        <v>0</v>
      </c>
      <c r="H145" s="362">
        <f>'3ª'!$G40</f>
        <v>0</v>
      </c>
      <c r="I145" s="363">
        <f>'3ª'!$H40</f>
        <v>0</v>
      </c>
      <c r="J145" s="362"/>
      <c r="K145" s="362">
        <f>'3ª'!$I40</f>
        <v>0</v>
      </c>
      <c r="L145" s="250">
        <f>'3ª'!$J40</f>
        <v>0</v>
      </c>
      <c r="M145" s="362"/>
      <c r="N145" s="252">
        <f>'3ª'!$K40</f>
        <v>0</v>
      </c>
      <c r="O145" s="362"/>
      <c r="P145" s="253" t="s">
        <v>110</v>
      </c>
      <c r="Q145" s="415" t="s">
        <v>249</v>
      </c>
      <c r="R145" s="383">
        <f>'3ª'!$L40</f>
        <v>0</v>
      </c>
      <c r="S145" s="383">
        <f>'3ª'!$M40</f>
        <v>0</v>
      </c>
      <c r="T145" s="383">
        <f>'3ª'!$N40</f>
        <v>0</v>
      </c>
      <c r="U145" s="383">
        <f>'3ª'!$O40</f>
        <v>0</v>
      </c>
      <c r="V145" s="383">
        <f>'3ª'!$P40</f>
        <v>0</v>
      </c>
      <c r="W145" s="383">
        <f>'3ª'!$Q40</f>
        <v>0</v>
      </c>
      <c r="X145" s="383">
        <f>'3ª'!$R40</f>
        <v>0</v>
      </c>
      <c r="Y145" s="383">
        <f>'3ª'!$S40</f>
        <v>0</v>
      </c>
      <c r="Z145" s="384">
        <f>'3ª'!$T40</f>
        <v>0</v>
      </c>
      <c r="AA145" s="384">
        <f>'3ª'!$U40</f>
        <v>0</v>
      </c>
      <c r="AB145" s="385" t="s">
        <v>323</v>
      </c>
      <c r="AC145" s="385"/>
      <c r="AD145" s="435" t="s">
        <v>466</v>
      </c>
    </row>
    <row r="146" spans="1:30" ht="15.75" x14ac:dyDescent="0.25">
      <c r="A146" s="416" t="str">
        <f>RIGHT('[1]3ª'!$A$5:$D$5,12)</f>
        <v>3ª SÉRIE E.F</v>
      </c>
      <c r="B146" s="451">
        <v>35</v>
      </c>
      <c r="C146" s="248">
        <f>'3ª'!$B41</f>
        <v>0</v>
      </c>
      <c r="D146" s="362">
        <f>'3ª'!$C41</f>
        <v>0</v>
      </c>
      <c r="E146" s="249">
        <f>'3ª'!$D41</f>
        <v>0</v>
      </c>
      <c r="F146" s="249">
        <f>'3ª'!$E41</f>
        <v>0</v>
      </c>
      <c r="G146" s="250">
        <f>'3ª'!$F41</f>
        <v>0</v>
      </c>
      <c r="H146" s="362">
        <f>'3ª'!$G41</f>
        <v>0</v>
      </c>
      <c r="I146" s="363">
        <f>'3ª'!$H41</f>
        <v>0</v>
      </c>
      <c r="J146" s="362"/>
      <c r="K146" s="362">
        <f>'3ª'!$I41</f>
        <v>0</v>
      </c>
      <c r="L146" s="250">
        <f>'3ª'!$J41</f>
        <v>0</v>
      </c>
      <c r="M146" s="362"/>
      <c r="N146" s="252">
        <f>'3ª'!$K41</f>
        <v>0</v>
      </c>
      <c r="O146" s="362"/>
      <c r="P146" s="253" t="s">
        <v>110</v>
      </c>
      <c r="Q146" s="415" t="s">
        <v>249</v>
      </c>
      <c r="R146" s="383">
        <f>'3ª'!$L41</f>
        <v>0</v>
      </c>
      <c r="S146" s="383">
        <f>'3ª'!$M41</f>
        <v>0</v>
      </c>
      <c r="T146" s="383">
        <f>'3ª'!$N41</f>
        <v>0</v>
      </c>
      <c r="U146" s="383">
        <f>'3ª'!$O41</f>
        <v>0</v>
      </c>
      <c r="V146" s="383">
        <f>'3ª'!$P41</f>
        <v>0</v>
      </c>
      <c r="W146" s="383">
        <f>'3ª'!$Q41</f>
        <v>0</v>
      </c>
      <c r="X146" s="383">
        <f>'3ª'!$R41</f>
        <v>0</v>
      </c>
      <c r="Y146" s="383">
        <f>'3ª'!$S41</f>
        <v>0</v>
      </c>
      <c r="Z146" s="384">
        <f>'3ª'!$T41</f>
        <v>0</v>
      </c>
      <c r="AA146" s="384">
        <f>'3ª'!$U41</f>
        <v>0</v>
      </c>
      <c r="AB146" s="385" t="s">
        <v>323</v>
      </c>
      <c r="AC146" s="385"/>
      <c r="AD146" s="435" t="s">
        <v>466</v>
      </c>
    </row>
    <row r="147" spans="1:30" ht="15.75" x14ac:dyDescent="0.25">
      <c r="A147" s="416" t="str">
        <f>RIGHT('[1]3ª'!$A$5:$D$5,12)</f>
        <v>3ª SÉRIE E.F</v>
      </c>
      <c r="B147" s="451">
        <v>36</v>
      </c>
      <c r="C147" s="248">
        <f>'3ª'!$B42</f>
        <v>0</v>
      </c>
      <c r="D147" s="362">
        <f>'3ª'!$C42</f>
        <v>0</v>
      </c>
      <c r="E147" s="249">
        <f>'3ª'!$D42</f>
        <v>0</v>
      </c>
      <c r="F147" s="249">
        <f>'3ª'!$E42</f>
        <v>0</v>
      </c>
      <c r="G147" s="250">
        <f>'3ª'!$F42</f>
        <v>0</v>
      </c>
      <c r="H147" s="362">
        <f>'3ª'!$G42</f>
        <v>0</v>
      </c>
      <c r="I147" s="363">
        <f>'3ª'!$H42</f>
        <v>0</v>
      </c>
      <c r="J147" s="362"/>
      <c r="K147" s="362">
        <f>'3ª'!$I42</f>
        <v>0</v>
      </c>
      <c r="L147" s="250">
        <f>'3ª'!$J42</f>
        <v>0</v>
      </c>
      <c r="M147" s="362"/>
      <c r="N147" s="252">
        <f>'3ª'!$K42</f>
        <v>0</v>
      </c>
      <c r="O147" s="362"/>
      <c r="P147" s="253" t="s">
        <v>110</v>
      </c>
      <c r="Q147" s="415" t="s">
        <v>249</v>
      </c>
      <c r="R147" s="383">
        <f>'3ª'!$L42</f>
        <v>0</v>
      </c>
      <c r="S147" s="383">
        <f>'3ª'!$M42</f>
        <v>0</v>
      </c>
      <c r="T147" s="383">
        <f>'3ª'!$N42</f>
        <v>0</v>
      </c>
      <c r="U147" s="383">
        <f>'3ª'!$O42</f>
        <v>0</v>
      </c>
      <c r="V147" s="383">
        <f>'3ª'!$P42</f>
        <v>0</v>
      </c>
      <c r="W147" s="383">
        <f>'3ª'!$Q42</f>
        <v>0</v>
      </c>
      <c r="X147" s="383">
        <f>'3ª'!$R42</f>
        <v>0</v>
      </c>
      <c r="Y147" s="383">
        <f>'3ª'!$S42</f>
        <v>0</v>
      </c>
      <c r="Z147" s="384">
        <f>'3ª'!$T42</f>
        <v>0</v>
      </c>
      <c r="AA147" s="384">
        <f>'3ª'!$U42</f>
        <v>0</v>
      </c>
      <c r="AB147" s="385" t="s">
        <v>323</v>
      </c>
      <c r="AC147" s="385"/>
      <c r="AD147" s="435" t="s">
        <v>466</v>
      </c>
    </row>
    <row r="148" spans="1:30" ht="15.75" x14ac:dyDescent="0.25">
      <c r="A148" s="416" t="str">
        <f>RIGHT('[1]3ª'!$A$5:$D$5,12)</f>
        <v>3ª SÉRIE E.F</v>
      </c>
      <c r="B148" s="451">
        <v>37</v>
      </c>
      <c r="C148" s="248">
        <f>'3ª'!$B43</f>
        <v>0</v>
      </c>
      <c r="D148" s="362">
        <f>'3ª'!$C43</f>
        <v>0</v>
      </c>
      <c r="E148" s="249">
        <f>'3ª'!$D43</f>
        <v>0</v>
      </c>
      <c r="F148" s="249">
        <f>'3ª'!$E43</f>
        <v>0</v>
      </c>
      <c r="G148" s="250">
        <f>'3ª'!$F43</f>
        <v>0</v>
      </c>
      <c r="H148" s="362">
        <f>'3ª'!$G43</f>
        <v>0</v>
      </c>
      <c r="I148" s="363">
        <f>'3ª'!$H43</f>
        <v>0</v>
      </c>
      <c r="J148" s="362"/>
      <c r="K148" s="362">
        <f>'3ª'!$I43</f>
        <v>0</v>
      </c>
      <c r="L148" s="250">
        <f>'3ª'!$J43</f>
        <v>0</v>
      </c>
      <c r="M148" s="362"/>
      <c r="N148" s="252">
        <f>'3ª'!$K43</f>
        <v>0</v>
      </c>
      <c r="O148" s="362"/>
      <c r="P148" s="253" t="s">
        <v>110</v>
      </c>
      <c r="Q148" s="415" t="s">
        <v>249</v>
      </c>
      <c r="R148" s="383">
        <f>'3ª'!$L43</f>
        <v>0</v>
      </c>
      <c r="S148" s="383">
        <f>'3ª'!$M43</f>
        <v>0</v>
      </c>
      <c r="T148" s="383">
        <f>'3ª'!$N43</f>
        <v>0</v>
      </c>
      <c r="U148" s="383">
        <f>'3ª'!$O43</f>
        <v>0</v>
      </c>
      <c r="V148" s="383">
        <f>'3ª'!$P43</f>
        <v>0</v>
      </c>
      <c r="W148" s="383">
        <f>'3ª'!$Q43</f>
        <v>0</v>
      </c>
      <c r="X148" s="383">
        <f>'3ª'!$R43</f>
        <v>0</v>
      </c>
      <c r="Y148" s="383">
        <f>'3ª'!$S43</f>
        <v>0</v>
      </c>
      <c r="Z148" s="384">
        <f>'3ª'!$T43</f>
        <v>0</v>
      </c>
      <c r="AA148" s="384">
        <f>'3ª'!$U43</f>
        <v>0</v>
      </c>
      <c r="AB148" s="385" t="s">
        <v>323</v>
      </c>
      <c r="AC148" s="385"/>
      <c r="AD148" s="435" t="s">
        <v>466</v>
      </c>
    </row>
    <row r="149" spans="1:30" ht="15.75" x14ac:dyDescent="0.25">
      <c r="A149" s="416" t="str">
        <f>RIGHT('[1]3ª'!$A$5:$D$5,12)</f>
        <v>3ª SÉRIE E.F</v>
      </c>
      <c r="B149" s="451">
        <v>38</v>
      </c>
      <c r="C149" s="248">
        <f>'3ª'!$B44</f>
        <v>0</v>
      </c>
      <c r="D149" s="362">
        <f>'3ª'!$C44</f>
        <v>0</v>
      </c>
      <c r="E149" s="249">
        <f>'3ª'!$D44</f>
        <v>0</v>
      </c>
      <c r="F149" s="249">
        <f>'3ª'!$E44</f>
        <v>0</v>
      </c>
      <c r="G149" s="250">
        <f>'3ª'!$F44</f>
        <v>0</v>
      </c>
      <c r="H149" s="362">
        <f>'3ª'!$G44</f>
        <v>0</v>
      </c>
      <c r="I149" s="363">
        <f>'3ª'!$H44</f>
        <v>0</v>
      </c>
      <c r="J149" s="362"/>
      <c r="K149" s="362">
        <f>'3ª'!$I44</f>
        <v>0</v>
      </c>
      <c r="L149" s="250">
        <f>'3ª'!$J44</f>
        <v>0</v>
      </c>
      <c r="M149" s="362"/>
      <c r="N149" s="252">
        <f>'3ª'!$K44</f>
        <v>0</v>
      </c>
      <c r="O149" s="362"/>
      <c r="P149" s="253" t="s">
        <v>110</v>
      </c>
      <c r="Q149" s="415" t="s">
        <v>249</v>
      </c>
      <c r="R149" s="383">
        <f>'3ª'!$L44</f>
        <v>0</v>
      </c>
      <c r="S149" s="383">
        <f>'3ª'!$M44</f>
        <v>0</v>
      </c>
      <c r="T149" s="383">
        <f>'3ª'!$N44</f>
        <v>0</v>
      </c>
      <c r="U149" s="383">
        <f>'3ª'!$O44</f>
        <v>0</v>
      </c>
      <c r="V149" s="383">
        <f>'3ª'!$P44</f>
        <v>0</v>
      </c>
      <c r="W149" s="383">
        <f>'3ª'!$Q44</f>
        <v>0</v>
      </c>
      <c r="X149" s="383">
        <f>'3ª'!$R44</f>
        <v>0</v>
      </c>
      <c r="Y149" s="383">
        <f>'3ª'!$S44</f>
        <v>0</v>
      </c>
      <c r="Z149" s="384">
        <f>'3ª'!$T44</f>
        <v>0</v>
      </c>
      <c r="AA149" s="384">
        <f>'3ª'!$U44</f>
        <v>0</v>
      </c>
      <c r="AB149" s="385" t="s">
        <v>323</v>
      </c>
      <c r="AC149" s="385"/>
      <c r="AD149" s="435" t="s">
        <v>466</v>
      </c>
    </row>
    <row r="150" spans="1:30" ht="15.75" x14ac:dyDescent="0.25">
      <c r="A150" s="416" t="str">
        <f>RIGHT('[1]3ª'!$A$5:$D$5,12)</f>
        <v>3ª SÉRIE E.F</v>
      </c>
      <c r="B150" s="451">
        <v>39</v>
      </c>
      <c r="C150" s="248">
        <f>'3ª'!$B45</f>
        <v>0</v>
      </c>
      <c r="D150" s="362">
        <f>'3ª'!$C45</f>
        <v>0</v>
      </c>
      <c r="E150" s="249">
        <f>'3ª'!$D45</f>
        <v>0</v>
      </c>
      <c r="F150" s="249">
        <f>'3ª'!$E45</f>
        <v>0</v>
      </c>
      <c r="G150" s="250">
        <f>'3ª'!$F45</f>
        <v>0</v>
      </c>
      <c r="H150" s="362">
        <f>'3ª'!$G45</f>
        <v>0</v>
      </c>
      <c r="I150" s="363">
        <f>'3ª'!$H45</f>
        <v>0</v>
      </c>
      <c r="J150" s="362"/>
      <c r="K150" s="362">
        <f>'3ª'!$I45</f>
        <v>0</v>
      </c>
      <c r="L150" s="250">
        <f>'3ª'!$J45</f>
        <v>0</v>
      </c>
      <c r="M150" s="362"/>
      <c r="N150" s="252">
        <f>'3ª'!$K45</f>
        <v>0</v>
      </c>
      <c r="O150" s="362"/>
      <c r="P150" s="253" t="s">
        <v>110</v>
      </c>
      <c r="Q150" s="415" t="s">
        <v>249</v>
      </c>
      <c r="R150" s="383">
        <f>'3ª'!$L45</f>
        <v>0</v>
      </c>
      <c r="S150" s="383">
        <f>'3ª'!$M45</f>
        <v>0</v>
      </c>
      <c r="T150" s="383">
        <f>'3ª'!$N45</f>
        <v>0</v>
      </c>
      <c r="U150" s="383">
        <f>'3ª'!$O45</f>
        <v>0</v>
      </c>
      <c r="V150" s="383">
        <f>'3ª'!$P45</f>
        <v>0</v>
      </c>
      <c r="W150" s="383">
        <f>'3ª'!$Q45</f>
        <v>0</v>
      </c>
      <c r="X150" s="383">
        <f>'3ª'!$R45</f>
        <v>0</v>
      </c>
      <c r="Y150" s="383">
        <f>'3ª'!$S45</f>
        <v>0</v>
      </c>
      <c r="Z150" s="384">
        <f>'3ª'!$T45</f>
        <v>0</v>
      </c>
      <c r="AA150" s="384">
        <f>'3ª'!$U45</f>
        <v>0</v>
      </c>
      <c r="AB150" s="385" t="s">
        <v>323</v>
      </c>
      <c r="AC150" s="385"/>
      <c r="AD150" s="435" t="s">
        <v>466</v>
      </c>
    </row>
    <row r="151" spans="1:30" ht="15.75" x14ac:dyDescent="0.25">
      <c r="A151" s="416" t="str">
        <f>RIGHT('[1]3ª'!$A$5:$D$5,12)</f>
        <v>3ª SÉRIE E.F</v>
      </c>
      <c r="B151" s="451">
        <v>40</v>
      </c>
      <c r="C151" s="248">
        <f>'3ª'!$B46</f>
        <v>0</v>
      </c>
      <c r="D151" s="362">
        <f>'3ª'!$C46</f>
        <v>0</v>
      </c>
      <c r="E151" s="249">
        <f>'3ª'!$D46</f>
        <v>0</v>
      </c>
      <c r="F151" s="249">
        <f>'3ª'!$E46</f>
        <v>0</v>
      </c>
      <c r="G151" s="250">
        <f>'3ª'!$F46</f>
        <v>0</v>
      </c>
      <c r="H151" s="362">
        <f>'3ª'!$G46</f>
        <v>0</v>
      </c>
      <c r="I151" s="363">
        <f>'3ª'!$H46</f>
        <v>0</v>
      </c>
      <c r="J151" s="362"/>
      <c r="K151" s="362">
        <f>'3ª'!$I46</f>
        <v>0</v>
      </c>
      <c r="L151" s="250">
        <f>'3ª'!$J46</f>
        <v>0</v>
      </c>
      <c r="M151" s="362"/>
      <c r="N151" s="252">
        <f>'3ª'!$K46</f>
        <v>0</v>
      </c>
      <c r="O151" s="362"/>
      <c r="P151" s="253" t="s">
        <v>110</v>
      </c>
      <c r="Q151" s="415" t="s">
        <v>249</v>
      </c>
      <c r="R151" s="383">
        <f>'3ª'!$L46</f>
        <v>0</v>
      </c>
      <c r="S151" s="383">
        <f>'3ª'!$M46</f>
        <v>0</v>
      </c>
      <c r="T151" s="383">
        <f>'3ª'!$N46</f>
        <v>0</v>
      </c>
      <c r="U151" s="383">
        <f>'3ª'!$O46</f>
        <v>0</v>
      </c>
      <c r="V151" s="383">
        <f>'3ª'!$P46</f>
        <v>0</v>
      </c>
      <c r="W151" s="383">
        <f>'3ª'!$Q46</f>
        <v>0</v>
      </c>
      <c r="X151" s="383">
        <f>'3ª'!$R46</f>
        <v>0</v>
      </c>
      <c r="Y151" s="383">
        <f>'3ª'!$S46</f>
        <v>0</v>
      </c>
      <c r="Z151" s="384">
        <f>'3ª'!$T46</f>
        <v>0</v>
      </c>
      <c r="AA151" s="384">
        <f>'3ª'!$U46</f>
        <v>0</v>
      </c>
      <c r="AB151" s="385" t="s">
        <v>323</v>
      </c>
      <c r="AC151" s="385"/>
      <c r="AD151" s="435" t="s">
        <v>466</v>
      </c>
    </row>
    <row r="152" spans="1:30" ht="15.75" x14ac:dyDescent="0.25">
      <c r="A152" s="416" t="str">
        <f>RIGHT('[1]3ª'!$A$5:$D$5,12)</f>
        <v>3ª SÉRIE E.F</v>
      </c>
      <c r="B152" s="451">
        <v>41</v>
      </c>
      <c r="C152" s="248">
        <f>'3ª'!$B47</f>
        <v>0</v>
      </c>
      <c r="D152" s="362">
        <f>'3ª'!$C47</f>
        <v>0</v>
      </c>
      <c r="E152" s="249">
        <f>'3ª'!$D47</f>
        <v>0</v>
      </c>
      <c r="F152" s="249">
        <f>'3ª'!$E47</f>
        <v>0</v>
      </c>
      <c r="G152" s="250">
        <f>'3ª'!$F47</f>
        <v>0</v>
      </c>
      <c r="H152" s="362">
        <f>'3ª'!$G47</f>
        <v>0</v>
      </c>
      <c r="I152" s="363">
        <f>'3ª'!$H47</f>
        <v>0</v>
      </c>
      <c r="J152" s="362"/>
      <c r="K152" s="362">
        <f>'3ª'!$I47</f>
        <v>0</v>
      </c>
      <c r="L152" s="250">
        <f>'3ª'!$J47</f>
        <v>0</v>
      </c>
      <c r="M152" s="362"/>
      <c r="N152" s="252">
        <f>'3ª'!$K47</f>
        <v>0</v>
      </c>
      <c r="O152" s="362"/>
      <c r="P152" s="253" t="s">
        <v>110</v>
      </c>
      <c r="Q152" s="415" t="s">
        <v>249</v>
      </c>
      <c r="R152" s="383">
        <f>'3ª'!$L47</f>
        <v>0</v>
      </c>
      <c r="S152" s="383">
        <f>'3ª'!$M47</f>
        <v>0</v>
      </c>
      <c r="T152" s="383">
        <f>'3ª'!$N47</f>
        <v>0</v>
      </c>
      <c r="U152" s="383">
        <f>'3ª'!$O47</f>
        <v>0</v>
      </c>
      <c r="V152" s="383">
        <f>'3ª'!$P47</f>
        <v>0</v>
      </c>
      <c r="W152" s="383">
        <f>'3ª'!$Q47</f>
        <v>0</v>
      </c>
      <c r="X152" s="383">
        <f>'3ª'!$R47</f>
        <v>0</v>
      </c>
      <c r="Y152" s="383">
        <f>'3ª'!$S47</f>
        <v>0</v>
      </c>
      <c r="Z152" s="384">
        <f>'3ª'!$T47</f>
        <v>0</v>
      </c>
      <c r="AA152" s="384">
        <f>'3ª'!$U47</f>
        <v>0</v>
      </c>
      <c r="AB152" s="385" t="s">
        <v>323</v>
      </c>
      <c r="AC152" s="385"/>
      <c r="AD152" s="435" t="s">
        <v>466</v>
      </c>
    </row>
    <row r="153" spans="1:30" ht="15.75" x14ac:dyDescent="0.25">
      <c r="A153" s="416" t="str">
        <f>RIGHT('[1]3ª'!$A$5:$D$5,12)</f>
        <v>3ª SÉRIE E.F</v>
      </c>
      <c r="B153" s="451">
        <v>42</v>
      </c>
      <c r="C153" s="248">
        <f>'3ª'!$B48</f>
        <v>0</v>
      </c>
      <c r="D153" s="362">
        <f>'3ª'!$C48</f>
        <v>0</v>
      </c>
      <c r="E153" s="249">
        <f>'3ª'!$D48</f>
        <v>0</v>
      </c>
      <c r="F153" s="249">
        <f>'3ª'!$E48</f>
        <v>0</v>
      </c>
      <c r="G153" s="250">
        <f>'3ª'!$F48</f>
        <v>0</v>
      </c>
      <c r="H153" s="362">
        <f>'3ª'!$G48</f>
        <v>0</v>
      </c>
      <c r="I153" s="363">
        <f>'3ª'!$H48</f>
        <v>0</v>
      </c>
      <c r="J153" s="362"/>
      <c r="K153" s="362">
        <f>'3ª'!$I48</f>
        <v>0</v>
      </c>
      <c r="L153" s="250">
        <f>'3ª'!$J48</f>
        <v>0</v>
      </c>
      <c r="M153" s="362"/>
      <c r="N153" s="252">
        <f>'3ª'!$K48</f>
        <v>0</v>
      </c>
      <c r="O153" s="362"/>
      <c r="P153" s="253" t="s">
        <v>110</v>
      </c>
      <c r="Q153" s="415" t="s">
        <v>249</v>
      </c>
      <c r="R153" s="383">
        <f>'3ª'!$L48</f>
        <v>0</v>
      </c>
      <c r="S153" s="383">
        <f>'3ª'!$M48</f>
        <v>0</v>
      </c>
      <c r="T153" s="383">
        <f>'3ª'!$N48</f>
        <v>0</v>
      </c>
      <c r="U153" s="383">
        <f>'3ª'!$O48</f>
        <v>0</v>
      </c>
      <c r="V153" s="383">
        <f>'3ª'!$P48</f>
        <v>0</v>
      </c>
      <c r="W153" s="383">
        <f>'3ª'!$Q48</f>
        <v>0</v>
      </c>
      <c r="X153" s="383">
        <f>'3ª'!$R48</f>
        <v>0</v>
      </c>
      <c r="Y153" s="383">
        <f>'3ª'!$S48</f>
        <v>0</v>
      </c>
      <c r="Z153" s="384">
        <f>'3ª'!$T48</f>
        <v>0</v>
      </c>
      <c r="AA153" s="384">
        <f>'3ª'!$U48</f>
        <v>0</v>
      </c>
      <c r="AB153" s="385" t="s">
        <v>323</v>
      </c>
      <c r="AC153" s="385"/>
      <c r="AD153" s="435" t="s">
        <v>466</v>
      </c>
    </row>
    <row r="154" spans="1:30" ht="15.75" x14ac:dyDescent="0.25">
      <c r="A154" s="416" t="str">
        <f>RIGHT('[1]3ª'!$A$5:$D$5,12)</f>
        <v>3ª SÉRIE E.F</v>
      </c>
      <c r="B154" s="451">
        <v>43</v>
      </c>
      <c r="C154" s="248">
        <f>'3ª'!$B49</f>
        <v>0</v>
      </c>
      <c r="D154" s="362">
        <f>'3ª'!$C49</f>
        <v>0</v>
      </c>
      <c r="E154" s="249">
        <f>'3ª'!$D49</f>
        <v>0</v>
      </c>
      <c r="F154" s="249">
        <f>'3ª'!$E49</f>
        <v>0</v>
      </c>
      <c r="G154" s="250">
        <f>'3ª'!$F49</f>
        <v>0</v>
      </c>
      <c r="H154" s="362">
        <f>'3ª'!$G49</f>
        <v>0</v>
      </c>
      <c r="I154" s="363">
        <f>'3ª'!$H49</f>
        <v>0</v>
      </c>
      <c r="J154" s="362"/>
      <c r="K154" s="362">
        <f>'3ª'!$I49</f>
        <v>0</v>
      </c>
      <c r="L154" s="250">
        <f>'3ª'!$J49</f>
        <v>0</v>
      </c>
      <c r="M154" s="362"/>
      <c r="N154" s="252">
        <f>'3ª'!$K49</f>
        <v>0</v>
      </c>
      <c r="O154" s="362"/>
      <c r="P154" s="253" t="s">
        <v>110</v>
      </c>
      <c r="Q154" s="415" t="s">
        <v>249</v>
      </c>
      <c r="R154" s="383">
        <f>'3ª'!$L49</f>
        <v>0</v>
      </c>
      <c r="S154" s="383">
        <f>'3ª'!$M49</f>
        <v>0</v>
      </c>
      <c r="T154" s="383">
        <f>'3ª'!$N49</f>
        <v>0</v>
      </c>
      <c r="U154" s="383">
        <f>'3ª'!$O49</f>
        <v>0</v>
      </c>
      <c r="V154" s="383">
        <f>'3ª'!$P49</f>
        <v>0</v>
      </c>
      <c r="W154" s="383">
        <f>'3ª'!$Q49</f>
        <v>0</v>
      </c>
      <c r="X154" s="383">
        <f>'3ª'!$R49</f>
        <v>0</v>
      </c>
      <c r="Y154" s="383">
        <f>'3ª'!$S49</f>
        <v>0</v>
      </c>
      <c r="Z154" s="384">
        <f>'3ª'!$T49</f>
        <v>0</v>
      </c>
      <c r="AA154" s="384">
        <f>'3ª'!$U49</f>
        <v>0</v>
      </c>
      <c r="AB154" s="385" t="s">
        <v>323</v>
      </c>
      <c r="AC154" s="385"/>
      <c r="AD154" s="435" t="s">
        <v>466</v>
      </c>
    </row>
    <row r="155" spans="1:30" ht="15.75" x14ac:dyDescent="0.25">
      <c r="A155" s="416" t="str">
        <f>RIGHT('[1]3ª'!$A$5:$D$5,12)</f>
        <v>3ª SÉRIE E.F</v>
      </c>
      <c r="B155" s="451">
        <v>44</v>
      </c>
      <c r="C155" s="248">
        <f>'3ª'!$B50</f>
        <v>0</v>
      </c>
      <c r="D155" s="362">
        <f>'3ª'!$C50</f>
        <v>0</v>
      </c>
      <c r="E155" s="249">
        <f>'3ª'!$D50</f>
        <v>0</v>
      </c>
      <c r="F155" s="249">
        <f>'3ª'!$E50</f>
        <v>0</v>
      </c>
      <c r="G155" s="250">
        <f>'3ª'!$F50</f>
        <v>0</v>
      </c>
      <c r="H155" s="362">
        <f>'3ª'!$G50</f>
        <v>0</v>
      </c>
      <c r="I155" s="363">
        <f>'3ª'!$H50</f>
        <v>0</v>
      </c>
      <c r="J155" s="362"/>
      <c r="K155" s="362">
        <f>'3ª'!$I50</f>
        <v>0</v>
      </c>
      <c r="L155" s="250">
        <f>'3ª'!$J50</f>
        <v>0</v>
      </c>
      <c r="M155" s="362"/>
      <c r="N155" s="252">
        <f>'3ª'!$K50</f>
        <v>0</v>
      </c>
      <c r="O155" s="362"/>
      <c r="P155" s="253" t="s">
        <v>110</v>
      </c>
      <c r="Q155" s="415" t="s">
        <v>249</v>
      </c>
      <c r="R155" s="383">
        <f>'3ª'!$L50</f>
        <v>0</v>
      </c>
      <c r="S155" s="383">
        <f>'3ª'!$M50</f>
        <v>0</v>
      </c>
      <c r="T155" s="383">
        <f>'3ª'!$N50</f>
        <v>0</v>
      </c>
      <c r="U155" s="383">
        <f>'3ª'!$O50</f>
        <v>0</v>
      </c>
      <c r="V155" s="383">
        <f>'3ª'!$P50</f>
        <v>0</v>
      </c>
      <c r="W155" s="383">
        <f>'3ª'!$Q50</f>
        <v>0</v>
      </c>
      <c r="X155" s="383">
        <f>'3ª'!$R50</f>
        <v>0</v>
      </c>
      <c r="Y155" s="383">
        <f>'3ª'!$S50</f>
        <v>0</v>
      </c>
      <c r="Z155" s="384">
        <f>'3ª'!$T50</f>
        <v>0</v>
      </c>
      <c r="AA155" s="384">
        <f>'3ª'!$U50</f>
        <v>0</v>
      </c>
      <c r="AB155" s="385" t="s">
        <v>323</v>
      </c>
      <c r="AC155" s="385"/>
      <c r="AD155" s="435" t="s">
        <v>466</v>
      </c>
    </row>
    <row r="156" spans="1:30" ht="15.75" x14ac:dyDescent="0.25">
      <c r="A156" s="416" t="str">
        <f>RIGHT('[1]3ª'!$A$5:$D$5,12)</f>
        <v>3ª SÉRIE E.F</v>
      </c>
      <c r="B156" s="451">
        <v>45</v>
      </c>
      <c r="C156" s="248">
        <f>'3ª'!$B51</f>
        <v>0</v>
      </c>
      <c r="D156" s="362">
        <f>'3ª'!$C51</f>
        <v>0</v>
      </c>
      <c r="E156" s="249">
        <f>'3ª'!$D51</f>
        <v>0</v>
      </c>
      <c r="F156" s="249">
        <f>'3ª'!$E51</f>
        <v>0</v>
      </c>
      <c r="G156" s="250">
        <f>'3ª'!$F51</f>
        <v>0</v>
      </c>
      <c r="H156" s="362">
        <f>'3ª'!$G51</f>
        <v>0</v>
      </c>
      <c r="I156" s="363">
        <f>'3ª'!$H51</f>
        <v>0</v>
      </c>
      <c r="J156" s="362"/>
      <c r="K156" s="362">
        <f>'3ª'!$I51</f>
        <v>0</v>
      </c>
      <c r="L156" s="250">
        <f>'3ª'!$J51</f>
        <v>0</v>
      </c>
      <c r="M156" s="362"/>
      <c r="N156" s="252">
        <f>'3ª'!$K51</f>
        <v>0</v>
      </c>
      <c r="O156" s="362"/>
      <c r="P156" s="253" t="s">
        <v>110</v>
      </c>
      <c r="Q156" s="415" t="s">
        <v>249</v>
      </c>
      <c r="R156" s="383">
        <f>'3ª'!$L51</f>
        <v>0</v>
      </c>
      <c r="S156" s="383">
        <f>'3ª'!$M51</f>
        <v>0</v>
      </c>
      <c r="T156" s="383">
        <f>'3ª'!$N51</f>
        <v>0</v>
      </c>
      <c r="U156" s="383">
        <f>'3ª'!$O51</f>
        <v>0</v>
      </c>
      <c r="V156" s="383">
        <f>'3ª'!$P51</f>
        <v>0</v>
      </c>
      <c r="W156" s="383">
        <f>'3ª'!$Q51</f>
        <v>0</v>
      </c>
      <c r="X156" s="383">
        <f>'3ª'!$R51</f>
        <v>0</v>
      </c>
      <c r="Y156" s="383">
        <f>'3ª'!$S51</f>
        <v>0</v>
      </c>
      <c r="Z156" s="384">
        <f>'3ª'!$T51</f>
        <v>0</v>
      </c>
      <c r="AA156" s="384">
        <f>'3ª'!$U51</f>
        <v>0</v>
      </c>
      <c r="AB156" s="385" t="s">
        <v>323</v>
      </c>
      <c r="AC156" s="385"/>
      <c r="AD156" s="435" t="s">
        <v>466</v>
      </c>
    </row>
    <row r="157" spans="1:30" ht="15.75" x14ac:dyDescent="0.25">
      <c r="A157" s="416" t="str">
        <f>RIGHT('[1]3ª'!$A$5:$D$5,12)</f>
        <v>3ª SÉRIE E.F</v>
      </c>
      <c r="B157" s="451">
        <v>46</v>
      </c>
      <c r="C157" s="248">
        <f>'3ª'!$B52</f>
        <v>0</v>
      </c>
      <c r="D157" s="362">
        <f>'3ª'!$C52</f>
        <v>0</v>
      </c>
      <c r="E157" s="249">
        <f>'3ª'!$D52</f>
        <v>0</v>
      </c>
      <c r="F157" s="249">
        <f>'3ª'!$E52</f>
        <v>0</v>
      </c>
      <c r="G157" s="250">
        <f>'3ª'!$F52</f>
        <v>0</v>
      </c>
      <c r="H157" s="362">
        <f>'3ª'!$G52</f>
        <v>0</v>
      </c>
      <c r="I157" s="363">
        <f>'3ª'!$H52</f>
        <v>0</v>
      </c>
      <c r="J157" s="362"/>
      <c r="K157" s="362">
        <f>'3ª'!$I52</f>
        <v>0</v>
      </c>
      <c r="L157" s="250">
        <f>'3ª'!$J52</f>
        <v>0</v>
      </c>
      <c r="M157" s="362"/>
      <c r="N157" s="252">
        <f>'3ª'!$K52</f>
        <v>0</v>
      </c>
      <c r="O157" s="362"/>
      <c r="P157" s="253" t="s">
        <v>110</v>
      </c>
      <c r="Q157" s="415" t="s">
        <v>249</v>
      </c>
      <c r="R157" s="383">
        <f>'3ª'!$L52</f>
        <v>0</v>
      </c>
      <c r="S157" s="383">
        <f>'3ª'!$M52</f>
        <v>0</v>
      </c>
      <c r="T157" s="383">
        <f>'3ª'!$N52</f>
        <v>0</v>
      </c>
      <c r="U157" s="383">
        <f>'3ª'!$O52</f>
        <v>0</v>
      </c>
      <c r="V157" s="383">
        <f>'3ª'!$P52</f>
        <v>0</v>
      </c>
      <c r="W157" s="383">
        <f>'3ª'!$Q52</f>
        <v>0</v>
      </c>
      <c r="X157" s="383">
        <f>'3ª'!$R52</f>
        <v>0</v>
      </c>
      <c r="Y157" s="383">
        <f>'3ª'!$S52</f>
        <v>0</v>
      </c>
      <c r="Z157" s="384">
        <f>'3ª'!$T52</f>
        <v>0</v>
      </c>
      <c r="AA157" s="384">
        <f>'3ª'!$U52</f>
        <v>0</v>
      </c>
      <c r="AB157" s="385" t="s">
        <v>323</v>
      </c>
      <c r="AC157" s="385"/>
      <c r="AD157" s="435" t="s">
        <v>466</v>
      </c>
    </row>
    <row r="158" spans="1:30" ht="15.75" x14ac:dyDescent="0.25">
      <c r="A158" s="416" t="str">
        <f>RIGHT('[1]3ª'!$A$5:$D$5,12)</f>
        <v>3ª SÉRIE E.F</v>
      </c>
      <c r="B158" s="451">
        <v>47</v>
      </c>
      <c r="C158" s="248">
        <f>'3ª'!$B53</f>
        <v>0</v>
      </c>
      <c r="D158" s="362">
        <f>'3ª'!$C53</f>
        <v>0</v>
      </c>
      <c r="E158" s="249">
        <f>'3ª'!$D53</f>
        <v>0</v>
      </c>
      <c r="F158" s="249">
        <f>'3ª'!$E53</f>
        <v>0</v>
      </c>
      <c r="G158" s="250">
        <f>'3ª'!$F53</f>
        <v>0</v>
      </c>
      <c r="H158" s="362">
        <f>'3ª'!$G53</f>
        <v>0</v>
      </c>
      <c r="I158" s="363">
        <f>'3ª'!$H53</f>
        <v>0</v>
      </c>
      <c r="J158" s="362"/>
      <c r="K158" s="362">
        <f>'3ª'!$I53</f>
        <v>0</v>
      </c>
      <c r="L158" s="250">
        <f>'3ª'!$J53</f>
        <v>0</v>
      </c>
      <c r="M158" s="362"/>
      <c r="N158" s="252">
        <f>'3ª'!$K53</f>
        <v>0</v>
      </c>
      <c r="O158" s="362"/>
      <c r="P158" s="253" t="s">
        <v>110</v>
      </c>
      <c r="Q158" s="415" t="s">
        <v>249</v>
      </c>
      <c r="R158" s="383">
        <f>'3ª'!$L53</f>
        <v>0</v>
      </c>
      <c r="S158" s="383">
        <f>'3ª'!$M53</f>
        <v>0</v>
      </c>
      <c r="T158" s="383">
        <f>'3ª'!$N53</f>
        <v>0</v>
      </c>
      <c r="U158" s="383">
        <f>'3ª'!$O53</f>
        <v>0</v>
      </c>
      <c r="V158" s="383">
        <f>'3ª'!$P53</f>
        <v>0</v>
      </c>
      <c r="W158" s="383">
        <f>'3ª'!$Q53</f>
        <v>0</v>
      </c>
      <c r="X158" s="383">
        <f>'3ª'!$R53</f>
        <v>0</v>
      </c>
      <c r="Y158" s="383">
        <f>'3ª'!$S53</f>
        <v>0</v>
      </c>
      <c r="Z158" s="384">
        <f>'3ª'!$T53</f>
        <v>0</v>
      </c>
      <c r="AA158" s="384">
        <f>'3ª'!$U53</f>
        <v>0</v>
      </c>
      <c r="AB158" s="385" t="s">
        <v>323</v>
      </c>
      <c r="AC158" s="385"/>
      <c r="AD158" s="435" t="s">
        <v>466</v>
      </c>
    </row>
    <row r="159" spans="1:30" ht="15.75" x14ac:dyDescent="0.25">
      <c r="A159" s="416" t="str">
        <f>RIGHT('[1]3ª'!$A$5:$D$5,12)</f>
        <v>3ª SÉRIE E.F</v>
      </c>
      <c r="B159" s="451">
        <v>48</v>
      </c>
      <c r="C159" s="248">
        <f>'3ª'!$B54</f>
        <v>0</v>
      </c>
      <c r="D159" s="362">
        <f>'3ª'!$C54</f>
        <v>0</v>
      </c>
      <c r="E159" s="249">
        <f>'3ª'!$D54</f>
        <v>0</v>
      </c>
      <c r="F159" s="249">
        <f>'3ª'!$E54</f>
        <v>0</v>
      </c>
      <c r="G159" s="250">
        <f>'3ª'!$F54</f>
        <v>0</v>
      </c>
      <c r="H159" s="362">
        <f>'3ª'!$G54</f>
        <v>0</v>
      </c>
      <c r="I159" s="363">
        <f>'3ª'!$H54</f>
        <v>0</v>
      </c>
      <c r="J159" s="362"/>
      <c r="K159" s="362">
        <f>'3ª'!$I54</f>
        <v>0</v>
      </c>
      <c r="L159" s="250">
        <f>'3ª'!$J54</f>
        <v>0</v>
      </c>
      <c r="M159" s="362"/>
      <c r="N159" s="252">
        <f>'3ª'!$K54</f>
        <v>0</v>
      </c>
      <c r="O159" s="362"/>
      <c r="P159" s="253" t="s">
        <v>110</v>
      </c>
      <c r="Q159" s="415" t="s">
        <v>249</v>
      </c>
      <c r="R159" s="383">
        <f>'3ª'!$L54</f>
        <v>0</v>
      </c>
      <c r="S159" s="383">
        <f>'3ª'!$M54</f>
        <v>0</v>
      </c>
      <c r="T159" s="383">
        <f>'3ª'!$N54</f>
        <v>0</v>
      </c>
      <c r="U159" s="383">
        <f>'3ª'!$O54</f>
        <v>0</v>
      </c>
      <c r="V159" s="383">
        <f>'3ª'!$P54</f>
        <v>0</v>
      </c>
      <c r="W159" s="383">
        <f>'3ª'!$Q54</f>
        <v>0</v>
      </c>
      <c r="X159" s="383">
        <f>'3ª'!$R54</f>
        <v>0</v>
      </c>
      <c r="Y159" s="383">
        <f>'3ª'!$S54</f>
        <v>0</v>
      </c>
      <c r="Z159" s="384">
        <f>'3ª'!$T54</f>
        <v>0</v>
      </c>
      <c r="AA159" s="384">
        <f>'3ª'!$U54</f>
        <v>0</v>
      </c>
      <c r="AB159" s="385" t="s">
        <v>323</v>
      </c>
      <c r="AC159" s="385"/>
      <c r="AD159" s="435" t="s">
        <v>466</v>
      </c>
    </row>
    <row r="160" spans="1:30" ht="15.75" x14ac:dyDescent="0.25">
      <c r="A160" s="416" t="str">
        <f>RIGHT('[1]3ª'!$A$5:$D$5,12)</f>
        <v>3ª SÉRIE E.F</v>
      </c>
      <c r="B160" s="451">
        <v>49</v>
      </c>
      <c r="C160" s="248">
        <f>'3ª'!$B55</f>
        <v>0</v>
      </c>
      <c r="D160" s="362">
        <f>'3ª'!$C55</f>
        <v>0</v>
      </c>
      <c r="E160" s="249">
        <f>'3ª'!$D55</f>
        <v>0</v>
      </c>
      <c r="F160" s="249">
        <f>'3ª'!$E55</f>
        <v>0</v>
      </c>
      <c r="G160" s="250">
        <f>'3ª'!$F55</f>
        <v>0</v>
      </c>
      <c r="H160" s="362">
        <f>'3ª'!$G55</f>
        <v>0</v>
      </c>
      <c r="I160" s="363">
        <f>'3ª'!$H55</f>
        <v>0</v>
      </c>
      <c r="J160" s="362"/>
      <c r="K160" s="362">
        <f>'3ª'!$I55</f>
        <v>0</v>
      </c>
      <c r="L160" s="250">
        <f>'3ª'!$J55</f>
        <v>0</v>
      </c>
      <c r="M160" s="362"/>
      <c r="N160" s="252">
        <f>'3ª'!$K55</f>
        <v>0</v>
      </c>
      <c r="O160" s="362"/>
      <c r="P160" s="253" t="s">
        <v>110</v>
      </c>
      <c r="Q160" s="415" t="s">
        <v>249</v>
      </c>
      <c r="R160" s="383">
        <f>'3ª'!$L55</f>
        <v>0</v>
      </c>
      <c r="S160" s="383">
        <f>'3ª'!$M55</f>
        <v>0</v>
      </c>
      <c r="T160" s="383">
        <f>'3ª'!$N55</f>
        <v>0</v>
      </c>
      <c r="U160" s="383">
        <f>'3ª'!$O55</f>
        <v>0</v>
      </c>
      <c r="V160" s="383">
        <f>'3ª'!$P55</f>
        <v>0</v>
      </c>
      <c r="W160" s="383">
        <f>'3ª'!$Q55</f>
        <v>0</v>
      </c>
      <c r="X160" s="383">
        <f>'3ª'!$R55</f>
        <v>0</v>
      </c>
      <c r="Y160" s="383">
        <f>'3ª'!$S55</f>
        <v>0</v>
      </c>
      <c r="Z160" s="384">
        <f>'3ª'!$T55</f>
        <v>0</v>
      </c>
      <c r="AA160" s="384">
        <f>'3ª'!$U55</f>
        <v>0</v>
      </c>
      <c r="AB160" s="385" t="s">
        <v>323</v>
      </c>
      <c r="AC160" s="385"/>
      <c r="AD160" s="435" t="s">
        <v>466</v>
      </c>
    </row>
    <row r="161" spans="1:30" ht="15.75" x14ac:dyDescent="0.25">
      <c r="A161" s="416" t="str">
        <f>RIGHT('[1]3ª'!$A$5:$D$5,12)</f>
        <v>3ª SÉRIE E.F</v>
      </c>
      <c r="B161" s="451">
        <v>50</v>
      </c>
      <c r="C161" s="248">
        <f>'3ª'!$B56</f>
        <v>0</v>
      </c>
      <c r="D161" s="362">
        <f>'3ª'!$C56</f>
        <v>0</v>
      </c>
      <c r="E161" s="249">
        <f>'3ª'!$D56</f>
        <v>0</v>
      </c>
      <c r="F161" s="249">
        <f>'3ª'!$E56</f>
        <v>0</v>
      </c>
      <c r="G161" s="250">
        <f>'3ª'!$F56</f>
        <v>0</v>
      </c>
      <c r="H161" s="362">
        <f>'3ª'!$G56</f>
        <v>0</v>
      </c>
      <c r="I161" s="363">
        <f>'3ª'!$H56</f>
        <v>0</v>
      </c>
      <c r="J161" s="362"/>
      <c r="K161" s="362">
        <f>'3ª'!$I56</f>
        <v>0</v>
      </c>
      <c r="L161" s="250">
        <f>'3ª'!$J56</f>
        <v>0</v>
      </c>
      <c r="M161" s="362"/>
      <c r="N161" s="252">
        <f>'3ª'!$K56</f>
        <v>0</v>
      </c>
      <c r="O161" s="362"/>
      <c r="P161" s="253" t="s">
        <v>110</v>
      </c>
      <c r="Q161" s="415" t="s">
        <v>249</v>
      </c>
      <c r="R161" s="383">
        <f>'3ª'!$L56</f>
        <v>0</v>
      </c>
      <c r="S161" s="383">
        <f>'3ª'!$M56</f>
        <v>0</v>
      </c>
      <c r="T161" s="383">
        <f>'3ª'!$N56</f>
        <v>0</v>
      </c>
      <c r="U161" s="383">
        <f>'3ª'!$O56</f>
        <v>0</v>
      </c>
      <c r="V161" s="383">
        <f>'3ª'!$P56</f>
        <v>0</v>
      </c>
      <c r="W161" s="383">
        <f>'3ª'!$Q56</f>
        <v>0</v>
      </c>
      <c r="X161" s="383">
        <f>'3ª'!$R56</f>
        <v>0</v>
      </c>
      <c r="Y161" s="383">
        <f>'3ª'!$S56</f>
        <v>0</v>
      </c>
      <c r="Z161" s="384">
        <f>'3ª'!$T56</f>
        <v>0</v>
      </c>
      <c r="AA161" s="384">
        <f>'3ª'!$U56</f>
        <v>0</v>
      </c>
      <c r="AB161" s="385" t="s">
        <v>323</v>
      </c>
      <c r="AC161" s="385"/>
      <c r="AD161" s="435" t="s">
        <v>466</v>
      </c>
    </row>
    <row r="162" spans="1:30" ht="15.75" x14ac:dyDescent="0.25">
      <c r="A162" s="416" t="str">
        <f>RIGHT('[1]3ª'!$A$5:$D$5,12)</f>
        <v>3ª SÉRIE E.F</v>
      </c>
      <c r="B162" s="451">
        <v>51</v>
      </c>
      <c r="C162" s="248">
        <f>'3ª'!$B57</f>
        <v>0</v>
      </c>
      <c r="D162" s="362">
        <f>'3ª'!$C57</f>
        <v>0</v>
      </c>
      <c r="E162" s="249">
        <f>'3ª'!$D57</f>
        <v>0</v>
      </c>
      <c r="F162" s="249">
        <f>'3ª'!$E57</f>
        <v>0</v>
      </c>
      <c r="G162" s="250">
        <f>'3ª'!$F57</f>
        <v>0</v>
      </c>
      <c r="H162" s="362">
        <f>'3ª'!$G57</f>
        <v>0</v>
      </c>
      <c r="I162" s="363">
        <f>'3ª'!$H57</f>
        <v>0</v>
      </c>
      <c r="J162" s="362"/>
      <c r="K162" s="362">
        <f>'3ª'!$I57</f>
        <v>0</v>
      </c>
      <c r="L162" s="250">
        <f>'3ª'!$J57</f>
        <v>0</v>
      </c>
      <c r="M162" s="362"/>
      <c r="N162" s="252">
        <f>'3ª'!$K57</f>
        <v>0</v>
      </c>
      <c r="O162" s="362"/>
      <c r="P162" s="253" t="s">
        <v>110</v>
      </c>
      <c r="Q162" s="415" t="s">
        <v>249</v>
      </c>
      <c r="R162" s="383">
        <f>'3ª'!$L57</f>
        <v>0</v>
      </c>
      <c r="S162" s="383">
        <f>'3ª'!$M57</f>
        <v>0</v>
      </c>
      <c r="T162" s="383">
        <f>'3ª'!$N57</f>
        <v>0</v>
      </c>
      <c r="U162" s="383">
        <f>'3ª'!$O57</f>
        <v>0</v>
      </c>
      <c r="V162" s="383">
        <f>'3ª'!$P57</f>
        <v>0</v>
      </c>
      <c r="W162" s="383">
        <f>'3ª'!$Q57</f>
        <v>0</v>
      </c>
      <c r="X162" s="383">
        <f>'3ª'!$R57</f>
        <v>0</v>
      </c>
      <c r="Y162" s="383">
        <f>'3ª'!$S57</f>
        <v>0</v>
      </c>
      <c r="Z162" s="384">
        <f>'3ª'!$T57</f>
        <v>0</v>
      </c>
      <c r="AA162" s="384">
        <f>'3ª'!$U57</f>
        <v>0</v>
      </c>
      <c r="AB162" s="385" t="s">
        <v>323</v>
      </c>
      <c r="AC162" s="385"/>
      <c r="AD162" s="435" t="s">
        <v>466</v>
      </c>
    </row>
    <row r="163" spans="1:30" ht="15.75" x14ac:dyDescent="0.25">
      <c r="A163" s="416" t="str">
        <f>RIGHT('[1]3ª'!$A$5:$D$5,12)</f>
        <v>3ª SÉRIE E.F</v>
      </c>
      <c r="B163" s="451">
        <v>52</v>
      </c>
      <c r="C163" s="248">
        <f>'3ª'!$B58</f>
        <v>0</v>
      </c>
      <c r="D163" s="362">
        <f>'3ª'!$C58</f>
        <v>0</v>
      </c>
      <c r="E163" s="249">
        <f>'3ª'!$D58</f>
        <v>0</v>
      </c>
      <c r="F163" s="249">
        <f>'3ª'!$E58</f>
        <v>0</v>
      </c>
      <c r="G163" s="250">
        <f>'3ª'!$F58</f>
        <v>0</v>
      </c>
      <c r="H163" s="362">
        <f>'3ª'!$G58</f>
        <v>0</v>
      </c>
      <c r="I163" s="363">
        <f>'3ª'!$H58</f>
        <v>0</v>
      </c>
      <c r="J163" s="362"/>
      <c r="K163" s="362">
        <f>'3ª'!$I58</f>
        <v>0</v>
      </c>
      <c r="L163" s="250">
        <f>'3ª'!$J58</f>
        <v>0</v>
      </c>
      <c r="M163" s="362"/>
      <c r="N163" s="252">
        <f>'3ª'!$K58</f>
        <v>0</v>
      </c>
      <c r="O163" s="362"/>
      <c r="P163" s="253" t="s">
        <v>110</v>
      </c>
      <c r="Q163" s="415" t="s">
        <v>249</v>
      </c>
      <c r="R163" s="383">
        <f>'3ª'!$L58</f>
        <v>0</v>
      </c>
      <c r="S163" s="383">
        <f>'3ª'!$M58</f>
        <v>0</v>
      </c>
      <c r="T163" s="383">
        <f>'3ª'!$N58</f>
        <v>0</v>
      </c>
      <c r="U163" s="383">
        <f>'3ª'!$O58</f>
        <v>0</v>
      </c>
      <c r="V163" s="383">
        <f>'3ª'!$P58</f>
        <v>0</v>
      </c>
      <c r="W163" s="383">
        <f>'3ª'!$Q58</f>
        <v>0</v>
      </c>
      <c r="X163" s="383">
        <f>'3ª'!$R58</f>
        <v>0</v>
      </c>
      <c r="Y163" s="383">
        <f>'3ª'!$S58</f>
        <v>0</v>
      </c>
      <c r="Z163" s="384">
        <f>'3ª'!$T58</f>
        <v>0</v>
      </c>
      <c r="AA163" s="384">
        <f>'3ª'!$U58</f>
        <v>0</v>
      </c>
      <c r="AB163" s="385" t="s">
        <v>323</v>
      </c>
      <c r="AC163" s="385"/>
      <c r="AD163" s="435" t="s">
        <v>466</v>
      </c>
    </row>
    <row r="164" spans="1:30" ht="15.75" x14ac:dyDescent="0.25">
      <c r="A164" s="416" t="str">
        <f>RIGHT('[1]3ª'!$A$5:$D$5,12)</f>
        <v>3ª SÉRIE E.F</v>
      </c>
      <c r="B164" s="451">
        <v>53</v>
      </c>
      <c r="C164" s="248">
        <f>'3ª'!$B59</f>
        <v>0</v>
      </c>
      <c r="D164" s="362">
        <f>'3ª'!$C59</f>
        <v>0</v>
      </c>
      <c r="E164" s="249">
        <f>'3ª'!$D59</f>
        <v>0</v>
      </c>
      <c r="F164" s="249">
        <f>'3ª'!$E59</f>
        <v>0</v>
      </c>
      <c r="G164" s="250">
        <f>'3ª'!$F59</f>
        <v>0</v>
      </c>
      <c r="H164" s="362">
        <f>'3ª'!$G59</f>
        <v>0</v>
      </c>
      <c r="I164" s="363">
        <f>'3ª'!$H59</f>
        <v>0</v>
      </c>
      <c r="J164" s="362"/>
      <c r="K164" s="362">
        <f>'3ª'!$I59</f>
        <v>0</v>
      </c>
      <c r="L164" s="250">
        <f>'3ª'!$J59</f>
        <v>0</v>
      </c>
      <c r="M164" s="362"/>
      <c r="N164" s="252">
        <f>'3ª'!$K59</f>
        <v>0</v>
      </c>
      <c r="O164" s="362"/>
      <c r="P164" s="253" t="s">
        <v>110</v>
      </c>
      <c r="Q164" s="415" t="s">
        <v>249</v>
      </c>
      <c r="R164" s="383">
        <f>'3ª'!$L59</f>
        <v>0</v>
      </c>
      <c r="S164" s="383">
        <f>'3ª'!$M59</f>
        <v>0</v>
      </c>
      <c r="T164" s="383">
        <f>'3ª'!$N59</f>
        <v>0</v>
      </c>
      <c r="U164" s="383">
        <f>'3ª'!$O59</f>
        <v>0</v>
      </c>
      <c r="V164" s="383">
        <f>'3ª'!$P59</f>
        <v>0</v>
      </c>
      <c r="W164" s="383">
        <f>'3ª'!$Q59</f>
        <v>0</v>
      </c>
      <c r="X164" s="383">
        <f>'3ª'!$R59</f>
        <v>0</v>
      </c>
      <c r="Y164" s="383">
        <f>'3ª'!$S59</f>
        <v>0</v>
      </c>
      <c r="Z164" s="384">
        <f>'3ª'!$T59</f>
        <v>0</v>
      </c>
      <c r="AA164" s="384">
        <f>'3ª'!$U59</f>
        <v>0</v>
      </c>
      <c r="AB164" s="385" t="s">
        <v>323</v>
      </c>
      <c r="AC164" s="385"/>
      <c r="AD164" s="435" t="s">
        <v>466</v>
      </c>
    </row>
    <row r="165" spans="1:30" ht="15.75" x14ac:dyDescent="0.25">
      <c r="A165" s="416" t="str">
        <f>RIGHT('[1]3ª'!$A$5:$D$5,12)</f>
        <v>3ª SÉRIE E.F</v>
      </c>
      <c r="B165" s="451">
        <v>54</v>
      </c>
      <c r="C165" s="248">
        <f>'3ª'!$B60</f>
        <v>0</v>
      </c>
      <c r="D165" s="362">
        <f>'3ª'!$C60</f>
        <v>0</v>
      </c>
      <c r="E165" s="249">
        <f>'3ª'!$D60</f>
        <v>0</v>
      </c>
      <c r="F165" s="249">
        <f>'3ª'!$E60</f>
        <v>0</v>
      </c>
      <c r="G165" s="250">
        <f>'3ª'!$F60</f>
        <v>0</v>
      </c>
      <c r="H165" s="362">
        <f>'3ª'!$G60</f>
        <v>0</v>
      </c>
      <c r="I165" s="363">
        <f>'3ª'!$H60</f>
        <v>0</v>
      </c>
      <c r="J165" s="362"/>
      <c r="K165" s="362">
        <f>'3ª'!$I60</f>
        <v>0</v>
      </c>
      <c r="L165" s="250">
        <f>'3ª'!$J60</f>
        <v>0</v>
      </c>
      <c r="M165" s="362"/>
      <c r="N165" s="252">
        <f>'3ª'!$K60</f>
        <v>0</v>
      </c>
      <c r="O165" s="362"/>
      <c r="P165" s="253" t="s">
        <v>110</v>
      </c>
      <c r="Q165" s="415" t="s">
        <v>249</v>
      </c>
      <c r="R165" s="383">
        <f>'3ª'!$L60</f>
        <v>0</v>
      </c>
      <c r="S165" s="383">
        <f>'3ª'!$M60</f>
        <v>0</v>
      </c>
      <c r="T165" s="383">
        <f>'3ª'!$N60</f>
        <v>0</v>
      </c>
      <c r="U165" s="383">
        <f>'3ª'!$O60</f>
        <v>0</v>
      </c>
      <c r="V165" s="383">
        <f>'3ª'!$P60</f>
        <v>0</v>
      </c>
      <c r="W165" s="383">
        <f>'3ª'!$Q60</f>
        <v>0</v>
      </c>
      <c r="X165" s="383">
        <f>'3ª'!$R60</f>
        <v>0</v>
      </c>
      <c r="Y165" s="383">
        <f>'3ª'!$S60</f>
        <v>0</v>
      </c>
      <c r="Z165" s="384">
        <f>'3ª'!$T60</f>
        <v>0</v>
      </c>
      <c r="AA165" s="384">
        <f>'3ª'!$U60</f>
        <v>0</v>
      </c>
      <c r="AB165" s="385" t="s">
        <v>323</v>
      </c>
      <c r="AC165" s="385"/>
      <c r="AD165" s="435" t="s">
        <v>466</v>
      </c>
    </row>
    <row r="166" spans="1:30" ht="15.75" x14ac:dyDescent="0.25">
      <c r="A166" s="416" t="str">
        <f>RIGHT('[1]3ª'!$A$5:$D$5,12)</f>
        <v>3ª SÉRIE E.F</v>
      </c>
      <c r="B166" s="451">
        <v>55</v>
      </c>
      <c r="C166" s="248">
        <f>'3ª'!$B61</f>
        <v>0</v>
      </c>
      <c r="D166" s="362">
        <f>'3ª'!$C61</f>
        <v>0</v>
      </c>
      <c r="E166" s="249">
        <f>'3ª'!$D61</f>
        <v>0</v>
      </c>
      <c r="F166" s="249">
        <f>'3ª'!$E61</f>
        <v>0</v>
      </c>
      <c r="G166" s="250">
        <f>'3ª'!$F61</f>
        <v>0</v>
      </c>
      <c r="H166" s="362">
        <f>'3ª'!$G61</f>
        <v>0</v>
      </c>
      <c r="I166" s="363">
        <f>'3ª'!$H61</f>
        <v>0</v>
      </c>
      <c r="J166" s="362"/>
      <c r="K166" s="362">
        <f>'3ª'!$I61</f>
        <v>0</v>
      </c>
      <c r="L166" s="250">
        <f>'3ª'!$J61</f>
        <v>0</v>
      </c>
      <c r="M166" s="362"/>
      <c r="N166" s="252">
        <f>'3ª'!$K61</f>
        <v>0</v>
      </c>
      <c r="O166" s="362"/>
      <c r="P166" s="253" t="s">
        <v>110</v>
      </c>
      <c r="Q166" s="415" t="s">
        <v>249</v>
      </c>
      <c r="R166" s="383">
        <f>'3ª'!$L61</f>
        <v>0</v>
      </c>
      <c r="S166" s="383">
        <f>'3ª'!$M61</f>
        <v>0</v>
      </c>
      <c r="T166" s="383">
        <f>'3ª'!$N61</f>
        <v>0</v>
      </c>
      <c r="U166" s="383">
        <f>'3ª'!$O61</f>
        <v>0</v>
      </c>
      <c r="V166" s="383">
        <f>'3ª'!$P61</f>
        <v>0</v>
      </c>
      <c r="W166" s="383">
        <f>'3ª'!$Q61</f>
        <v>0</v>
      </c>
      <c r="X166" s="383">
        <f>'3ª'!$R61</f>
        <v>0</v>
      </c>
      <c r="Y166" s="383">
        <f>'3ª'!$S61</f>
        <v>0</v>
      </c>
      <c r="Z166" s="384">
        <f>'3ª'!$T61</f>
        <v>0</v>
      </c>
      <c r="AA166" s="384">
        <f>'3ª'!$U61</f>
        <v>0</v>
      </c>
      <c r="AB166" s="385" t="s">
        <v>323</v>
      </c>
      <c r="AC166" s="385"/>
      <c r="AD166" s="435" t="s">
        <v>466</v>
      </c>
    </row>
    <row r="167" spans="1:30" s="446" customFormat="1" ht="15.75" x14ac:dyDescent="0.25">
      <c r="A167" s="387" t="str">
        <f>RIGHT('[1]4ª'!$A$5:$D$5,12)</f>
        <v>4ª SÉRIE E.F</v>
      </c>
      <c r="B167" s="388">
        <v>1</v>
      </c>
      <c r="C167" s="389">
        <f>'4ª'!$B7</f>
        <v>18844</v>
      </c>
      <c r="D167" s="390" t="str">
        <f>'4ª'!$C7</f>
        <v>DEBORA CRISTINA GOIS</v>
      </c>
      <c r="E167" s="391" t="str">
        <f>'4ª'!$D7</f>
        <v>F</v>
      </c>
      <c r="F167" s="391" t="str">
        <f>'4ª'!$E7</f>
        <v>MA</v>
      </c>
      <c r="G167" s="392">
        <f>'4ª'!$F7</f>
        <v>27676</v>
      </c>
      <c r="H167" s="390">
        <f>'4ª'!$G7</f>
        <v>0</v>
      </c>
      <c r="I167" s="401" t="str">
        <f>'4ª'!$H7</f>
        <v>24.175.609-1</v>
      </c>
      <c r="J167" s="390"/>
      <c r="K167" s="390">
        <f>'4ª'!$I7</f>
        <v>0</v>
      </c>
      <c r="L167" s="392" t="str">
        <f ca="1">'4ª'!$J7</f>
        <v>DISP.IDADE</v>
      </c>
      <c r="M167" s="390"/>
      <c r="N167" s="394">
        <f ca="1">'4ª'!$K7</f>
        <v>49</v>
      </c>
      <c r="O167" s="390"/>
      <c r="P167" s="395" t="s">
        <v>110</v>
      </c>
      <c r="Q167" s="396" t="s">
        <v>249</v>
      </c>
      <c r="R167" s="397" t="str">
        <f>'4ª'!$L7</f>
        <v>Não</v>
      </c>
      <c r="S167" s="397" t="str">
        <f>'4ª'!$M7</f>
        <v>Eliane</v>
      </c>
      <c r="T167" s="397" t="str">
        <f>'4ª'!$N7</f>
        <v>-</v>
      </c>
      <c r="U167" s="397" t="str">
        <f>'4ª'!$O7</f>
        <v>-</v>
      </c>
      <c r="V167" s="397" t="str">
        <f>'4ª'!$P7</f>
        <v>-</v>
      </c>
      <c r="W167" s="397" t="str">
        <f>'4ª'!$Q7</f>
        <v>-</v>
      </c>
      <c r="X167" s="397" t="str">
        <f>'4ª'!$R7</f>
        <v>-</v>
      </c>
      <c r="Y167" s="397" t="str">
        <f>'4ª'!$S7</f>
        <v>-</v>
      </c>
      <c r="Z167" s="398">
        <f>'4ª'!$T7</f>
        <v>0</v>
      </c>
      <c r="AA167" s="398">
        <f>'4ª'!$U7</f>
        <v>0</v>
      </c>
      <c r="AB167" s="399" t="s">
        <v>324</v>
      </c>
      <c r="AC167" s="399"/>
      <c r="AD167" s="435" t="s">
        <v>466</v>
      </c>
    </row>
    <row r="168" spans="1:30" ht="15.75" x14ac:dyDescent="0.25">
      <c r="A168" s="416" t="str">
        <f>RIGHT('[1]4ª'!$A$5:$D$5,12)</f>
        <v>4ª SÉRIE E.F</v>
      </c>
      <c r="B168" s="451">
        <v>2</v>
      </c>
      <c r="C168" s="248">
        <f>'4ª'!$B8</f>
        <v>18903</v>
      </c>
      <c r="D168" s="362" t="str">
        <f>'4ª'!$C8</f>
        <v>EDUARDO PEREIRA DA SILVA</v>
      </c>
      <c r="E168" s="249" t="str">
        <f>'4ª'!$D8</f>
        <v>M</v>
      </c>
      <c r="F168" s="249" t="str">
        <f>'4ª'!$E8</f>
        <v>MA</v>
      </c>
      <c r="G168" s="250">
        <f>'4ª'!$F8</f>
        <v>29004</v>
      </c>
      <c r="H168" s="362">
        <f>'4ª'!$G8</f>
        <v>0</v>
      </c>
      <c r="I168" s="251">
        <f>'4ª'!$H8</f>
        <v>0</v>
      </c>
      <c r="J168" s="362"/>
      <c r="K168" s="362">
        <f>'4ª'!$I8</f>
        <v>0</v>
      </c>
      <c r="L168" s="250" t="str">
        <f ca="1">'4ª'!$J8</f>
        <v>DISP.IDADE</v>
      </c>
      <c r="M168" s="362"/>
      <c r="N168" s="252">
        <f ca="1">'4ª'!$K8</f>
        <v>46</v>
      </c>
      <c r="O168" s="362"/>
      <c r="P168" s="253" t="s">
        <v>110</v>
      </c>
      <c r="Q168" s="415" t="s">
        <v>249</v>
      </c>
      <c r="R168" s="383" t="str">
        <f>'4ª'!$L8</f>
        <v>Não</v>
      </c>
      <c r="S168" s="383" t="str">
        <f>'4ª'!$M8</f>
        <v>Eliane</v>
      </c>
      <c r="T168" s="383" t="str">
        <f>'4ª'!$N8</f>
        <v>-</v>
      </c>
      <c r="U168" s="383" t="str">
        <f>'4ª'!$O8</f>
        <v>-</v>
      </c>
      <c r="V168" s="383" t="str">
        <f>'4ª'!$P8</f>
        <v>-</v>
      </c>
      <c r="W168" s="383" t="str">
        <f>'4ª'!$Q8</f>
        <v>-</v>
      </c>
      <c r="X168" s="383" t="str">
        <f>'4ª'!$R8</f>
        <v>-</v>
      </c>
      <c r="Y168" s="383" t="str">
        <f>'4ª'!$S8</f>
        <v>-</v>
      </c>
      <c r="Z168" s="384">
        <f>'4ª'!$T8</f>
        <v>0</v>
      </c>
      <c r="AA168" s="384">
        <f>'4ª'!$U8</f>
        <v>0</v>
      </c>
      <c r="AB168" s="385" t="s">
        <v>324</v>
      </c>
      <c r="AC168" s="385"/>
      <c r="AD168" s="435" t="s">
        <v>466</v>
      </c>
    </row>
    <row r="169" spans="1:30" ht="15.75" x14ac:dyDescent="0.25">
      <c r="A169" s="416" t="str">
        <f>RIGHT('[1]4ª'!$A$5:$D$5,12)</f>
        <v>4ª SÉRIE E.F</v>
      </c>
      <c r="B169" s="451">
        <v>3</v>
      </c>
      <c r="C169" s="248">
        <f>'4ª'!$B9</f>
        <v>15909</v>
      </c>
      <c r="D169" s="362" t="str">
        <f>'4ª'!$C9</f>
        <v>ELISANGELA VIANA DOS SANTOS</v>
      </c>
      <c r="E169" s="249" t="str">
        <f>'4ª'!$D9</f>
        <v>F</v>
      </c>
      <c r="F169" s="249" t="str">
        <f>'4ª'!$E9</f>
        <v>MC</v>
      </c>
      <c r="G169" s="250">
        <f>'4ª'!$F9</f>
        <v>30299</v>
      </c>
      <c r="H169" s="362" t="str">
        <f>'4ª'!$G9</f>
        <v>105910197-X</v>
      </c>
      <c r="I169" s="251" t="str">
        <f>'4ª'!$H9</f>
        <v>36042775-3</v>
      </c>
      <c r="J169" s="362"/>
      <c r="K169" s="362" t="str">
        <f>'4ª'!$I9</f>
        <v>MC - 30/09</v>
      </c>
      <c r="L169" s="250" t="str">
        <f ca="1">'4ª'!$J9</f>
        <v>DISP.IDADE</v>
      </c>
      <c r="M169" s="362"/>
      <c r="N169" s="252">
        <f ca="1">'4ª'!$K9</f>
        <v>42</v>
      </c>
      <c r="O169" s="362"/>
      <c r="P169" s="253" t="s">
        <v>110</v>
      </c>
      <c r="Q169" s="415" t="s">
        <v>249</v>
      </c>
      <c r="R169" s="383" t="str">
        <f>'4ª'!$L9</f>
        <v>Não</v>
      </c>
      <c r="S169" s="383" t="str">
        <f>'4ª'!$M9</f>
        <v>Eliane</v>
      </c>
      <c r="T169" s="383" t="str">
        <f>'4ª'!$N9</f>
        <v>-</v>
      </c>
      <c r="U169" s="383" t="str">
        <f>'4ª'!$O9</f>
        <v>-</v>
      </c>
      <c r="V169" s="383" t="str">
        <f>'4ª'!$P9</f>
        <v>-</v>
      </c>
      <c r="W169" s="383" t="str">
        <f>'4ª'!$Q9</f>
        <v>-</v>
      </c>
      <c r="X169" s="383" t="str">
        <f>'4ª'!$R9</f>
        <v>-</v>
      </c>
      <c r="Y169" s="383" t="str">
        <f>'4ª'!$S9</f>
        <v>-</v>
      </c>
      <c r="Z169" s="384">
        <f>'4ª'!$T9</f>
        <v>0</v>
      </c>
      <c r="AA169" s="384">
        <f>'4ª'!$U9</f>
        <v>0</v>
      </c>
      <c r="AB169" s="385" t="s">
        <v>324</v>
      </c>
      <c r="AC169" s="385"/>
      <c r="AD169" s="435" t="s">
        <v>466</v>
      </c>
    </row>
    <row r="170" spans="1:30" ht="15.75" x14ac:dyDescent="0.25">
      <c r="A170" s="416" t="str">
        <f>RIGHT('[1]4ª'!$A$5:$D$5,12)</f>
        <v>4ª SÉRIE E.F</v>
      </c>
      <c r="B170" s="451">
        <v>4</v>
      </c>
      <c r="C170" s="248">
        <f>'4ª'!$B10</f>
        <v>18910</v>
      </c>
      <c r="D170" s="362" t="str">
        <f>'4ª'!$C10</f>
        <v>JOÃO VITHOR ANDRADE BARBOSA</v>
      </c>
      <c r="E170" s="249" t="str">
        <f>'4ª'!$D10</f>
        <v>M</v>
      </c>
      <c r="F170" s="249" t="str">
        <f>'4ª'!$E10</f>
        <v>MA</v>
      </c>
      <c r="G170" s="250">
        <f>'4ª'!$F10</f>
        <v>40311</v>
      </c>
      <c r="H170" s="362">
        <f>'4ª'!$G10</f>
        <v>1111887470</v>
      </c>
      <c r="I170" s="251">
        <f>'4ª'!$H10</f>
        <v>0</v>
      </c>
      <c r="J170" s="362"/>
      <c r="K170" s="362">
        <f>'4ª'!$I10</f>
        <v>0</v>
      </c>
      <c r="L170" s="250" t="str">
        <f ca="1">'4ª'!$J10</f>
        <v/>
      </c>
      <c r="M170" s="362"/>
      <c r="N170" s="252">
        <f ca="1">'4ª'!$K10</f>
        <v>15</v>
      </c>
      <c r="O170" s="362"/>
      <c r="P170" s="253" t="s">
        <v>110</v>
      </c>
      <c r="Q170" s="415" t="s">
        <v>249</v>
      </c>
      <c r="R170" s="383" t="str">
        <f>'4ª'!$L10</f>
        <v>Não</v>
      </c>
      <c r="S170" s="383" t="str">
        <f>'4ª'!$M10</f>
        <v>Eliane</v>
      </c>
      <c r="T170" s="383" t="str">
        <f>'4ª'!$N10</f>
        <v>-</v>
      </c>
      <c r="U170" s="383" t="str">
        <f>'4ª'!$O10</f>
        <v>-</v>
      </c>
      <c r="V170" s="383" t="str">
        <f>'4ª'!$P10</f>
        <v>-</v>
      </c>
      <c r="W170" s="383" t="str">
        <f>'4ª'!$Q10</f>
        <v>-</v>
      </c>
      <c r="X170" s="383" t="str">
        <f>'4ª'!$R10</f>
        <v>-</v>
      </c>
      <c r="Y170" s="383" t="str">
        <f>'4ª'!$S10</f>
        <v>-</v>
      </c>
      <c r="Z170" s="384">
        <f>'4ª'!$T10</f>
        <v>0</v>
      </c>
      <c r="AA170" s="384">
        <f>'4ª'!$U10</f>
        <v>0</v>
      </c>
      <c r="AB170" s="385" t="s">
        <v>324</v>
      </c>
      <c r="AC170" s="385"/>
      <c r="AD170" s="435" t="s">
        <v>466</v>
      </c>
    </row>
    <row r="171" spans="1:30" ht="15.75" x14ac:dyDescent="0.25">
      <c r="A171" s="416" t="str">
        <f>RIGHT('[1]4ª'!$A$5:$D$5,12)</f>
        <v>4ª SÉRIE E.F</v>
      </c>
      <c r="B171" s="451">
        <v>5</v>
      </c>
      <c r="C171" s="248">
        <f>'4ª'!$B11</f>
        <v>15109</v>
      </c>
      <c r="D171" s="362" t="str">
        <f>'4ª'!$C11</f>
        <v>JOEL SILVA SANTOS</v>
      </c>
      <c r="E171" s="249" t="str">
        <f>'4ª'!$D11</f>
        <v>M</v>
      </c>
      <c r="F171" s="249" t="str">
        <f>'4ª'!$E11</f>
        <v>MC</v>
      </c>
      <c r="G171" s="250">
        <f>'4ª'!$F11</f>
        <v>20529</v>
      </c>
      <c r="H171" s="362" t="str">
        <f>'4ª'!$G11</f>
        <v>116443134-1</v>
      </c>
      <c r="I171" s="251" t="str">
        <f>'4ª'!$H11</f>
        <v>52316564-X</v>
      </c>
      <c r="J171" s="362"/>
      <c r="K171" s="362" t="str">
        <f>'4ª'!$I11</f>
        <v>MC - 14/07</v>
      </c>
      <c r="L171" s="250" t="str">
        <f ca="1">'4ª'!$J11</f>
        <v>DISP.IDADE</v>
      </c>
      <c r="M171" s="362"/>
      <c r="N171" s="252">
        <f ca="1">'4ª'!$K11</f>
        <v>69</v>
      </c>
      <c r="O171" s="362"/>
      <c r="P171" s="253" t="s">
        <v>110</v>
      </c>
      <c r="Q171" s="415" t="s">
        <v>249</v>
      </c>
      <c r="R171" s="383" t="str">
        <f>'4ª'!$L11</f>
        <v>Não</v>
      </c>
      <c r="S171" s="383" t="str">
        <f>'4ª'!$M11</f>
        <v>Eliane</v>
      </c>
      <c r="T171" s="383" t="str">
        <f>'4ª'!$N11</f>
        <v>-</v>
      </c>
      <c r="U171" s="383" t="str">
        <f>'4ª'!$O11</f>
        <v>-</v>
      </c>
      <c r="V171" s="383" t="str">
        <f>'4ª'!$P11</f>
        <v>-</v>
      </c>
      <c r="W171" s="383" t="str">
        <f>'4ª'!$Q11</f>
        <v>-</v>
      </c>
      <c r="X171" s="383" t="str">
        <f>'4ª'!$R11</f>
        <v>-</v>
      </c>
      <c r="Y171" s="383" t="str">
        <f>'4ª'!$S11</f>
        <v>-</v>
      </c>
      <c r="Z171" s="384" t="str">
        <f>'4ª'!$T11</f>
        <v>Sem Informação</v>
      </c>
      <c r="AA171" s="384" t="str">
        <f>'4ª'!$U11</f>
        <v>Solicitação do Aluno/Responsável</v>
      </c>
      <c r="AB171" s="385" t="s">
        <v>324</v>
      </c>
      <c r="AC171" s="385"/>
      <c r="AD171" s="435" t="s">
        <v>466</v>
      </c>
    </row>
    <row r="172" spans="1:30" ht="15.75" x14ac:dyDescent="0.25">
      <c r="A172" s="416" t="str">
        <f>RIGHT('[1]4ª'!$A$5:$D$5,12)</f>
        <v>4ª SÉRIE E.F</v>
      </c>
      <c r="B172" s="451">
        <v>6</v>
      </c>
      <c r="C172" s="248">
        <f>'4ª'!$B12</f>
        <v>16431</v>
      </c>
      <c r="D172" s="362" t="str">
        <f>'4ª'!$C12</f>
        <v>JOSE EDUARDO DA SILVA</v>
      </c>
      <c r="E172" s="249" t="str">
        <f>'4ª'!$D12</f>
        <v>M</v>
      </c>
      <c r="F172" s="249" t="str">
        <f>'4ª'!$E12</f>
        <v>MA</v>
      </c>
      <c r="G172" s="250">
        <f>'4ª'!$F12</f>
        <v>25052</v>
      </c>
      <c r="H172" s="362">
        <f>'4ª'!$G12</f>
        <v>0</v>
      </c>
      <c r="I172" s="251" t="str">
        <f>'4ª'!$H12</f>
        <v>35247676-X</v>
      </c>
      <c r="J172" s="362"/>
      <c r="K172" s="362">
        <f>'4ª'!$I12</f>
        <v>0</v>
      </c>
      <c r="L172" s="250" t="str">
        <f ca="1">'4ª'!$J12</f>
        <v>DISP.IDADE</v>
      </c>
      <c r="M172" s="362"/>
      <c r="N172" s="252">
        <f ca="1">'4ª'!$K12</f>
        <v>57</v>
      </c>
      <c r="O172" s="362"/>
      <c r="P172" s="253" t="s">
        <v>110</v>
      </c>
      <c r="Q172" s="415" t="s">
        <v>249</v>
      </c>
      <c r="R172" s="383" t="str">
        <f>'4ª'!$L12</f>
        <v>Não</v>
      </c>
      <c r="S172" s="383" t="str">
        <f>'4ª'!$M12</f>
        <v>Eliane</v>
      </c>
      <c r="T172" s="383" t="str">
        <f>'4ª'!$N12</f>
        <v>-</v>
      </c>
      <c r="U172" s="383" t="str">
        <f>'4ª'!$O12</f>
        <v>-</v>
      </c>
      <c r="V172" s="383" t="str">
        <f>'4ª'!$P12</f>
        <v>-</v>
      </c>
      <c r="W172" s="383" t="str">
        <f>'4ª'!$Q12</f>
        <v>-</v>
      </c>
      <c r="X172" s="383" t="str">
        <f>'4ª'!$R12</f>
        <v>-</v>
      </c>
      <c r="Y172" s="383" t="str">
        <f>'4ª'!$S12</f>
        <v>-</v>
      </c>
      <c r="Z172" s="384">
        <f>'4ª'!$T12</f>
        <v>0</v>
      </c>
      <c r="AA172" s="384">
        <f>'4ª'!$U12</f>
        <v>0</v>
      </c>
      <c r="AB172" s="385" t="s">
        <v>324</v>
      </c>
      <c r="AC172" s="385"/>
      <c r="AD172" s="435" t="s">
        <v>466</v>
      </c>
    </row>
    <row r="173" spans="1:30" ht="15.75" x14ac:dyDescent="0.25">
      <c r="A173" s="416" t="str">
        <f>RIGHT('[1]4ª'!$A$5:$D$5,12)</f>
        <v>4ª SÉRIE E.F</v>
      </c>
      <c r="B173" s="451">
        <v>7</v>
      </c>
      <c r="C173" s="248">
        <f>'4ª'!$B13</f>
        <v>16682</v>
      </c>
      <c r="D173" s="362" t="str">
        <f>'4ª'!$C13</f>
        <v>MARGARIDA BERNARDINA DOS SANTOS</v>
      </c>
      <c r="E173" s="249" t="str">
        <f>'4ª'!$D13</f>
        <v>F</v>
      </c>
      <c r="F173" s="249" t="str">
        <f>'4ª'!$E13</f>
        <v>MA</v>
      </c>
      <c r="G173" s="250">
        <f>'4ª'!$F13</f>
        <v>19436</v>
      </c>
      <c r="H173" s="362" t="str">
        <f>'4ª'!$G13</f>
        <v>122047495-2</v>
      </c>
      <c r="I173" s="251">
        <f>'4ª'!$H13</f>
        <v>19716916</v>
      </c>
      <c r="J173" s="362"/>
      <c r="K173" s="362">
        <f>'4ª'!$I13</f>
        <v>0</v>
      </c>
      <c r="L173" s="250" t="str">
        <f ca="1">'4ª'!$J13</f>
        <v>DISP.IDADE</v>
      </c>
      <c r="M173" s="362"/>
      <c r="N173" s="252">
        <f ca="1">'4ª'!$K13</f>
        <v>72</v>
      </c>
      <c r="O173" s="362"/>
      <c r="P173" s="253" t="s">
        <v>110</v>
      </c>
      <c r="Q173" s="415" t="s">
        <v>249</v>
      </c>
      <c r="R173" s="383" t="str">
        <f>'4ª'!$L13</f>
        <v>Não</v>
      </c>
      <c r="S173" s="383" t="str">
        <f>'4ª'!$M13</f>
        <v>Eliane</v>
      </c>
      <c r="T173" s="383" t="str">
        <f>'4ª'!$N13</f>
        <v>-</v>
      </c>
      <c r="U173" s="383" t="str">
        <f>'4ª'!$O13</f>
        <v>-</v>
      </c>
      <c r="V173" s="383" t="str">
        <f>'4ª'!$P13</f>
        <v>-</v>
      </c>
      <c r="W173" s="383" t="str">
        <f>'4ª'!$Q13</f>
        <v>-</v>
      </c>
      <c r="X173" s="383" t="str">
        <f>'4ª'!$R13</f>
        <v>-</v>
      </c>
      <c r="Y173" s="383" t="str">
        <f>'4ª'!$S13</f>
        <v>-</v>
      </c>
      <c r="Z173" s="384">
        <f>'4ª'!$T13</f>
        <v>0</v>
      </c>
      <c r="AA173" s="384">
        <f>'4ª'!$U13</f>
        <v>0</v>
      </c>
      <c r="AB173" s="385" t="s">
        <v>324</v>
      </c>
      <c r="AC173" s="385"/>
      <c r="AD173" s="435" t="s">
        <v>466</v>
      </c>
    </row>
    <row r="174" spans="1:30" ht="15.75" x14ac:dyDescent="0.25">
      <c r="A174" s="416" t="str">
        <f>RIGHT('[1]4ª'!$A$5:$D$5,12)</f>
        <v>4ª SÉRIE E.F</v>
      </c>
      <c r="B174" s="451">
        <v>8</v>
      </c>
      <c r="C174" s="248">
        <f>'4ª'!$B14</f>
        <v>18899</v>
      </c>
      <c r="D174" s="362" t="str">
        <f>'4ª'!$C14</f>
        <v>NADIR ESPINDOLA DA SILVA</v>
      </c>
      <c r="E174" s="249" t="str">
        <f>'4ª'!$D14</f>
        <v>F</v>
      </c>
      <c r="F174" s="249" t="str">
        <f>'4ª'!$E14</f>
        <v>MA</v>
      </c>
      <c r="G174" s="250">
        <f>'4ª'!$F14</f>
        <v>17179</v>
      </c>
      <c r="H174" s="362">
        <f>'4ª'!$G14</f>
        <v>0</v>
      </c>
      <c r="I174" s="251" t="str">
        <f>'4ª'!$H14</f>
        <v>8400889-1</v>
      </c>
      <c r="J174" s="362"/>
      <c r="K174" s="362">
        <f>'4ª'!$I14</f>
        <v>0</v>
      </c>
      <c r="L174" s="250" t="str">
        <f ca="1">'4ª'!$J14</f>
        <v>DISP.IDADE</v>
      </c>
      <c r="M174" s="362"/>
      <c r="N174" s="252">
        <f ca="1">'4ª'!$K14</f>
        <v>78</v>
      </c>
      <c r="O174" s="362"/>
      <c r="P174" s="253" t="s">
        <v>110</v>
      </c>
      <c r="Q174" s="415" t="s">
        <v>249</v>
      </c>
      <c r="R174" s="383" t="str">
        <f>'4ª'!$L14</f>
        <v>Não</v>
      </c>
      <c r="S174" s="383" t="str">
        <f>'4ª'!$M14</f>
        <v>Eliane</v>
      </c>
      <c r="T174" s="383" t="str">
        <f>'4ª'!$N14</f>
        <v>-</v>
      </c>
      <c r="U174" s="383" t="str">
        <f>'4ª'!$O14</f>
        <v>-</v>
      </c>
      <c r="V174" s="383" t="str">
        <f>'4ª'!$P14</f>
        <v>-</v>
      </c>
      <c r="W174" s="383" t="str">
        <f>'4ª'!$Q14</f>
        <v>-</v>
      </c>
      <c r="X174" s="383" t="str">
        <f>'4ª'!$R14</f>
        <v>-</v>
      </c>
      <c r="Y174" s="383" t="str">
        <f>'4ª'!$S14</f>
        <v>-</v>
      </c>
      <c r="Z174" s="384">
        <f>'4ª'!$T14</f>
        <v>0</v>
      </c>
      <c r="AA174" s="384">
        <f>'4ª'!$U14</f>
        <v>0</v>
      </c>
      <c r="AB174" s="385" t="s">
        <v>324</v>
      </c>
      <c r="AC174" s="385"/>
      <c r="AD174" s="435" t="s">
        <v>466</v>
      </c>
    </row>
    <row r="175" spans="1:30" ht="15.75" x14ac:dyDescent="0.25">
      <c r="A175" s="416" t="str">
        <f>RIGHT('[1]4ª'!$A$5:$D$5,12)</f>
        <v>4ª SÉRIE E.F</v>
      </c>
      <c r="B175" s="451">
        <v>9</v>
      </c>
      <c r="C175" s="248">
        <f>'4ª'!$B15</f>
        <v>18539</v>
      </c>
      <c r="D175" s="362" t="str">
        <f>'4ª'!$C15</f>
        <v>REGINA BARBOSA DE SOUZA BATISTA</v>
      </c>
      <c r="E175" s="249" t="str">
        <f>'4ª'!$D15</f>
        <v>F</v>
      </c>
      <c r="F175" s="249" t="str">
        <f>'4ª'!$E15</f>
        <v>MA</v>
      </c>
      <c r="G175" s="250">
        <f>'4ª'!$F15</f>
        <v>17784</v>
      </c>
      <c r="H175" s="362">
        <f>'4ª'!$G15</f>
        <v>0</v>
      </c>
      <c r="I175" s="251" t="str">
        <f>'4ª'!$H15</f>
        <v>5891392-0</v>
      </c>
      <c r="J175" s="362"/>
      <c r="K175" s="362">
        <f>'4ª'!$I15</f>
        <v>0</v>
      </c>
      <c r="L175" s="250" t="str">
        <f ca="1">'4ª'!$J15</f>
        <v>DISP.IDADE</v>
      </c>
      <c r="M175" s="362"/>
      <c r="N175" s="252">
        <f ca="1">'4ª'!$K15</f>
        <v>77</v>
      </c>
      <c r="O175" s="362"/>
      <c r="P175" s="253" t="s">
        <v>110</v>
      </c>
      <c r="Q175" s="415" t="s">
        <v>249</v>
      </c>
      <c r="R175" s="383" t="str">
        <f>'4ª'!$L15</f>
        <v>Não</v>
      </c>
      <c r="S175" s="383" t="str">
        <f>'4ª'!$M15</f>
        <v>Eliane</v>
      </c>
      <c r="T175" s="383" t="str">
        <f>'4ª'!$N15</f>
        <v>-</v>
      </c>
      <c r="U175" s="383" t="str">
        <f>'4ª'!$O15</f>
        <v>-</v>
      </c>
      <c r="V175" s="383" t="str">
        <f>'4ª'!$P15</f>
        <v>-</v>
      </c>
      <c r="W175" s="383" t="str">
        <f>'4ª'!$Q15</f>
        <v>-</v>
      </c>
      <c r="X175" s="383" t="str">
        <f>'4ª'!$R15</f>
        <v>-</v>
      </c>
      <c r="Y175" s="383" t="str">
        <f>'4ª'!$S15</f>
        <v>-</v>
      </c>
      <c r="Z175" s="384">
        <f>'4ª'!$T15</f>
        <v>0</v>
      </c>
      <c r="AA175" s="384">
        <f>'4ª'!$U15</f>
        <v>0</v>
      </c>
      <c r="AB175" s="385" t="s">
        <v>324</v>
      </c>
      <c r="AC175" s="385"/>
      <c r="AD175" s="435" t="s">
        <v>466</v>
      </c>
    </row>
    <row r="176" spans="1:30" ht="15.75" x14ac:dyDescent="0.25">
      <c r="A176" s="416" t="str">
        <f>RIGHT('[1]4ª'!$A$5:$D$5,12)</f>
        <v>4ª SÉRIE E.F</v>
      </c>
      <c r="B176" s="451">
        <v>10</v>
      </c>
      <c r="C176" s="248">
        <f>'4ª'!$B16</f>
        <v>18923</v>
      </c>
      <c r="D176" s="362" t="str">
        <f>'4ª'!$C16</f>
        <v>ROSANGELA BORGES DE ABREU</v>
      </c>
      <c r="E176" s="249" t="str">
        <f>'4ª'!$D16</f>
        <v>F</v>
      </c>
      <c r="F176" s="249" t="str">
        <f>'4ª'!$E16</f>
        <v>MC</v>
      </c>
      <c r="G176" s="250">
        <f>'4ª'!$F16</f>
        <v>29923</v>
      </c>
      <c r="H176" s="362">
        <f>'4ª'!$G16</f>
        <v>0</v>
      </c>
      <c r="I176" s="251">
        <f>'4ª'!$H16</f>
        <v>372470282</v>
      </c>
      <c r="J176" s="362"/>
      <c r="K176" s="362" t="str">
        <f>'4ª'!$I16</f>
        <v>MC - 30/09</v>
      </c>
      <c r="L176" s="250" t="str">
        <f ca="1">'4ª'!$J16</f>
        <v>DISP.IDADE</v>
      </c>
      <c r="M176" s="362"/>
      <c r="N176" s="252">
        <f ca="1">'4ª'!$K16</f>
        <v>43</v>
      </c>
      <c r="O176" s="362"/>
      <c r="P176" s="253" t="s">
        <v>110</v>
      </c>
      <c r="Q176" s="415" t="s">
        <v>249</v>
      </c>
      <c r="R176" s="383" t="str">
        <f>'4ª'!$L16</f>
        <v>Não</v>
      </c>
      <c r="S176" s="383" t="str">
        <f>'4ª'!$M16</f>
        <v>Eliane</v>
      </c>
      <c r="T176" s="383" t="str">
        <f>'4ª'!$N16</f>
        <v>-</v>
      </c>
      <c r="U176" s="383" t="str">
        <f>'4ª'!$O16</f>
        <v>-</v>
      </c>
      <c r="V176" s="383" t="str">
        <f>'4ª'!$P16</f>
        <v>-</v>
      </c>
      <c r="W176" s="383" t="str">
        <f>'4ª'!$Q16</f>
        <v>-</v>
      </c>
      <c r="X176" s="383" t="str">
        <f>'4ª'!$R16</f>
        <v>-</v>
      </c>
      <c r="Y176" s="383" t="str">
        <f>'4ª'!$S16</f>
        <v>-</v>
      </c>
      <c r="Z176" s="384">
        <f>'4ª'!$T16</f>
        <v>0</v>
      </c>
      <c r="AA176" s="384">
        <f>'4ª'!$U16</f>
        <v>0</v>
      </c>
      <c r="AB176" s="385" t="s">
        <v>324</v>
      </c>
      <c r="AC176" s="385"/>
      <c r="AD176" s="435" t="s">
        <v>466</v>
      </c>
    </row>
    <row r="177" spans="1:30" ht="15.75" x14ac:dyDescent="0.25">
      <c r="A177" s="416" t="str">
        <f>RIGHT('[1]4ª'!$A$5:$D$5,12)</f>
        <v>4ª SÉRIE E.F</v>
      </c>
      <c r="B177" s="451">
        <v>11</v>
      </c>
      <c r="C177" s="248">
        <f>'4ª'!$B17</f>
        <v>10330</v>
      </c>
      <c r="D177" s="362" t="str">
        <f>'4ª'!$C17</f>
        <v>SAMARA VITORIA FERREIRA SANTANA</v>
      </c>
      <c r="E177" s="249" t="str">
        <f>'4ª'!$D17</f>
        <v>F</v>
      </c>
      <c r="F177" s="249" t="str">
        <f>'4ª'!$E17</f>
        <v>MA</v>
      </c>
      <c r="G177" s="250">
        <f>'4ª'!$F17</f>
        <v>37324</v>
      </c>
      <c r="H177" s="362">
        <f>'4ª'!$G17</f>
        <v>0</v>
      </c>
      <c r="I177" s="251" t="str">
        <f>'4ª'!$H17</f>
        <v>69004191-3</v>
      </c>
      <c r="J177" s="362"/>
      <c r="K177" s="362">
        <f>'4ª'!$I17</f>
        <v>0</v>
      </c>
      <c r="L177" s="250" t="str">
        <f ca="1">'4ª'!$J17</f>
        <v/>
      </c>
      <c r="M177" s="362"/>
      <c r="N177" s="252">
        <f ca="1">'4ª'!$K17</f>
        <v>23</v>
      </c>
      <c r="O177" s="362"/>
      <c r="P177" s="253" t="s">
        <v>110</v>
      </c>
      <c r="Q177" s="415" t="s">
        <v>249</v>
      </c>
      <c r="R177" s="383" t="str">
        <f>'4ª'!$L17</f>
        <v>Não</v>
      </c>
      <c r="S177" s="383" t="str">
        <f>'4ª'!$M17</f>
        <v>Eliane</v>
      </c>
      <c r="T177" s="383" t="str">
        <f>'4ª'!$N17</f>
        <v>-</v>
      </c>
      <c r="U177" s="383" t="str">
        <f>'4ª'!$O17</f>
        <v>-</v>
      </c>
      <c r="V177" s="383" t="str">
        <f>'4ª'!$P17</f>
        <v>-</v>
      </c>
      <c r="W177" s="383" t="str">
        <f>'4ª'!$Q17</f>
        <v>-</v>
      </c>
      <c r="X177" s="383" t="str">
        <f>'4ª'!$R17</f>
        <v>-</v>
      </c>
      <c r="Y177" s="383" t="str">
        <f>'4ª'!$S17</f>
        <v>-</v>
      </c>
      <c r="Z177" s="384">
        <f>'4ª'!$T17</f>
        <v>0</v>
      </c>
      <c r="AA177" s="384">
        <f>'4ª'!$U17</f>
        <v>0</v>
      </c>
      <c r="AB177" s="385" t="s">
        <v>324</v>
      </c>
      <c r="AC177" s="385"/>
      <c r="AD177" s="435" t="s">
        <v>466</v>
      </c>
    </row>
    <row r="178" spans="1:30" ht="15.75" x14ac:dyDescent="0.25">
      <c r="A178" s="416" t="str">
        <f>RIGHT('[1]4ª'!$A$5:$D$5,12)</f>
        <v>4ª SÉRIE E.F</v>
      </c>
      <c r="B178" s="451">
        <v>12</v>
      </c>
      <c r="C178" s="248" t="e">
        <f>'4ª'!#REF!</f>
        <v>#REF!</v>
      </c>
      <c r="D178" s="362" t="e">
        <f>'4ª'!#REF!</f>
        <v>#REF!</v>
      </c>
      <c r="E178" s="249" t="e">
        <f>'4ª'!#REF!</f>
        <v>#REF!</v>
      </c>
      <c r="F178" s="249" t="e">
        <f>'4ª'!#REF!</f>
        <v>#REF!</v>
      </c>
      <c r="G178" s="250" t="e">
        <f>'4ª'!#REF!</f>
        <v>#REF!</v>
      </c>
      <c r="H178" s="362" t="e">
        <f>'4ª'!#REF!</f>
        <v>#REF!</v>
      </c>
      <c r="I178" s="251" t="e">
        <f>'4ª'!#REF!</f>
        <v>#REF!</v>
      </c>
      <c r="J178" s="362"/>
      <c r="K178" s="362" t="e">
        <f>'4ª'!#REF!</f>
        <v>#REF!</v>
      </c>
      <c r="L178" s="250" t="e">
        <f>'4ª'!#REF!</f>
        <v>#REF!</v>
      </c>
      <c r="M178" s="362"/>
      <c r="N178" s="252" t="e">
        <f>'4ª'!#REF!</f>
        <v>#REF!</v>
      </c>
      <c r="O178" s="362"/>
      <c r="P178" s="253" t="s">
        <v>110</v>
      </c>
      <c r="Q178" s="415" t="s">
        <v>249</v>
      </c>
      <c r="R178" s="383" t="e">
        <f>'4ª'!#REF!</f>
        <v>#REF!</v>
      </c>
      <c r="S178" s="383" t="e">
        <f>'4ª'!#REF!</f>
        <v>#REF!</v>
      </c>
      <c r="T178" s="383" t="e">
        <f>'4ª'!#REF!</f>
        <v>#REF!</v>
      </c>
      <c r="U178" s="383" t="e">
        <f>'4ª'!#REF!</f>
        <v>#REF!</v>
      </c>
      <c r="V178" s="383" t="e">
        <f>'4ª'!#REF!</f>
        <v>#REF!</v>
      </c>
      <c r="W178" s="383" t="e">
        <f>'4ª'!#REF!</f>
        <v>#REF!</v>
      </c>
      <c r="X178" s="383" t="e">
        <f>'4ª'!#REF!</f>
        <v>#REF!</v>
      </c>
      <c r="Y178" s="383" t="e">
        <f>'4ª'!#REF!</f>
        <v>#REF!</v>
      </c>
      <c r="Z178" s="384" t="e">
        <f>'4ª'!#REF!</f>
        <v>#REF!</v>
      </c>
      <c r="AA178" s="384" t="e">
        <f>'4ª'!#REF!</f>
        <v>#REF!</v>
      </c>
      <c r="AB178" s="385" t="s">
        <v>324</v>
      </c>
      <c r="AC178" s="385"/>
      <c r="AD178" s="435" t="s">
        <v>466</v>
      </c>
    </row>
    <row r="179" spans="1:30" ht="15.75" x14ac:dyDescent="0.25">
      <c r="A179" s="416" t="str">
        <f>RIGHT('[1]4ª'!$A$5:$D$5,12)</f>
        <v>4ª SÉRIE E.F</v>
      </c>
      <c r="B179" s="451">
        <v>13</v>
      </c>
      <c r="C179" s="248">
        <f>'4ª'!$B19</f>
        <v>18947</v>
      </c>
      <c r="D179" s="362" t="str">
        <f>'4ª'!$C19</f>
        <v>MARIA VALDENICE MAJOR SOUZA</v>
      </c>
      <c r="E179" s="249" t="str">
        <f>'4ª'!$D19</f>
        <v>F</v>
      </c>
      <c r="F179" s="249" t="str">
        <f>'4ª'!$E19</f>
        <v>MA</v>
      </c>
      <c r="G179" s="250">
        <f>'4ª'!$F19</f>
        <v>24739</v>
      </c>
      <c r="H179" s="362">
        <f>'4ª'!$G19</f>
        <v>0</v>
      </c>
      <c r="I179" s="251" t="str">
        <f>'4ª'!$H19</f>
        <v>28346876-2</v>
      </c>
      <c r="J179" s="362"/>
      <c r="K179" s="362">
        <f>'4ª'!$I19</f>
        <v>0</v>
      </c>
      <c r="L179" s="250" t="str">
        <f ca="1">'4ª'!$J19</f>
        <v>DISP.IDADE</v>
      </c>
      <c r="M179" s="362"/>
      <c r="N179" s="252">
        <f ca="1">'4ª'!$K19</f>
        <v>58</v>
      </c>
      <c r="O179" s="362"/>
      <c r="P179" s="253" t="s">
        <v>110</v>
      </c>
      <c r="Q179" s="415" t="s">
        <v>249</v>
      </c>
      <c r="R179" s="383" t="str">
        <f>'4ª'!$L19</f>
        <v>Não</v>
      </c>
      <c r="S179" s="383" t="str">
        <f>'4ª'!$M19</f>
        <v>Eliane</v>
      </c>
      <c r="T179" s="383" t="str">
        <f>'4ª'!$N19</f>
        <v>-</v>
      </c>
      <c r="U179" s="383" t="str">
        <f>'4ª'!$O19</f>
        <v>-</v>
      </c>
      <c r="V179" s="383" t="str">
        <f>'4ª'!$P19</f>
        <v>-</v>
      </c>
      <c r="W179" s="383" t="str">
        <f>'4ª'!$Q19</f>
        <v>-</v>
      </c>
      <c r="X179" s="383" t="str">
        <f>'4ª'!$R19</f>
        <v>-</v>
      </c>
      <c r="Y179" s="383" t="str">
        <f>'4ª'!$S19</f>
        <v>-</v>
      </c>
      <c r="Z179" s="384">
        <f>'4ª'!$T19</f>
        <v>0</v>
      </c>
      <c r="AA179" s="384">
        <f>'4ª'!$U19</f>
        <v>0</v>
      </c>
      <c r="AB179" s="385" t="s">
        <v>324</v>
      </c>
      <c r="AC179" s="385"/>
      <c r="AD179" s="435" t="s">
        <v>466</v>
      </c>
    </row>
    <row r="180" spans="1:30" ht="15.75" x14ac:dyDescent="0.25">
      <c r="A180" s="416" t="str">
        <f>RIGHT('[1]4ª'!$A$5:$D$5,12)</f>
        <v>4ª SÉRIE E.F</v>
      </c>
      <c r="B180" s="451">
        <v>14</v>
      </c>
      <c r="C180" s="248">
        <f>'4ª'!$B20</f>
        <v>0</v>
      </c>
      <c r="D180" s="362">
        <f>'4ª'!$C20</f>
        <v>0</v>
      </c>
      <c r="E180" s="249">
        <f>'4ª'!$D20</f>
        <v>0</v>
      </c>
      <c r="F180" s="249" t="str">
        <f>'4ª'!$E20</f>
        <v/>
      </c>
      <c r="G180" s="250">
        <f>'4ª'!$F20</f>
        <v>0</v>
      </c>
      <c r="H180" s="362">
        <f>'4ª'!$G20</f>
        <v>0</v>
      </c>
      <c r="I180" s="251">
        <f>'4ª'!$H20</f>
        <v>0</v>
      </c>
      <c r="J180" s="362"/>
      <c r="K180" s="362">
        <f>'4ª'!$I20</f>
        <v>0</v>
      </c>
      <c r="L180" s="250" t="str">
        <f ca="1">'4ª'!$J20</f>
        <v/>
      </c>
      <c r="M180" s="362"/>
      <c r="N180" s="252" t="str">
        <f ca="1">'4ª'!$K20</f>
        <v/>
      </c>
      <c r="O180" s="362"/>
      <c r="P180" s="253" t="s">
        <v>110</v>
      </c>
      <c r="Q180" s="415" t="s">
        <v>249</v>
      </c>
      <c r="R180" s="383" t="str">
        <f>'4ª'!$L20</f>
        <v>Não</v>
      </c>
      <c r="S180" s="383" t="str">
        <f>'4ª'!$M20</f>
        <v>Eliane</v>
      </c>
      <c r="T180" s="383" t="str">
        <f>'4ª'!$N20</f>
        <v>-</v>
      </c>
      <c r="U180" s="383" t="str">
        <f>'4ª'!$O20</f>
        <v>-</v>
      </c>
      <c r="V180" s="383" t="str">
        <f>'4ª'!$P20</f>
        <v>-</v>
      </c>
      <c r="W180" s="383" t="str">
        <f>'4ª'!$Q20</f>
        <v>-</v>
      </c>
      <c r="X180" s="383" t="str">
        <f>'4ª'!$R20</f>
        <v>-</v>
      </c>
      <c r="Y180" s="383" t="str">
        <f>'4ª'!$S20</f>
        <v>-</v>
      </c>
      <c r="Z180" s="384">
        <f>'4ª'!$T20</f>
        <v>0</v>
      </c>
      <c r="AA180" s="384">
        <f>'4ª'!$U20</f>
        <v>0</v>
      </c>
      <c r="AB180" s="385" t="s">
        <v>324</v>
      </c>
      <c r="AC180" s="385"/>
      <c r="AD180" s="435" t="s">
        <v>466</v>
      </c>
    </row>
    <row r="181" spans="1:30" ht="15.75" x14ac:dyDescent="0.25">
      <c r="A181" s="416" t="str">
        <f>RIGHT('[1]4ª'!$A$5:$D$5,12)</f>
        <v>4ª SÉRIE E.F</v>
      </c>
      <c r="B181" s="451">
        <v>15</v>
      </c>
      <c r="C181" s="248">
        <f>'4ª'!$B21</f>
        <v>0</v>
      </c>
      <c r="D181" s="362">
        <f>'4ª'!$C21</f>
        <v>0</v>
      </c>
      <c r="E181" s="249">
        <f>'4ª'!$D21</f>
        <v>0</v>
      </c>
      <c r="F181" s="249" t="str">
        <f>'4ª'!$E21</f>
        <v/>
      </c>
      <c r="G181" s="250">
        <f>'4ª'!$F21</f>
        <v>0</v>
      </c>
      <c r="H181" s="362">
        <f>'4ª'!$G21</f>
        <v>0</v>
      </c>
      <c r="I181" s="251">
        <f>'4ª'!$H21</f>
        <v>0</v>
      </c>
      <c r="J181" s="362"/>
      <c r="K181" s="362">
        <f>'4ª'!$I21</f>
        <v>0</v>
      </c>
      <c r="L181" s="250" t="str">
        <f ca="1">'4ª'!$J21</f>
        <v/>
      </c>
      <c r="M181" s="362"/>
      <c r="N181" s="252" t="str">
        <f ca="1">'4ª'!$K21</f>
        <v/>
      </c>
      <c r="O181" s="362"/>
      <c r="P181" s="253" t="s">
        <v>110</v>
      </c>
      <c r="Q181" s="415" t="s">
        <v>249</v>
      </c>
      <c r="R181" s="383" t="str">
        <f>'4ª'!$L21</f>
        <v>Não</v>
      </c>
      <c r="S181" s="383" t="str">
        <f>'4ª'!$M21</f>
        <v>Eliane</v>
      </c>
      <c r="T181" s="383" t="str">
        <f>'4ª'!$N21</f>
        <v>-</v>
      </c>
      <c r="U181" s="383" t="str">
        <f>'4ª'!$O21</f>
        <v>-</v>
      </c>
      <c r="V181" s="383" t="str">
        <f>'4ª'!$P21</f>
        <v>-</v>
      </c>
      <c r="W181" s="383" t="str">
        <f>'4ª'!$Q21</f>
        <v>-</v>
      </c>
      <c r="X181" s="383" t="str">
        <f>'4ª'!$R21</f>
        <v>-</v>
      </c>
      <c r="Y181" s="383" t="str">
        <f>'4ª'!$S21</f>
        <v>-</v>
      </c>
      <c r="Z181" s="384">
        <f>'4ª'!$T21</f>
        <v>0</v>
      </c>
      <c r="AA181" s="384">
        <f>'4ª'!$U21</f>
        <v>0</v>
      </c>
      <c r="AB181" s="385" t="s">
        <v>324</v>
      </c>
      <c r="AC181" s="385"/>
      <c r="AD181" s="435" t="s">
        <v>466</v>
      </c>
    </row>
    <row r="182" spans="1:30" ht="15.75" x14ac:dyDescent="0.25">
      <c r="A182" s="416" t="str">
        <f>RIGHT('[1]4ª'!$A$5:$D$5,12)</f>
        <v>4ª SÉRIE E.F</v>
      </c>
      <c r="B182" s="451">
        <v>16</v>
      </c>
      <c r="C182" s="248">
        <f>'4ª'!$B22</f>
        <v>0</v>
      </c>
      <c r="D182" s="362">
        <f>'4ª'!$C22</f>
        <v>0</v>
      </c>
      <c r="E182" s="249">
        <f>'4ª'!$D22</f>
        <v>0</v>
      </c>
      <c r="F182" s="249" t="str">
        <f>'4ª'!$E22</f>
        <v/>
      </c>
      <c r="G182" s="250">
        <f>'4ª'!$F22</f>
        <v>0</v>
      </c>
      <c r="H182" s="362">
        <f>'4ª'!$G22</f>
        <v>0</v>
      </c>
      <c r="I182" s="251">
        <f>'4ª'!$H22</f>
        <v>0</v>
      </c>
      <c r="J182" s="362"/>
      <c r="K182" s="362">
        <f>'4ª'!$I22</f>
        <v>0</v>
      </c>
      <c r="L182" s="250" t="str">
        <f ca="1">'4ª'!$J22</f>
        <v/>
      </c>
      <c r="M182" s="362"/>
      <c r="N182" s="252" t="str">
        <f ca="1">'4ª'!$K22</f>
        <v/>
      </c>
      <c r="O182" s="362"/>
      <c r="P182" s="253" t="s">
        <v>110</v>
      </c>
      <c r="Q182" s="415" t="s">
        <v>249</v>
      </c>
      <c r="R182" s="383" t="str">
        <f>'4ª'!$L22</f>
        <v>Não</v>
      </c>
      <c r="S182" s="383" t="str">
        <f>'4ª'!$M22</f>
        <v>Eliane</v>
      </c>
      <c r="T182" s="383" t="str">
        <f>'4ª'!$N22</f>
        <v>-</v>
      </c>
      <c r="U182" s="383" t="str">
        <f>'4ª'!$O22</f>
        <v>-</v>
      </c>
      <c r="V182" s="383" t="str">
        <f>'4ª'!$P22</f>
        <v>-</v>
      </c>
      <c r="W182" s="383" t="str">
        <f>'4ª'!$Q22</f>
        <v>-</v>
      </c>
      <c r="X182" s="383" t="str">
        <f>'4ª'!$R22</f>
        <v>-</v>
      </c>
      <c r="Y182" s="383" t="str">
        <f>'4ª'!$S22</f>
        <v>-</v>
      </c>
      <c r="Z182" s="384">
        <f>'4ª'!$T22</f>
        <v>0</v>
      </c>
      <c r="AA182" s="384">
        <f>'4ª'!$U22</f>
        <v>0</v>
      </c>
      <c r="AB182" s="385" t="s">
        <v>324</v>
      </c>
      <c r="AC182" s="385"/>
      <c r="AD182" s="435" t="s">
        <v>466</v>
      </c>
    </row>
    <row r="183" spans="1:30" ht="15.75" x14ac:dyDescent="0.25">
      <c r="A183" s="416" t="str">
        <f>RIGHT('[1]4ª'!$A$5:$D$5,12)</f>
        <v>4ª SÉRIE E.F</v>
      </c>
      <c r="B183" s="451">
        <v>17</v>
      </c>
      <c r="C183" s="248">
        <f>'4ª'!$B23</f>
        <v>0</v>
      </c>
      <c r="D183" s="362">
        <f>'4ª'!$C23</f>
        <v>0</v>
      </c>
      <c r="E183" s="249">
        <f>'4ª'!$D23</f>
        <v>0</v>
      </c>
      <c r="F183" s="249" t="str">
        <f>'4ª'!$E23</f>
        <v/>
      </c>
      <c r="G183" s="250">
        <f>'4ª'!$F23</f>
        <v>0</v>
      </c>
      <c r="H183" s="362">
        <f>'4ª'!$G23</f>
        <v>0</v>
      </c>
      <c r="I183" s="251">
        <f>'4ª'!$H23</f>
        <v>0</v>
      </c>
      <c r="J183" s="362"/>
      <c r="K183" s="362">
        <f>'4ª'!$I23</f>
        <v>0</v>
      </c>
      <c r="L183" s="250" t="str">
        <f ca="1">'4ª'!$J23</f>
        <v/>
      </c>
      <c r="M183" s="362"/>
      <c r="N183" s="252" t="str">
        <f ca="1">'4ª'!$K23</f>
        <v/>
      </c>
      <c r="O183" s="362"/>
      <c r="P183" s="253" t="s">
        <v>110</v>
      </c>
      <c r="Q183" s="415" t="s">
        <v>249</v>
      </c>
      <c r="R183" s="383" t="str">
        <f>'4ª'!$L23</f>
        <v>Não</v>
      </c>
      <c r="S183" s="383" t="str">
        <f>'4ª'!$M23</f>
        <v>Eliane</v>
      </c>
      <c r="T183" s="383" t="str">
        <f>'4ª'!$N23</f>
        <v>-</v>
      </c>
      <c r="U183" s="383" t="str">
        <f>'4ª'!$O23</f>
        <v>-</v>
      </c>
      <c r="V183" s="383" t="str">
        <f>'4ª'!$P23</f>
        <v>-</v>
      </c>
      <c r="W183" s="383" t="str">
        <f>'4ª'!$Q23</f>
        <v>-</v>
      </c>
      <c r="X183" s="383" t="str">
        <f>'4ª'!$R23</f>
        <v>-</v>
      </c>
      <c r="Y183" s="383" t="str">
        <f>'4ª'!$S23</f>
        <v>-</v>
      </c>
      <c r="Z183" s="384">
        <f>'4ª'!$T23</f>
        <v>0</v>
      </c>
      <c r="AA183" s="384">
        <f>'4ª'!$U23</f>
        <v>0</v>
      </c>
      <c r="AB183" s="385" t="s">
        <v>324</v>
      </c>
      <c r="AC183" s="385"/>
      <c r="AD183" s="435" t="s">
        <v>466</v>
      </c>
    </row>
    <row r="184" spans="1:30" ht="15.75" x14ac:dyDescent="0.25">
      <c r="A184" s="416" t="str">
        <f>RIGHT('[1]4ª'!$A$5:$D$5,12)</f>
        <v>4ª SÉRIE E.F</v>
      </c>
      <c r="B184" s="451">
        <v>18</v>
      </c>
      <c r="C184" s="248">
        <f>'4ª'!$B24</f>
        <v>0</v>
      </c>
      <c r="D184" s="362">
        <f>'4ª'!$C24</f>
        <v>0</v>
      </c>
      <c r="E184" s="249">
        <f>'4ª'!$D24</f>
        <v>0</v>
      </c>
      <c r="F184" s="249" t="str">
        <f>'4ª'!$E24</f>
        <v/>
      </c>
      <c r="G184" s="250">
        <f>'4ª'!$F24</f>
        <v>0</v>
      </c>
      <c r="H184" s="362">
        <f>'4ª'!$G24</f>
        <v>0</v>
      </c>
      <c r="I184" s="251">
        <f>'4ª'!$H24</f>
        <v>0</v>
      </c>
      <c r="J184" s="362"/>
      <c r="K184" s="362">
        <f>'4ª'!$I24</f>
        <v>0</v>
      </c>
      <c r="L184" s="250" t="str">
        <f ca="1">'4ª'!$J24</f>
        <v/>
      </c>
      <c r="M184" s="362"/>
      <c r="N184" s="252" t="str">
        <f ca="1">'4ª'!$K24</f>
        <v/>
      </c>
      <c r="O184" s="362"/>
      <c r="P184" s="253" t="s">
        <v>110</v>
      </c>
      <c r="Q184" s="415" t="s">
        <v>249</v>
      </c>
      <c r="R184" s="383" t="str">
        <f>'4ª'!$L24</f>
        <v>Não</v>
      </c>
      <c r="S184" s="383" t="str">
        <f>'4ª'!$M24</f>
        <v>Eliane</v>
      </c>
      <c r="T184" s="383" t="str">
        <f>'4ª'!$N24</f>
        <v>-</v>
      </c>
      <c r="U184" s="383" t="str">
        <f>'4ª'!$O24</f>
        <v>-</v>
      </c>
      <c r="V184" s="383" t="str">
        <f>'4ª'!$P24</f>
        <v>-</v>
      </c>
      <c r="W184" s="383" t="str">
        <f>'4ª'!$Q24</f>
        <v>-</v>
      </c>
      <c r="X184" s="383" t="str">
        <f>'4ª'!$R24</f>
        <v>-</v>
      </c>
      <c r="Y184" s="383" t="str">
        <f>'4ª'!$S24</f>
        <v>-</v>
      </c>
      <c r="Z184" s="384">
        <f>'4ª'!$T24</f>
        <v>0</v>
      </c>
      <c r="AA184" s="384">
        <f>'4ª'!$U24</f>
        <v>0</v>
      </c>
      <c r="AB184" s="385" t="s">
        <v>324</v>
      </c>
      <c r="AC184" s="385"/>
      <c r="AD184" s="435" t="s">
        <v>466</v>
      </c>
    </row>
    <row r="185" spans="1:30" ht="15.75" x14ac:dyDescent="0.25">
      <c r="A185" s="416" t="str">
        <f>RIGHT('[1]4ª'!$A$5:$D$5,12)</f>
        <v>4ª SÉRIE E.F</v>
      </c>
      <c r="B185" s="451">
        <v>19</v>
      </c>
      <c r="C185" s="248">
        <f>'4ª'!$B25</f>
        <v>0</v>
      </c>
      <c r="D185" s="362">
        <f>'4ª'!$C25</f>
        <v>0</v>
      </c>
      <c r="E185" s="249">
        <f>'4ª'!$D25</f>
        <v>0</v>
      </c>
      <c r="F185" s="249" t="str">
        <f>'4ª'!$E25</f>
        <v/>
      </c>
      <c r="G185" s="250">
        <f>'4ª'!$F25</f>
        <v>0</v>
      </c>
      <c r="H185" s="362">
        <f>'4ª'!$G25</f>
        <v>0</v>
      </c>
      <c r="I185" s="251">
        <f>'4ª'!$H25</f>
        <v>0</v>
      </c>
      <c r="J185" s="362"/>
      <c r="K185" s="362">
        <f>'4ª'!$I25</f>
        <v>0</v>
      </c>
      <c r="L185" s="250" t="str">
        <f ca="1">'4ª'!$J25</f>
        <v/>
      </c>
      <c r="M185" s="362"/>
      <c r="N185" s="252" t="str">
        <f ca="1">'4ª'!$K25</f>
        <v/>
      </c>
      <c r="O185" s="362"/>
      <c r="P185" s="253" t="s">
        <v>110</v>
      </c>
      <c r="Q185" s="415" t="s">
        <v>249</v>
      </c>
      <c r="R185" s="383" t="str">
        <f>'4ª'!$L25</f>
        <v>Não</v>
      </c>
      <c r="S185" s="383" t="str">
        <f>'4ª'!$M25</f>
        <v>Eliane</v>
      </c>
      <c r="T185" s="383" t="str">
        <f>'4ª'!$N25</f>
        <v>-</v>
      </c>
      <c r="U185" s="383" t="str">
        <f>'4ª'!$O25</f>
        <v>-</v>
      </c>
      <c r="V185" s="383" t="str">
        <f>'4ª'!$P25</f>
        <v>-</v>
      </c>
      <c r="W185" s="383" t="str">
        <f>'4ª'!$Q25</f>
        <v>-</v>
      </c>
      <c r="X185" s="383" t="str">
        <f>'4ª'!$R25</f>
        <v>-</v>
      </c>
      <c r="Y185" s="383" t="str">
        <f>'4ª'!$S25</f>
        <v>-</v>
      </c>
      <c r="Z185" s="384">
        <f>'4ª'!$T25</f>
        <v>0</v>
      </c>
      <c r="AA185" s="384">
        <f>'4ª'!$U25</f>
        <v>0</v>
      </c>
      <c r="AB185" s="385" t="s">
        <v>324</v>
      </c>
      <c r="AC185" s="385"/>
      <c r="AD185" s="435" t="s">
        <v>466</v>
      </c>
    </row>
    <row r="186" spans="1:30" ht="15.75" x14ac:dyDescent="0.25">
      <c r="A186" s="416" t="str">
        <f>RIGHT('[1]4ª'!$A$5:$D$5,12)</f>
        <v>4ª SÉRIE E.F</v>
      </c>
      <c r="B186" s="451">
        <v>20</v>
      </c>
      <c r="C186" s="248">
        <f>'4ª'!$B26</f>
        <v>0</v>
      </c>
      <c r="D186" s="362">
        <f>'4ª'!$C26</f>
        <v>0</v>
      </c>
      <c r="E186" s="249">
        <f>'4ª'!$D26</f>
        <v>0</v>
      </c>
      <c r="F186" s="249" t="str">
        <f>'4ª'!$E26</f>
        <v/>
      </c>
      <c r="G186" s="250">
        <f>'4ª'!$F26</f>
        <v>0</v>
      </c>
      <c r="H186" s="362">
        <f>'4ª'!$G26</f>
        <v>0</v>
      </c>
      <c r="I186" s="251">
        <f>'4ª'!$H26</f>
        <v>0</v>
      </c>
      <c r="J186" s="362"/>
      <c r="K186" s="362">
        <f>'4ª'!$I26</f>
        <v>0</v>
      </c>
      <c r="L186" s="250" t="str">
        <f ca="1">'4ª'!$J26</f>
        <v/>
      </c>
      <c r="M186" s="362"/>
      <c r="N186" s="252" t="str">
        <f ca="1">'4ª'!$K26</f>
        <v/>
      </c>
      <c r="O186" s="362"/>
      <c r="P186" s="253" t="s">
        <v>110</v>
      </c>
      <c r="Q186" s="415" t="s">
        <v>249</v>
      </c>
      <c r="R186" s="383" t="str">
        <f>'4ª'!$L26</f>
        <v>Não</v>
      </c>
      <c r="S186" s="383" t="str">
        <f>'4ª'!$M26</f>
        <v>Eliane</v>
      </c>
      <c r="T186" s="383" t="str">
        <f>'4ª'!$N26</f>
        <v>-</v>
      </c>
      <c r="U186" s="383" t="str">
        <f>'4ª'!$O26</f>
        <v>-</v>
      </c>
      <c r="V186" s="383" t="str">
        <f>'4ª'!$P26</f>
        <v>-</v>
      </c>
      <c r="W186" s="383" t="str">
        <f>'4ª'!$Q26</f>
        <v>-</v>
      </c>
      <c r="X186" s="383" t="str">
        <f>'4ª'!$R26</f>
        <v>-</v>
      </c>
      <c r="Y186" s="383" t="str">
        <f>'4ª'!$S26</f>
        <v>-</v>
      </c>
      <c r="Z186" s="384">
        <f>'4ª'!$T26</f>
        <v>0</v>
      </c>
      <c r="AA186" s="384">
        <f>'4ª'!$U26</f>
        <v>0</v>
      </c>
      <c r="AB186" s="385" t="s">
        <v>324</v>
      </c>
      <c r="AC186" s="385"/>
      <c r="AD186" s="435" t="s">
        <v>466</v>
      </c>
    </row>
    <row r="187" spans="1:30" ht="15.75" x14ac:dyDescent="0.25">
      <c r="A187" s="416" t="str">
        <f>RIGHT('[1]4ª'!$A$5:$D$5,12)</f>
        <v>4ª SÉRIE E.F</v>
      </c>
      <c r="B187" s="451">
        <v>21</v>
      </c>
      <c r="C187" s="248">
        <f>'4ª'!$B27</f>
        <v>0</v>
      </c>
      <c r="D187" s="362">
        <f>'4ª'!$C27</f>
        <v>0</v>
      </c>
      <c r="E187" s="249">
        <f>'4ª'!$D27</f>
        <v>0</v>
      </c>
      <c r="F187" s="249" t="str">
        <f>'4ª'!$E27</f>
        <v/>
      </c>
      <c r="G187" s="250">
        <f>'4ª'!$F27</f>
        <v>0</v>
      </c>
      <c r="H187" s="362">
        <f>'4ª'!$G27</f>
        <v>0</v>
      </c>
      <c r="I187" s="251">
        <f>'4ª'!$H27</f>
        <v>0</v>
      </c>
      <c r="J187" s="362"/>
      <c r="K187" s="362">
        <f>'4ª'!$I27</f>
        <v>0</v>
      </c>
      <c r="L187" s="250" t="str">
        <f ca="1">'4ª'!$J27</f>
        <v/>
      </c>
      <c r="M187" s="362"/>
      <c r="N187" s="252" t="str">
        <f ca="1">'4ª'!$K27</f>
        <v/>
      </c>
      <c r="O187" s="362"/>
      <c r="P187" s="253" t="s">
        <v>110</v>
      </c>
      <c r="Q187" s="415" t="s">
        <v>249</v>
      </c>
      <c r="R187" s="383" t="str">
        <f>'4ª'!$L27</f>
        <v>Não</v>
      </c>
      <c r="S187" s="383" t="str">
        <f>'4ª'!$M27</f>
        <v>Eliane</v>
      </c>
      <c r="T187" s="383" t="str">
        <f>'4ª'!$N27</f>
        <v>-</v>
      </c>
      <c r="U187" s="383" t="str">
        <f>'4ª'!$O27</f>
        <v>-</v>
      </c>
      <c r="V187" s="383" t="str">
        <f>'4ª'!$P27</f>
        <v>-</v>
      </c>
      <c r="W187" s="383" t="str">
        <f>'4ª'!$Q27</f>
        <v>-</v>
      </c>
      <c r="X187" s="383" t="str">
        <f>'4ª'!$R27</f>
        <v>-</v>
      </c>
      <c r="Y187" s="383" t="str">
        <f>'4ª'!$S27</f>
        <v>-</v>
      </c>
      <c r="Z187" s="384">
        <f>'4ª'!$T27</f>
        <v>0</v>
      </c>
      <c r="AA187" s="384">
        <f>'4ª'!$U27</f>
        <v>0</v>
      </c>
      <c r="AB187" s="385" t="s">
        <v>324</v>
      </c>
      <c r="AC187" s="385"/>
      <c r="AD187" s="435" t="s">
        <v>466</v>
      </c>
    </row>
    <row r="188" spans="1:30" ht="15.75" x14ac:dyDescent="0.25">
      <c r="A188" s="416" t="str">
        <f>RIGHT('[1]4ª'!$A$5:$D$5,12)</f>
        <v>4ª SÉRIE E.F</v>
      </c>
      <c r="B188" s="451">
        <v>22</v>
      </c>
      <c r="C188" s="248">
        <f>'4ª'!$B28</f>
        <v>0</v>
      </c>
      <c r="D188" s="362">
        <f>'4ª'!$C28</f>
        <v>0</v>
      </c>
      <c r="E188" s="249">
        <f>'4ª'!$D28</f>
        <v>0</v>
      </c>
      <c r="F188" s="249" t="str">
        <f>'4ª'!$E28</f>
        <v/>
      </c>
      <c r="G188" s="250">
        <f>'4ª'!$F28</f>
        <v>0</v>
      </c>
      <c r="H188" s="362">
        <f>'4ª'!$G28</f>
        <v>0</v>
      </c>
      <c r="I188" s="251">
        <f>'4ª'!$H28</f>
        <v>0</v>
      </c>
      <c r="J188" s="362"/>
      <c r="K188" s="362">
        <f>'4ª'!$I28</f>
        <v>0</v>
      </c>
      <c r="L188" s="250" t="str">
        <f ca="1">'4ª'!$J28</f>
        <v/>
      </c>
      <c r="M188" s="362"/>
      <c r="N188" s="252" t="str">
        <f ca="1">'4ª'!$K28</f>
        <v/>
      </c>
      <c r="O188" s="362"/>
      <c r="P188" s="253" t="s">
        <v>110</v>
      </c>
      <c r="Q188" s="415" t="s">
        <v>249</v>
      </c>
      <c r="R188" s="383" t="str">
        <f>'4ª'!$L28</f>
        <v>Não</v>
      </c>
      <c r="S188" s="383" t="str">
        <f>'4ª'!$M28</f>
        <v>Eliane</v>
      </c>
      <c r="T188" s="383" t="str">
        <f>'4ª'!$N28</f>
        <v>-</v>
      </c>
      <c r="U188" s="383" t="str">
        <f>'4ª'!$O28</f>
        <v>-</v>
      </c>
      <c r="V188" s="383" t="str">
        <f>'4ª'!$P28</f>
        <v>-</v>
      </c>
      <c r="W188" s="383" t="str">
        <f>'4ª'!$Q28</f>
        <v>-</v>
      </c>
      <c r="X188" s="383" t="str">
        <f>'4ª'!$R28</f>
        <v>-</v>
      </c>
      <c r="Y188" s="383" t="str">
        <f>'4ª'!$S28</f>
        <v>-</v>
      </c>
      <c r="Z188" s="384">
        <f>'4ª'!$T28</f>
        <v>0</v>
      </c>
      <c r="AA188" s="384">
        <f>'4ª'!$U28</f>
        <v>0</v>
      </c>
      <c r="AB188" s="385" t="s">
        <v>324</v>
      </c>
      <c r="AC188" s="385"/>
      <c r="AD188" s="435" t="s">
        <v>466</v>
      </c>
    </row>
    <row r="189" spans="1:30" ht="15.75" x14ac:dyDescent="0.25">
      <c r="A189" s="416" t="str">
        <f>RIGHT('[1]4ª'!$A$5:$D$5,12)</f>
        <v>4ª SÉRIE E.F</v>
      </c>
      <c r="B189" s="451">
        <v>23</v>
      </c>
      <c r="C189" s="248">
        <f>'4ª'!$B29</f>
        <v>0</v>
      </c>
      <c r="D189" s="362">
        <f>'4ª'!$C29</f>
        <v>0</v>
      </c>
      <c r="E189" s="249">
        <f>'4ª'!$D29</f>
        <v>0</v>
      </c>
      <c r="F189" s="249" t="str">
        <f>'4ª'!$E29</f>
        <v/>
      </c>
      <c r="G189" s="250">
        <f>'4ª'!$F29</f>
        <v>0</v>
      </c>
      <c r="H189" s="362">
        <f>'4ª'!$G29</f>
        <v>0</v>
      </c>
      <c r="I189" s="251">
        <f>'4ª'!$H29</f>
        <v>0</v>
      </c>
      <c r="J189" s="362"/>
      <c r="K189" s="362">
        <f>'4ª'!$I29</f>
        <v>0</v>
      </c>
      <c r="L189" s="250" t="str">
        <f ca="1">'4ª'!$J29</f>
        <v/>
      </c>
      <c r="M189" s="362"/>
      <c r="N189" s="252" t="str">
        <f ca="1">'4ª'!$K29</f>
        <v/>
      </c>
      <c r="O189" s="362"/>
      <c r="P189" s="253" t="s">
        <v>110</v>
      </c>
      <c r="Q189" s="415" t="s">
        <v>249</v>
      </c>
      <c r="R189" s="383" t="str">
        <f>'4ª'!$L29</f>
        <v>Não</v>
      </c>
      <c r="S189" s="383" t="str">
        <f>'4ª'!$M29</f>
        <v>Eliane</v>
      </c>
      <c r="T189" s="383" t="str">
        <f>'4ª'!$N29</f>
        <v>-</v>
      </c>
      <c r="U189" s="383" t="str">
        <f>'4ª'!$O29</f>
        <v>-</v>
      </c>
      <c r="V189" s="383" t="str">
        <f>'4ª'!$P29</f>
        <v>-</v>
      </c>
      <c r="W189" s="383" t="str">
        <f>'4ª'!$Q29</f>
        <v>-</v>
      </c>
      <c r="X189" s="383" t="str">
        <f>'4ª'!$R29</f>
        <v>-</v>
      </c>
      <c r="Y189" s="383" t="str">
        <f>'4ª'!$S29</f>
        <v>-</v>
      </c>
      <c r="Z189" s="384">
        <f>'4ª'!$T29</f>
        <v>0</v>
      </c>
      <c r="AA189" s="384">
        <f>'4ª'!$U29</f>
        <v>0</v>
      </c>
      <c r="AB189" s="385" t="s">
        <v>324</v>
      </c>
      <c r="AC189" s="385"/>
      <c r="AD189" s="435" t="s">
        <v>466</v>
      </c>
    </row>
    <row r="190" spans="1:30" ht="15.75" x14ac:dyDescent="0.25">
      <c r="A190" s="416" t="str">
        <f>RIGHT('[1]4ª'!$A$5:$D$5,12)</f>
        <v>4ª SÉRIE E.F</v>
      </c>
      <c r="B190" s="451">
        <v>24</v>
      </c>
      <c r="C190" s="248">
        <f>'4ª'!$B30</f>
        <v>0</v>
      </c>
      <c r="D190" s="362">
        <f>'4ª'!$C30</f>
        <v>0</v>
      </c>
      <c r="E190" s="249">
        <f>'4ª'!$D30</f>
        <v>0</v>
      </c>
      <c r="F190" s="249" t="str">
        <f>'4ª'!$E30</f>
        <v/>
      </c>
      <c r="G190" s="250">
        <f>'4ª'!$F30</f>
        <v>0</v>
      </c>
      <c r="H190" s="362">
        <f>'4ª'!$G30</f>
        <v>0</v>
      </c>
      <c r="I190" s="251">
        <f>'4ª'!$H30</f>
        <v>0</v>
      </c>
      <c r="J190" s="362"/>
      <c r="K190" s="362">
        <f>'4ª'!$I30</f>
        <v>0</v>
      </c>
      <c r="L190" s="250" t="str">
        <f ca="1">'4ª'!$J30</f>
        <v/>
      </c>
      <c r="M190" s="362"/>
      <c r="N190" s="252" t="str">
        <f ca="1">'4ª'!$K30</f>
        <v/>
      </c>
      <c r="O190" s="362"/>
      <c r="P190" s="253" t="s">
        <v>110</v>
      </c>
      <c r="Q190" s="415" t="s">
        <v>249</v>
      </c>
      <c r="R190" s="383" t="str">
        <f>'4ª'!$L30</f>
        <v>Não</v>
      </c>
      <c r="S190" s="383" t="str">
        <f>'4ª'!$M30</f>
        <v>Eliane</v>
      </c>
      <c r="T190" s="383" t="str">
        <f>'4ª'!$N30</f>
        <v>-</v>
      </c>
      <c r="U190" s="383" t="str">
        <f>'4ª'!$O30</f>
        <v>-</v>
      </c>
      <c r="V190" s="383" t="str">
        <f>'4ª'!$P30</f>
        <v>-</v>
      </c>
      <c r="W190" s="383" t="str">
        <f>'4ª'!$Q30</f>
        <v>-</v>
      </c>
      <c r="X190" s="383" t="str">
        <f>'4ª'!$R30</f>
        <v>-</v>
      </c>
      <c r="Y190" s="383" t="str">
        <f>'4ª'!$S30</f>
        <v>-</v>
      </c>
      <c r="Z190" s="384">
        <f>'4ª'!$T30</f>
        <v>0</v>
      </c>
      <c r="AA190" s="384">
        <f>'4ª'!$U30</f>
        <v>0</v>
      </c>
      <c r="AB190" s="385" t="s">
        <v>324</v>
      </c>
      <c r="AC190" s="385"/>
      <c r="AD190" s="435" t="s">
        <v>466</v>
      </c>
    </row>
    <row r="191" spans="1:30" ht="15.75" x14ac:dyDescent="0.25">
      <c r="A191" s="416" t="str">
        <f>RIGHT('[1]4ª'!$A$5:$D$5,12)</f>
        <v>4ª SÉRIE E.F</v>
      </c>
      <c r="B191" s="451">
        <v>25</v>
      </c>
      <c r="C191" s="248">
        <f>'4ª'!$B31</f>
        <v>0</v>
      </c>
      <c r="D191" s="362">
        <f>'4ª'!$C31</f>
        <v>0</v>
      </c>
      <c r="E191" s="249">
        <f>'4ª'!$D31</f>
        <v>0</v>
      </c>
      <c r="F191" s="249" t="str">
        <f>'4ª'!$E31</f>
        <v/>
      </c>
      <c r="G191" s="250">
        <f>'4ª'!$F31</f>
        <v>0</v>
      </c>
      <c r="H191" s="362">
        <f>'4ª'!$G31</f>
        <v>0</v>
      </c>
      <c r="I191" s="251">
        <f>'4ª'!$H31</f>
        <v>0</v>
      </c>
      <c r="J191" s="362"/>
      <c r="K191" s="362">
        <f>'4ª'!$I31</f>
        <v>0</v>
      </c>
      <c r="L191" s="250" t="str">
        <f ca="1">'4ª'!$J31</f>
        <v/>
      </c>
      <c r="M191" s="362"/>
      <c r="N191" s="252" t="str">
        <f ca="1">'4ª'!$K31</f>
        <v/>
      </c>
      <c r="O191" s="362"/>
      <c r="P191" s="253" t="s">
        <v>110</v>
      </c>
      <c r="Q191" s="415" t="s">
        <v>249</v>
      </c>
      <c r="R191" s="383" t="str">
        <f>'4ª'!$L31</f>
        <v>Não</v>
      </c>
      <c r="S191" s="383" t="str">
        <f>'4ª'!$M31</f>
        <v>Eliane</v>
      </c>
      <c r="T191" s="383" t="str">
        <f>'4ª'!$N31</f>
        <v>-</v>
      </c>
      <c r="U191" s="383" t="str">
        <f>'4ª'!$O31</f>
        <v>-</v>
      </c>
      <c r="V191" s="383" t="str">
        <f>'4ª'!$P31</f>
        <v>-</v>
      </c>
      <c r="W191" s="383" t="str">
        <f>'4ª'!$Q31</f>
        <v>-</v>
      </c>
      <c r="X191" s="383" t="str">
        <f>'4ª'!$R31</f>
        <v>-</v>
      </c>
      <c r="Y191" s="383" t="str">
        <f>'4ª'!$S31</f>
        <v>-</v>
      </c>
      <c r="Z191" s="384">
        <f>'4ª'!$T31</f>
        <v>0</v>
      </c>
      <c r="AA191" s="384">
        <f>'4ª'!$U31</f>
        <v>0</v>
      </c>
      <c r="AB191" s="385" t="s">
        <v>324</v>
      </c>
      <c r="AC191" s="385"/>
      <c r="AD191" s="435" t="s">
        <v>466</v>
      </c>
    </row>
    <row r="192" spans="1:30" ht="15.75" x14ac:dyDescent="0.25">
      <c r="A192" s="416" t="str">
        <f>RIGHT('[1]4ª'!$A$5:$D$5,12)</f>
        <v>4ª SÉRIE E.F</v>
      </c>
      <c r="B192" s="451">
        <v>26</v>
      </c>
      <c r="C192" s="248">
        <f>'4ª'!$B32</f>
        <v>0</v>
      </c>
      <c r="D192" s="362">
        <f>'4ª'!$C32</f>
        <v>0</v>
      </c>
      <c r="E192" s="249">
        <f>'4ª'!$D32</f>
        <v>0</v>
      </c>
      <c r="F192" s="249" t="str">
        <f>'4ª'!$E32</f>
        <v/>
      </c>
      <c r="G192" s="250">
        <f>'4ª'!$F32</f>
        <v>0</v>
      </c>
      <c r="H192" s="362">
        <f>'4ª'!$G32</f>
        <v>0</v>
      </c>
      <c r="I192" s="251">
        <f>'4ª'!$H32</f>
        <v>0</v>
      </c>
      <c r="J192" s="362"/>
      <c r="K192" s="362">
        <f>'4ª'!$I32</f>
        <v>0</v>
      </c>
      <c r="L192" s="250" t="str">
        <f ca="1">'4ª'!$J32</f>
        <v/>
      </c>
      <c r="M192" s="362"/>
      <c r="N192" s="252" t="str">
        <f ca="1">'4ª'!$K32</f>
        <v/>
      </c>
      <c r="O192" s="362"/>
      <c r="P192" s="253" t="s">
        <v>110</v>
      </c>
      <c r="Q192" s="415" t="s">
        <v>249</v>
      </c>
      <c r="R192" s="383" t="str">
        <f>'4ª'!$L32</f>
        <v>Não</v>
      </c>
      <c r="S192" s="383" t="str">
        <f>'4ª'!$M32</f>
        <v>Eliane</v>
      </c>
      <c r="T192" s="383" t="str">
        <f>'4ª'!$N32</f>
        <v>-</v>
      </c>
      <c r="U192" s="383" t="str">
        <f>'4ª'!$O32</f>
        <v>-</v>
      </c>
      <c r="V192" s="383" t="str">
        <f>'4ª'!$P32</f>
        <v>-</v>
      </c>
      <c r="W192" s="383" t="str">
        <f>'4ª'!$Q32</f>
        <v>-</v>
      </c>
      <c r="X192" s="383" t="str">
        <f>'4ª'!$R32</f>
        <v>-</v>
      </c>
      <c r="Y192" s="383" t="str">
        <f>'4ª'!$S32</f>
        <v>-</v>
      </c>
      <c r="Z192" s="384">
        <f>'4ª'!$T32</f>
        <v>0</v>
      </c>
      <c r="AA192" s="384">
        <f>'4ª'!$U32</f>
        <v>0</v>
      </c>
      <c r="AB192" s="385" t="s">
        <v>324</v>
      </c>
      <c r="AC192" s="385"/>
      <c r="AD192" s="435" t="s">
        <v>466</v>
      </c>
    </row>
    <row r="193" spans="1:30" ht="15.75" x14ac:dyDescent="0.25">
      <c r="A193" s="416" t="str">
        <f>RIGHT('[1]4ª'!$A$5:$D$5,12)</f>
        <v>4ª SÉRIE E.F</v>
      </c>
      <c r="B193" s="451">
        <v>27</v>
      </c>
      <c r="C193" s="248">
        <f>'4ª'!$B33</f>
        <v>0</v>
      </c>
      <c r="D193" s="362">
        <f>'4ª'!$C33</f>
        <v>0</v>
      </c>
      <c r="E193" s="249">
        <f>'4ª'!$D33</f>
        <v>0</v>
      </c>
      <c r="F193" s="249" t="str">
        <f>'4ª'!$E33</f>
        <v/>
      </c>
      <c r="G193" s="250">
        <f>'4ª'!$F33</f>
        <v>0</v>
      </c>
      <c r="H193" s="362">
        <f>'4ª'!$G33</f>
        <v>0</v>
      </c>
      <c r="I193" s="251">
        <f>'4ª'!$H33</f>
        <v>0</v>
      </c>
      <c r="J193" s="362"/>
      <c r="K193" s="362">
        <f>'4ª'!$I33</f>
        <v>0</v>
      </c>
      <c r="L193" s="250" t="str">
        <f ca="1">'4ª'!$J33</f>
        <v/>
      </c>
      <c r="M193" s="362"/>
      <c r="N193" s="252" t="str">
        <f ca="1">'4ª'!$K33</f>
        <v/>
      </c>
      <c r="O193" s="362"/>
      <c r="P193" s="253" t="s">
        <v>110</v>
      </c>
      <c r="Q193" s="415" t="s">
        <v>249</v>
      </c>
      <c r="R193" s="383" t="str">
        <f>'4ª'!$L33</f>
        <v>Não</v>
      </c>
      <c r="S193" s="383" t="str">
        <f>'4ª'!$M33</f>
        <v>Eliane</v>
      </c>
      <c r="T193" s="383" t="str">
        <f>'4ª'!$N33</f>
        <v>-</v>
      </c>
      <c r="U193" s="383" t="str">
        <f>'4ª'!$O33</f>
        <v>-</v>
      </c>
      <c r="V193" s="383" t="str">
        <f>'4ª'!$P33</f>
        <v>-</v>
      </c>
      <c r="W193" s="383" t="str">
        <f>'4ª'!$Q33</f>
        <v>-</v>
      </c>
      <c r="X193" s="383" t="str">
        <f>'4ª'!$R33</f>
        <v>-</v>
      </c>
      <c r="Y193" s="383" t="str">
        <f>'4ª'!$S33</f>
        <v>-</v>
      </c>
      <c r="Z193" s="384">
        <f>'4ª'!$T33</f>
        <v>0</v>
      </c>
      <c r="AA193" s="384">
        <f>'4ª'!$U33</f>
        <v>0</v>
      </c>
      <c r="AB193" s="385" t="s">
        <v>324</v>
      </c>
      <c r="AC193" s="385"/>
      <c r="AD193" s="435" t="s">
        <v>466</v>
      </c>
    </row>
    <row r="194" spans="1:30" ht="15.75" x14ac:dyDescent="0.25">
      <c r="A194" s="416" t="str">
        <f>RIGHT('[1]4ª'!$A$5:$D$5,12)</f>
        <v>4ª SÉRIE E.F</v>
      </c>
      <c r="B194" s="451">
        <v>28</v>
      </c>
      <c r="C194" s="248">
        <f>'4ª'!$B34</f>
        <v>0</v>
      </c>
      <c r="D194" s="362">
        <f>'4ª'!$C34</f>
        <v>0</v>
      </c>
      <c r="E194" s="249">
        <f>'4ª'!$D34</f>
        <v>0</v>
      </c>
      <c r="F194" s="249" t="str">
        <f>'4ª'!$E34</f>
        <v/>
      </c>
      <c r="G194" s="250">
        <f>'4ª'!$F34</f>
        <v>0</v>
      </c>
      <c r="H194" s="362">
        <f>'4ª'!$G34</f>
        <v>0</v>
      </c>
      <c r="I194" s="251">
        <f>'4ª'!$H34</f>
        <v>0</v>
      </c>
      <c r="J194" s="362"/>
      <c r="K194" s="362">
        <f>'4ª'!$I34</f>
        <v>0</v>
      </c>
      <c r="L194" s="250" t="str">
        <f ca="1">'4ª'!$J34</f>
        <v/>
      </c>
      <c r="M194" s="362"/>
      <c r="N194" s="252" t="str">
        <f ca="1">'4ª'!$K34</f>
        <v/>
      </c>
      <c r="O194" s="362"/>
      <c r="P194" s="253" t="s">
        <v>110</v>
      </c>
      <c r="Q194" s="415" t="s">
        <v>249</v>
      </c>
      <c r="R194" s="383" t="str">
        <f>'4ª'!$L34</f>
        <v>Não</v>
      </c>
      <c r="S194" s="383" t="str">
        <f>'4ª'!$M34</f>
        <v>Eliane</v>
      </c>
      <c r="T194" s="383" t="str">
        <f>'4ª'!$N34</f>
        <v>-</v>
      </c>
      <c r="U194" s="383" t="str">
        <f>'4ª'!$O34</f>
        <v>-</v>
      </c>
      <c r="V194" s="383" t="str">
        <f>'4ª'!$P34</f>
        <v>-</v>
      </c>
      <c r="W194" s="383" t="str">
        <f>'4ª'!$Q34</f>
        <v>-</v>
      </c>
      <c r="X194" s="383" t="str">
        <f>'4ª'!$R34</f>
        <v>-</v>
      </c>
      <c r="Y194" s="383" t="str">
        <f>'4ª'!$S34</f>
        <v>-</v>
      </c>
      <c r="Z194" s="384">
        <f>'4ª'!$T34</f>
        <v>0</v>
      </c>
      <c r="AA194" s="384">
        <f>'4ª'!$U34</f>
        <v>0</v>
      </c>
      <c r="AB194" s="385" t="s">
        <v>324</v>
      </c>
      <c r="AC194" s="385"/>
      <c r="AD194" s="435" t="s">
        <v>466</v>
      </c>
    </row>
    <row r="195" spans="1:30" ht="15.75" x14ac:dyDescent="0.25">
      <c r="A195" s="416" t="str">
        <f>RIGHT('[1]4ª'!$A$5:$D$5,12)</f>
        <v>4ª SÉRIE E.F</v>
      </c>
      <c r="B195" s="451">
        <v>29</v>
      </c>
      <c r="C195" s="248">
        <f>'4ª'!$B35</f>
        <v>0</v>
      </c>
      <c r="D195" s="362">
        <f>'4ª'!$C35</f>
        <v>0</v>
      </c>
      <c r="E195" s="249">
        <f>'4ª'!$D35</f>
        <v>0</v>
      </c>
      <c r="F195" s="249" t="str">
        <f>'4ª'!$E35</f>
        <v/>
      </c>
      <c r="G195" s="250">
        <f>'4ª'!$F35</f>
        <v>0</v>
      </c>
      <c r="H195" s="362">
        <f>'4ª'!$G35</f>
        <v>0</v>
      </c>
      <c r="I195" s="251">
        <f>'4ª'!$H35</f>
        <v>0</v>
      </c>
      <c r="J195" s="362"/>
      <c r="K195" s="362">
        <f>'4ª'!$I35</f>
        <v>0</v>
      </c>
      <c r="L195" s="250" t="str">
        <f ca="1">'4ª'!$J35</f>
        <v/>
      </c>
      <c r="M195" s="362"/>
      <c r="N195" s="252" t="str">
        <f ca="1">'4ª'!$K35</f>
        <v/>
      </c>
      <c r="O195" s="362"/>
      <c r="P195" s="253" t="s">
        <v>110</v>
      </c>
      <c r="Q195" s="415" t="s">
        <v>249</v>
      </c>
      <c r="R195" s="383" t="str">
        <f>'4ª'!$L35</f>
        <v>Não</v>
      </c>
      <c r="S195" s="383" t="str">
        <f>'4ª'!$M35</f>
        <v>Eliane</v>
      </c>
      <c r="T195" s="383" t="str">
        <f>'4ª'!$N35</f>
        <v>-</v>
      </c>
      <c r="U195" s="383" t="str">
        <f>'4ª'!$O35</f>
        <v>-</v>
      </c>
      <c r="V195" s="383" t="str">
        <f>'4ª'!$P35</f>
        <v>-</v>
      </c>
      <c r="W195" s="383" t="str">
        <f>'4ª'!$Q35</f>
        <v>-</v>
      </c>
      <c r="X195" s="383" t="str">
        <f>'4ª'!$R35</f>
        <v>-</v>
      </c>
      <c r="Y195" s="383" t="str">
        <f>'4ª'!$S35</f>
        <v>-</v>
      </c>
      <c r="Z195" s="384">
        <f>'4ª'!$T35</f>
        <v>0</v>
      </c>
      <c r="AA195" s="384">
        <f>'4ª'!$U35</f>
        <v>0</v>
      </c>
      <c r="AB195" s="385" t="s">
        <v>324</v>
      </c>
      <c r="AC195" s="385"/>
      <c r="AD195" s="435" t="s">
        <v>466</v>
      </c>
    </row>
    <row r="196" spans="1:30" ht="15.75" x14ac:dyDescent="0.25">
      <c r="A196" s="416" t="str">
        <f>RIGHT('[1]4ª'!$A$5:$D$5,12)</f>
        <v>4ª SÉRIE E.F</v>
      </c>
      <c r="B196" s="451">
        <v>30</v>
      </c>
      <c r="C196" s="248">
        <f>'4ª'!$B36</f>
        <v>0</v>
      </c>
      <c r="D196" s="362">
        <f>'4ª'!$C36</f>
        <v>0</v>
      </c>
      <c r="E196" s="249">
        <f>'4ª'!$D36</f>
        <v>0</v>
      </c>
      <c r="F196" s="249" t="str">
        <f>'4ª'!$E36</f>
        <v/>
      </c>
      <c r="G196" s="250">
        <f>'4ª'!$F36</f>
        <v>0</v>
      </c>
      <c r="H196" s="362">
        <f>'4ª'!$G36</f>
        <v>0</v>
      </c>
      <c r="I196" s="251">
        <f>'4ª'!$H36</f>
        <v>0</v>
      </c>
      <c r="J196" s="362"/>
      <c r="K196" s="362">
        <f>'4ª'!$I36</f>
        <v>0</v>
      </c>
      <c r="L196" s="250" t="str">
        <f ca="1">'4ª'!$J36</f>
        <v/>
      </c>
      <c r="M196" s="362"/>
      <c r="N196" s="252" t="str">
        <f ca="1">'4ª'!$K36</f>
        <v/>
      </c>
      <c r="O196" s="362"/>
      <c r="P196" s="253" t="s">
        <v>110</v>
      </c>
      <c r="Q196" s="415" t="s">
        <v>249</v>
      </c>
      <c r="R196" s="383" t="str">
        <f>'4ª'!$L36</f>
        <v>Não</v>
      </c>
      <c r="S196" s="383" t="str">
        <f>'4ª'!$M36</f>
        <v>Eliane</v>
      </c>
      <c r="T196" s="383" t="str">
        <f>'4ª'!$N36</f>
        <v>-</v>
      </c>
      <c r="U196" s="383" t="str">
        <f>'4ª'!$O36</f>
        <v>-</v>
      </c>
      <c r="V196" s="383" t="str">
        <f>'4ª'!$P36</f>
        <v>-</v>
      </c>
      <c r="W196" s="383" t="str">
        <f>'4ª'!$Q36</f>
        <v>-</v>
      </c>
      <c r="X196" s="383" t="str">
        <f>'4ª'!$R36</f>
        <v>-</v>
      </c>
      <c r="Y196" s="383" t="str">
        <f>'4ª'!$S36</f>
        <v>-</v>
      </c>
      <c r="Z196" s="384">
        <f>'4ª'!$T36</f>
        <v>0</v>
      </c>
      <c r="AA196" s="384">
        <f>'4ª'!$U36</f>
        <v>0</v>
      </c>
      <c r="AB196" s="385" t="s">
        <v>324</v>
      </c>
      <c r="AC196" s="385"/>
      <c r="AD196" s="435" t="s">
        <v>466</v>
      </c>
    </row>
    <row r="197" spans="1:30" ht="15.75" x14ac:dyDescent="0.25">
      <c r="A197" s="416" t="str">
        <f>RIGHT('[1]4ª'!$A$5:$D$5,12)</f>
        <v>4ª SÉRIE E.F</v>
      </c>
      <c r="B197" s="451">
        <v>31</v>
      </c>
      <c r="C197" s="248">
        <f>'4ª'!$B37</f>
        <v>0</v>
      </c>
      <c r="D197" s="362">
        <f>'4ª'!$C37</f>
        <v>0</v>
      </c>
      <c r="E197" s="249">
        <f>'4ª'!$D37</f>
        <v>0</v>
      </c>
      <c r="F197" s="249">
        <f>'4ª'!$E37</f>
        <v>0</v>
      </c>
      <c r="G197" s="250">
        <f>'4ª'!$F37</f>
        <v>0</v>
      </c>
      <c r="H197" s="362">
        <f>'4ª'!$G37</f>
        <v>0</v>
      </c>
      <c r="I197" s="251">
        <f>'4ª'!$H37</f>
        <v>0</v>
      </c>
      <c r="J197" s="362"/>
      <c r="K197" s="362">
        <f>'4ª'!$I37</f>
        <v>0</v>
      </c>
      <c r="L197" s="250">
        <f>'4ª'!$J37</f>
        <v>0</v>
      </c>
      <c r="M197" s="362"/>
      <c r="N197" s="252">
        <f>'4ª'!$K37</f>
        <v>0</v>
      </c>
      <c r="O197" s="362"/>
      <c r="P197" s="253" t="s">
        <v>110</v>
      </c>
      <c r="Q197" s="415" t="s">
        <v>249</v>
      </c>
      <c r="R197" s="383">
        <f>'4ª'!$L37</f>
        <v>0</v>
      </c>
      <c r="S197" s="383">
        <f>'4ª'!$M37</f>
        <v>0</v>
      </c>
      <c r="T197" s="383">
        <f>'4ª'!$N37</f>
        <v>0</v>
      </c>
      <c r="U197" s="383">
        <f>'4ª'!$O37</f>
        <v>0</v>
      </c>
      <c r="V197" s="383">
        <f>'4ª'!$P37</f>
        <v>0</v>
      </c>
      <c r="W197" s="383">
        <f>'4ª'!$Q37</f>
        <v>0</v>
      </c>
      <c r="X197" s="383">
        <f>'4ª'!$R37</f>
        <v>0</v>
      </c>
      <c r="Y197" s="383">
        <f>'4ª'!$S37</f>
        <v>0</v>
      </c>
      <c r="Z197" s="384">
        <f>'4ª'!$T37</f>
        <v>0</v>
      </c>
      <c r="AA197" s="384">
        <f>'4ª'!$U37</f>
        <v>0</v>
      </c>
      <c r="AB197" s="385" t="s">
        <v>324</v>
      </c>
      <c r="AC197" s="385"/>
      <c r="AD197" s="435" t="s">
        <v>466</v>
      </c>
    </row>
    <row r="198" spans="1:30" ht="15.75" x14ac:dyDescent="0.25">
      <c r="A198" s="416" t="str">
        <f>RIGHT('[1]4ª'!$A$5:$D$5,12)</f>
        <v>4ª SÉRIE E.F</v>
      </c>
      <c r="B198" s="451">
        <v>32</v>
      </c>
      <c r="C198" s="248">
        <f>'4ª'!$B38</f>
        <v>0</v>
      </c>
      <c r="D198" s="362">
        <f>'4ª'!$C38</f>
        <v>0</v>
      </c>
      <c r="E198" s="249">
        <f>'4ª'!$D38</f>
        <v>0</v>
      </c>
      <c r="F198" s="249">
        <f>'4ª'!$E38</f>
        <v>0</v>
      </c>
      <c r="G198" s="250">
        <f>'4ª'!$F38</f>
        <v>0</v>
      </c>
      <c r="H198" s="362">
        <f>'4ª'!$G38</f>
        <v>0</v>
      </c>
      <c r="I198" s="251">
        <f>'4ª'!$H38</f>
        <v>0</v>
      </c>
      <c r="J198" s="362"/>
      <c r="K198" s="362">
        <f>'4ª'!$I38</f>
        <v>0</v>
      </c>
      <c r="L198" s="250">
        <f>'4ª'!$J38</f>
        <v>0</v>
      </c>
      <c r="M198" s="362"/>
      <c r="N198" s="252">
        <f>'4ª'!$K38</f>
        <v>0</v>
      </c>
      <c r="O198" s="362"/>
      <c r="P198" s="253" t="s">
        <v>110</v>
      </c>
      <c r="Q198" s="415" t="s">
        <v>249</v>
      </c>
      <c r="R198" s="383">
        <f>'4ª'!$L38</f>
        <v>0</v>
      </c>
      <c r="S198" s="383">
        <f>'4ª'!$M38</f>
        <v>0</v>
      </c>
      <c r="T198" s="383">
        <f>'4ª'!$N38</f>
        <v>0</v>
      </c>
      <c r="U198" s="383">
        <f>'4ª'!$O38</f>
        <v>0</v>
      </c>
      <c r="V198" s="383">
        <f>'4ª'!$P38</f>
        <v>0</v>
      </c>
      <c r="W198" s="383">
        <f>'4ª'!$Q38</f>
        <v>0</v>
      </c>
      <c r="X198" s="383">
        <f>'4ª'!$R38</f>
        <v>0</v>
      </c>
      <c r="Y198" s="383">
        <f>'4ª'!$S38</f>
        <v>0</v>
      </c>
      <c r="Z198" s="384">
        <f>'4ª'!$T38</f>
        <v>0</v>
      </c>
      <c r="AA198" s="384">
        <f>'4ª'!$U38</f>
        <v>0</v>
      </c>
      <c r="AB198" s="385" t="s">
        <v>324</v>
      </c>
      <c r="AC198" s="385"/>
      <c r="AD198" s="435" t="s">
        <v>466</v>
      </c>
    </row>
    <row r="199" spans="1:30" ht="15.75" x14ac:dyDescent="0.25">
      <c r="A199" s="416" t="str">
        <f>RIGHT('[1]4ª'!$A$5:$D$5,12)</f>
        <v>4ª SÉRIE E.F</v>
      </c>
      <c r="B199" s="451">
        <v>33</v>
      </c>
      <c r="C199" s="248">
        <f>'4ª'!$B39</f>
        <v>0</v>
      </c>
      <c r="D199" s="362">
        <f>'4ª'!$C39</f>
        <v>0</v>
      </c>
      <c r="E199" s="249">
        <f>'4ª'!$D39</f>
        <v>0</v>
      </c>
      <c r="F199" s="249">
        <f>'4ª'!$E39</f>
        <v>0</v>
      </c>
      <c r="G199" s="250">
        <f>'4ª'!$F39</f>
        <v>0</v>
      </c>
      <c r="H199" s="362">
        <f>'4ª'!$G39</f>
        <v>0</v>
      </c>
      <c r="I199" s="251">
        <f>'4ª'!$H39</f>
        <v>0</v>
      </c>
      <c r="J199" s="362"/>
      <c r="K199" s="362">
        <f>'4ª'!$I39</f>
        <v>0</v>
      </c>
      <c r="L199" s="250">
        <f>'4ª'!$J39</f>
        <v>0</v>
      </c>
      <c r="M199" s="362"/>
      <c r="N199" s="252">
        <f>'4ª'!$K39</f>
        <v>0</v>
      </c>
      <c r="O199" s="362"/>
      <c r="P199" s="253" t="s">
        <v>110</v>
      </c>
      <c r="Q199" s="415" t="s">
        <v>249</v>
      </c>
      <c r="R199" s="383">
        <f>'4ª'!$L39</f>
        <v>0</v>
      </c>
      <c r="S199" s="383">
        <f>'4ª'!$M39</f>
        <v>0</v>
      </c>
      <c r="T199" s="383">
        <f>'4ª'!$N39</f>
        <v>0</v>
      </c>
      <c r="U199" s="383">
        <f>'4ª'!$O39</f>
        <v>0</v>
      </c>
      <c r="V199" s="383">
        <f>'4ª'!$P39</f>
        <v>0</v>
      </c>
      <c r="W199" s="383">
        <f>'4ª'!$Q39</f>
        <v>0</v>
      </c>
      <c r="X199" s="383">
        <f>'4ª'!$R39</f>
        <v>0</v>
      </c>
      <c r="Y199" s="383">
        <f>'4ª'!$S39</f>
        <v>0</v>
      </c>
      <c r="Z199" s="384">
        <f>'4ª'!$T39</f>
        <v>0</v>
      </c>
      <c r="AA199" s="384">
        <f>'4ª'!$U39</f>
        <v>0</v>
      </c>
      <c r="AB199" s="385" t="s">
        <v>324</v>
      </c>
      <c r="AC199" s="385"/>
      <c r="AD199" s="435" t="s">
        <v>466</v>
      </c>
    </row>
    <row r="200" spans="1:30" ht="15.75" x14ac:dyDescent="0.25">
      <c r="A200" s="416" t="str">
        <f>RIGHT('[1]4ª'!$A$5:$D$5,12)</f>
        <v>4ª SÉRIE E.F</v>
      </c>
      <c r="B200" s="451">
        <v>34</v>
      </c>
      <c r="C200" s="248">
        <f>'4ª'!$B40</f>
        <v>0</v>
      </c>
      <c r="D200" s="362">
        <f>'4ª'!$C40</f>
        <v>0</v>
      </c>
      <c r="E200" s="249">
        <f>'4ª'!$D40</f>
        <v>0</v>
      </c>
      <c r="F200" s="249">
        <f>'4ª'!$E40</f>
        <v>0</v>
      </c>
      <c r="G200" s="250">
        <f>'4ª'!$F40</f>
        <v>0</v>
      </c>
      <c r="H200" s="362">
        <f>'4ª'!$G40</f>
        <v>0</v>
      </c>
      <c r="I200" s="251">
        <f>'4ª'!$H40</f>
        <v>0</v>
      </c>
      <c r="J200" s="362"/>
      <c r="K200" s="362">
        <f>'4ª'!$I40</f>
        <v>0</v>
      </c>
      <c r="L200" s="250">
        <f>'4ª'!$J40</f>
        <v>0</v>
      </c>
      <c r="M200" s="362"/>
      <c r="N200" s="252">
        <f>'4ª'!$K40</f>
        <v>0</v>
      </c>
      <c r="O200" s="362"/>
      <c r="P200" s="253" t="s">
        <v>110</v>
      </c>
      <c r="Q200" s="415" t="s">
        <v>249</v>
      </c>
      <c r="R200" s="383">
        <f>'4ª'!$L40</f>
        <v>0</v>
      </c>
      <c r="S200" s="383">
        <f>'4ª'!$M40</f>
        <v>0</v>
      </c>
      <c r="T200" s="383">
        <f>'4ª'!$N40</f>
        <v>0</v>
      </c>
      <c r="U200" s="383">
        <f>'4ª'!$O40</f>
        <v>0</v>
      </c>
      <c r="V200" s="383">
        <f>'4ª'!$P40</f>
        <v>0</v>
      </c>
      <c r="W200" s="383">
        <f>'4ª'!$Q40</f>
        <v>0</v>
      </c>
      <c r="X200" s="383">
        <f>'4ª'!$R40</f>
        <v>0</v>
      </c>
      <c r="Y200" s="383">
        <f>'4ª'!$S40</f>
        <v>0</v>
      </c>
      <c r="Z200" s="384">
        <f>'4ª'!$T40</f>
        <v>0</v>
      </c>
      <c r="AA200" s="384">
        <f>'4ª'!$U40</f>
        <v>0</v>
      </c>
      <c r="AB200" s="385" t="s">
        <v>324</v>
      </c>
      <c r="AC200" s="385"/>
      <c r="AD200" s="435" t="s">
        <v>466</v>
      </c>
    </row>
    <row r="201" spans="1:30" ht="15.75" x14ac:dyDescent="0.25">
      <c r="A201" s="416" t="str">
        <f>RIGHT('[1]4ª'!$A$5:$D$5,12)</f>
        <v>4ª SÉRIE E.F</v>
      </c>
      <c r="B201" s="451">
        <v>35</v>
      </c>
      <c r="C201" s="248">
        <f>'4ª'!$B41</f>
        <v>0</v>
      </c>
      <c r="D201" s="362">
        <f>'4ª'!$C41</f>
        <v>0</v>
      </c>
      <c r="E201" s="249">
        <f>'4ª'!$D41</f>
        <v>0</v>
      </c>
      <c r="F201" s="249">
        <f>'4ª'!$E41</f>
        <v>0</v>
      </c>
      <c r="G201" s="250">
        <f>'4ª'!$F41</f>
        <v>0</v>
      </c>
      <c r="H201" s="362">
        <f>'4ª'!$G41</f>
        <v>0</v>
      </c>
      <c r="I201" s="251">
        <f>'4ª'!$H41</f>
        <v>0</v>
      </c>
      <c r="J201" s="362"/>
      <c r="K201" s="362">
        <f>'4ª'!$I41</f>
        <v>0</v>
      </c>
      <c r="L201" s="250">
        <f>'4ª'!$J41</f>
        <v>0</v>
      </c>
      <c r="M201" s="362"/>
      <c r="N201" s="252">
        <f>'4ª'!$K41</f>
        <v>0</v>
      </c>
      <c r="O201" s="362"/>
      <c r="P201" s="253" t="s">
        <v>110</v>
      </c>
      <c r="Q201" s="415" t="s">
        <v>249</v>
      </c>
      <c r="R201" s="383">
        <f>'4ª'!$L41</f>
        <v>0</v>
      </c>
      <c r="S201" s="383">
        <f>'4ª'!$M41</f>
        <v>0</v>
      </c>
      <c r="T201" s="383">
        <f>'4ª'!$N41</f>
        <v>0</v>
      </c>
      <c r="U201" s="383">
        <f>'4ª'!$O41</f>
        <v>0</v>
      </c>
      <c r="V201" s="383">
        <f>'4ª'!$P41</f>
        <v>0</v>
      </c>
      <c r="W201" s="383">
        <f>'4ª'!$Q41</f>
        <v>0</v>
      </c>
      <c r="X201" s="383">
        <f>'4ª'!$R41</f>
        <v>0</v>
      </c>
      <c r="Y201" s="383">
        <f>'4ª'!$S41</f>
        <v>0</v>
      </c>
      <c r="Z201" s="384">
        <f>'4ª'!$T41</f>
        <v>0</v>
      </c>
      <c r="AA201" s="384">
        <f>'4ª'!$U41</f>
        <v>0</v>
      </c>
      <c r="AB201" s="385" t="s">
        <v>324</v>
      </c>
      <c r="AC201" s="385"/>
      <c r="AD201" s="435" t="s">
        <v>466</v>
      </c>
    </row>
    <row r="202" spans="1:30" ht="15.75" x14ac:dyDescent="0.25">
      <c r="A202" s="416" t="str">
        <f>RIGHT('[1]4ª'!$A$5:$D$5,12)</f>
        <v>4ª SÉRIE E.F</v>
      </c>
      <c r="B202" s="451">
        <v>36</v>
      </c>
      <c r="C202" s="248">
        <f>'4ª'!$B42</f>
        <v>0</v>
      </c>
      <c r="D202" s="362">
        <f>'4ª'!$C42</f>
        <v>0</v>
      </c>
      <c r="E202" s="249">
        <f>'4ª'!$D42</f>
        <v>0</v>
      </c>
      <c r="F202" s="249">
        <f>'4ª'!$E42</f>
        <v>0</v>
      </c>
      <c r="G202" s="250">
        <f>'4ª'!$F42</f>
        <v>0</v>
      </c>
      <c r="H202" s="362">
        <f>'4ª'!$G42</f>
        <v>0</v>
      </c>
      <c r="I202" s="251">
        <f>'4ª'!$H42</f>
        <v>0</v>
      </c>
      <c r="J202" s="362"/>
      <c r="K202" s="362">
        <f>'4ª'!$I42</f>
        <v>0</v>
      </c>
      <c r="L202" s="250">
        <f>'4ª'!$J42</f>
        <v>0</v>
      </c>
      <c r="M202" s="362"/>
      <c r="N202" s="252">
        <f>'4ª'!$K42</f>
        <v>0</v>
      </c>
      <c r="O202" s="362"/>
      <c r="P202" s="253" t="s">
        <v>110</v>
      </c>
      <c r="Q202" s="415" t="s">
        <v>249</v>
      </c>
      <c r="R202" s="383">
        <f>'4ª'!$L42</f>
        <v>0</v>
      </c>
      <c r="S202" s="383">
        <f>'4ª'!$M42</f>
        <v>0</v>
      </c>
      <c r="T202" s="383">
        <f>'4ª'!$N42</f>
        <v>0</v>
      </c>
      <c r="U202" s="383">
        <f>'4ª'!$O42</f>
        <v>0</v>
      </c>
      <c r="V202" s="383">
        <f>'4ª'!$P42</f>
        <v>0</v>
      </c>
      <c r="W202" s="383">
        <f>'4ª'!$Q42</f>
        <v>0</v>
      </c>
      <c r="X202" s="383">
        <f>'4ª'!$R42</f>
        <v>0</v>
      </c>
      <c r="Y202" s="383">
        <f>'4ª'!$S42</f>
        <v>0</v>
      </c>
      <c r="Z202" s="384">
        <f>'4ª'!$T42</f>
        <v>0</v>
      </c>
      <c r="AA202" s="384">
        <f>'4ª'!$U42</f>
        <v>0</v>
      </c>
      <c r="AB202" s="385" t="s">
        <v>324</v>
      </c>
      <c r="AC202" s="385"/>
      <c r="AD202" s="435" t="s">
        <v>466</v>
      </c>
    </row>
    <row r="203" spans="1:30" ht="15.75" x14ac:dyDescent="0.25">
      <c r="A203" s="416" t="str">
        <f>RIGHT('[1]4ª'!$A$5:$D$5,12)</f>
        <v>4ª SÉRIE E.F</v>
      </c>
      <c r="B203" s="451">
        <v>37</v>
      </c>
      <c r="C203" s="248">
        <f>'4ª'!$B43</f>
        <v>0</v>
      </c>
      <c r="D203" s="362">
        <f>'4ª'!$C43</f>
        <v>0</v>
      </c>
      <c r="E203" s="249">
        <f>'4ª'!$D43</f>
        <v>0</v>
      </c>
      <c r="F203" s="249">
        <f>'4ª'!$E43</f>
        <v>0</v>
      </c>
      <c r="G203" s="250">
        <f>'4ª'!$F43</f>
        <v>0</v>
      </c>
      <c r="H203" s="362">
        <f>'4ª'!$G43</f>
        <v>0</v>
      </c>
      <c r="I203" s="251">
        <f>'4ª'!$H43</f>
        <v>0</v>
      </c>
      <c r="J203" s="362"/>
      <c r="K203" s="362">
        <f>'4ª'!$I43</f>
        <v>0</v>
      </c>
      <c r="L203" s="250">
        <f>'4ª'!$J43</f>
        <v>0</v>
      </c>
      <c r="M203" s="362"/>
      <c r="N203" s="252">
        <f>'4ª'!$K43</f>
        <v>0</v>
      </c>
      <c r="O203" s="362"/>
      <c r="P203" s="253" t="s">
        <v>110</v>
      </c>
      <c r="Q203" s="415" t="s">
        <v>249</v>
      </c>
      <c r="R203" s="383">
        <f>'4ª'!$L43</f>
        <v>0</v>
      </c>
      <c r="S203" s="383">
        <f>'4ª'!$M43</f>
        <v>0</v>
      </c>
      <c r="T203" s="383">
        <f>'4ª'!$N43</f>
        <v>0</v>
      </c>
      <c r="U203" s="383">
        <f>'4ª'!$O43</f>
        <v>0</v>
      </c>
      <c r="V203" s="383">
        <f>'4ª'!$P43</f>
        <v>0</v>
      </c>
      <c r="W203" s="383">
        <f>'4ª'!$Q43</f>
        <v>0</v>
      </c>
      <c r="X203" s="383">
        <f>'4ª'!$R43</f>
        <v>0</v>
      </c>
      <c r="Y203" s="383">
        <f>'4ª'!$S43</f>
        <v>0</v>
      </c>
      <c r="Z203" s="384">
        <f>'4ª'!$T43</f>
        <v>0</v>
      </c>
      <c r="AA203" s="384">
        <f>'4ª'!$U43</f>
        <v>0</v>
      </c>
      <c r="AB203" s="385" t="s">
        <v>324</v>
      </c>
      <c r="AC203" s="385"/>
      <c r="AD203" s="435" t="s">
        <v>466</v>
      </c>
    </row>
    <row r="204" spans="1:30" ht="15.75" x14ac:dyDescent="0.25">
      <c r="A204" s="416" t="str">
        <f>RIGHT('[1]4ª'!$A$5:$D$5,12)</f>
        <v>4ª SÉRIE E.F</v>
      </c>
      <c r="B204" s="451">
        <v>38</v>
      </c>
      <c r="C204" s="248">
        <f>'4ª'!$B44</f>
        <v>0</v>
      </c>
      <c r="D204" s="362">
        <f>'4ª'!$C44</f>
        <v>0</v>
      </c>
      <c r="E204" s="249">
        <f>'4ª'!$D44</f>
        <v>0</v>
      </c>
      <c r="F204" s="249">
        <f>'4ª'!$E44</f>
        <v>0</v>
      </c>
      <c r="G204" s="250">
        <f>'4ª'!$F44</f>
        <v>0</v>
      </c>
      <c r="H204" s="362">
        <f>'4ª'!$G44</f>
        <v>0</v>
      </c>
      <c r="I204" s="251">
        <f>'4ª'!$H44</f>
        <v>0</v>
      </c>
      <c r="J204" s="362"/>
      <c r="K204" s="362">
        <f>'4ª'!$I44</f>
        <v>0</v>
      </c>
      <c r="L204" s="250">
        <f>'4ª'!$J44</f>
        <v>0</v>
      </c>
      <c r="M204" s="362"/>
      <c r="N204" s="252">
        <f>'4ª'!$K44</f>
        <v>0</v>
      </c>
      <c r="O204" s="362"/>
      <c r="P204" s="253" t="s">
        <v>110</v>
      </c>
      <c r="Q204" s="415" t="s">
        <v>249</v>
      </c>
      <c r="R204" s="383">
        <f>'4ª'!$L44</f>
        <v>0</v>
      </c>
      <c r="S204" s="383">
        <f>'4ª'!$M44</f>
        <v>0</v>
      </c>
      <c r="T204" s="383">
        <f>'4ª'!$N44</f>
        <v>0</v>
      </c>
      <c r="U204" s="383">
        <f>'4ª'!$O44</f>
        <v>0</v>
      </c>
      <c r="V204" s="383">
        <f>'4ª'!$P44</f>
        <v>0</v>
      </c>
      <c r="W204" s="383">
        <f>'4ª'!$Q44</f>
        <v>0</v>
      </c>
      <c r="X204" s="383">
        <f>'4ª'!$R44</f>
        <v>0</v>
      </c>
      <c r="Y204" s="383">
        <f>'4ª'!$S44</f>
        <v>0</v>
      </c>
      <c r="Z204" s="384">
        <f>'4ª'!$T44</f>
        <v>0</v>
      </c>
      <c r="AA204" s="384">
        <f>'4ª'!$U44</f>
        <v>0</v>
      </c>
      <c r="AB204" s="385" t="s">
        <v>324</v>
      </c>
      <c r="AC204" s="385"/>
      <c r="AD204" s="435" t="s">
        <v>466</v>
      </c>
    </row>
    <row r="205" spans="1:30" ht="15.75" x14ac:dyDescent="0.25">
      <c r="A205" s="416" t="str">
        <f>RIGHT('[1]4ª'!$A$5:$D$5,12)</f>
        <v>4ª SÉRIE E.F</v>
      </c>
      <c r="B205" s="451">
        <v>39</v>
      </c>
      <c r="C205" s="248">
        <f>'4ª'!$B45</f>
        <v>0</v>
      </c>
      <c r="D205" s="362">
        <f>'4ª'!$C45</f>
        <v>0</v>
      </c>
      <c r="E205" s="249">
        <f>'4ª'!$D45</f>
        <v>0</v>
      </c>
      <c r="F205" s="249">
        <f>'4ª'!$E45</f>
        <v>0</v>
      </c>
      <c r="G205" s="250">
        <f>'4ª'!$F45</f>
        <v>0</v>
      </c>
      <c r="H205" s="362">
        <f>'4ª'!$G45</f>
        <v>0</v>
      </c>
      <c r="I205" s="251">
        <f>'4ª'!$H45</f>
        <v>0</v>
      </c>
      <c r="J205" s="362"/>
      <c r="K205" s="362">
        <f>'4ª'!$I45</f>
        <v>0</v>
      </c>
      <c r="L205" s="250">
        <f>'4ª'!$J45</f>
        <v>0</v>
      </c>
      <c r="M205" s="362"/>
      <c r="N205" s="252">
        <f>'4ª'!$K45</f>
        <v>0</v>
      </c>
      <c r="O205" s="362"/>
      <c r="P205" s="253" t="s">
        <v>110</v>
      </c>
      <c r="Q205" s="415" t="s">
        <v>249</v>
      </c>
      <c r="R205" s="383">
        <f>'4ª'!$L45</f>
        <v>0</v>
      </c>
      <c r="S205" s="383">
        <f>'4ª'!$M45</f>
        <v>0</v>
      </c>
      <c r="T205" s="383">
        <f>'4ª'!$N45</f>
        <v>0</v>
      </c>
      <c r="U205" s="383">
        <f>'4ª'!$O45</f>
        <v>0</v>
      </c>
      <c r="V205" s="383">
        <f>'4ª'!$P45</f>
        <v>0</v>
      </c>
      <c r="W205" s="383">
        <f>'4ª'!$Q45</f>
        <v>0</v>
      </c>
      <c r="X205" s="383">
        <f>'4ª'!$R45</f>
        <v>0</v>
      </c>
      <c r="Y205" s="383">
        <f>'4ª'!$S45</f>
        <v>0</v>
      </c>
      <c r="Z205" s="384">
        <f>'4ª'!$T45</f>
        <v>0</v>
      </c>
      <c r="AA205" s="384">
        <f>'4ª'!$U45</f>
        <v>0</v>
      </c>
      <c r="AB205" s="385" t="s">
        <v>324</v>
      </c>
      <c r="AC205" s="385"/>
      <c r="AD205" s="435" t="s">
        <v>466</v>
      </c>
    </row>
    <row r="206" spans="1:30" ht="15.75" x14ac:dyDescent="0.25">
      <c r="A206" s="416" t="str">
        <f>RIGHT('[1]4ª'!$A$5:$D$5,12)</f>
        <v>4ª SÉRIE E.F</v>
      </c>
      <c r="B206" s="451">
        <v>40</v>
      </c>
      <c r="C206" s="248">
        <f>'4ª'!$B46</f>
        <v>0</v>
      </c>
      <c r="D206" s="362">
        <f>'4ª'!$C46</f>
        <v>0</v>
      </c>
      <c r="E206" s="249">
        <f>'4ª'!$D46</f>
        <v>0</v>
      </c>
      <c r="F206" s="249">
        <f>'4ª'!$E46</f>
        <v>0</v>
      </c>
      <c r="G206" s="250">
        <f>'4ª'!$F46</f>
        <v>0</v>
      </c>
      <c r="H206" s="362">
        <f>'4ª'!$G46</f>
        <v>0</v>
      </c>
      <c r="I206" s="251">
        <f>'4ª'!$H46</f>
        <v>0</v>
      </c>
      <c r="J206" s="362"/>
      <c r="K206" s="362">
        <f>'4ª'!$I46</f>
        <v>0</v>
      </c>
      <c r="L206" s="250">
        <f>'4ª'!$J46</f>
        <v>0</v>
      </c>
      <c r="M206" s="362"/>
      <c r="N206" s="252">
        <f>'4ª'!$K46</f>
        <v>0</v>
      </c>
      <c r="O206" s="362"/>
      <c r="P206" s="253" t="s">
        <v>110</v>
      </c>
      <c r="Q206" s="415" t="s">
        <v>249</v>
      </c>
      <c r="R206" s="383">
        <f>'4ª'!$L46</f>
        <v>0</v>
      </c>
      <c r="S206" s="383">
        <f>'4ª'!$M46</f>
        <v>0</v>
      </c>
      <c r="T206" s="383">
        <f>'4ª'!$N46</f>
        <v>0</v>
      </c>
      <c r="U206" s="383">
        <f>'4ª'!$O46</f>
        <v>0</v>
      </c>
      <c r="V206" s="383">
        <f>'4ª'!$P46</f>
        <v>0</v>
      </c>
      <c r="W206" s="383">
        <f>'4ª'!$Q46</f>
        <v>0</v>
      </c>
      <c r="X206" s="383">
        <f>'4ª'!$R46</f>
        <v>0</v>
      </c>
      <c r="Y206" s="383">
        <f>'4ª'!$S46</f>
        <v>0</v>
      </c>
      <c r="Z206" s="384">
        <f>'4ª'!$T46</f>
        <v>0</v>
      </c>
      <c r="AA206" s="384">
        <f>'4ª'!$U46</f>
        <v>0</v>
      </c>
      <c r="AB206" s="385" t="s">
        <v>324</v>
      </c>
      <c r="AC206" s="385"/>
      <c r="AD206" s="435" t="s">
        <v>466</v>
      </c>
    </row>
    <row r="207" spans="1:30" ht="15.75" x14ac:dyDescent="0.25">
      <c r="A207" s="416" t="str">
        <f>RIGHT('[1]4ª'!$A$5:$D$5,12)</f>
        <v>4ª SÉRIE E.F</v>
      </c>
      <c r="B207" s="451">
        <v>41</v>
      </c>
      <c r="C207" s="248">
        <f>'4ª'!$B47</f>
        <v>0</v>
      </c>
      <c r="D207" s="362">
        <f>'4ª'!$C47</f>
        <v>0</v>
      </c>
      <c r="E207" s="249">
        <f>'4ª'!$D47</f>
        <v>0</v>
      </c>
      <c r="F207" s="249">
        <f>'4ª'!$E47</f>
        <v>0</v>
      </c>
      <c r="G207" s="250">
        <f>'4ª'!$F47</f>
        <v>0</v>
      </c>
      <c r="H207" s="362">
        <f>'4ª'!$G47</f>
        <v>0</v>
      </c>
      <c r="I207" s="251">
        <f>'4ª'!$H47</f>
        <v>0</v>
      </c>
      <c r="J207" s="362"/>
      <c r="K207" s="362">
        <f>'4ª'!$I47</f>
        <v>0</v>
      </c>
      <c r="L207" s="250">
        <f>'4ª'!$J47</f>
        <v>0</v>
      </c>
      <c r="M207" s="362"/>
      <c r="N207" s="252">
        <f>'4ª'!$K47</f>
        <v>0</v>
      </c>
      <c r="O207" s="362"/>
      <c r="P207" s="253" t="s">
        <v>110</v>
      </c>
      <c r="Q207" s="415" t="s">
        <v>249</v>
      </c>
      <c r="R207" s="383">
        <f>'4ª'!$L47</f>
        <v>0</v>
      </c>
      <c r="S207" s="383">
        <f>'4ª'!$M47</f>
        <v>0</v>
      </c>
      <c r="T207" s="383">
        <f>'4ª'!$N47</f>
        <v>0</v>
      </c>
      <c r="U207" s="383">
        <f>'4ª'!$O47</f>
        <v>0</v>
      </c>
      <c r="V207" s="383">
        <f>'4ª'!$P47</f>
        <v>0</v>
      </c>
      <c r="W207" s="383">
        <f>'4ª'!$Q47</f>
        <v>0</v>
      </c>
      <c r="X207" s="383">
        <f>'4ª'!$R47</f>
        <v>0</v>
      </c>
      <c r="Y207" s="383">
        <f>'4ª'!$S47</f>
        <v>0</v>
      </c>
      <c r="Z207" s="384">
        <f>'4ª'!$T47</f>
        <v>0</v>
      </c>
      <c r="AA207" s="384">
        <f>'4ª'!$U47</f>
        <v>0</v>
      </c>
      <c r="AB207" s="385" t="s">
        <v>324</v>
      </c>
      <c r="AC207" s="385"/>
      <c r="AD207" s="435" t="s">
        <v>466</v>
      </c>
    </row>
    <row r="208" spans="1:30" ht="15.75" x14ac:dyDescent="0.25">
      <c r="A208" s="416" t="str">
        <f>RIGHT('[1]4ª'!$A$5:$D$5,12)</f>
        <v>4ª SÉRIE E.F</v>
      </c>
      <c r="B208" s="451">
        <v>42</v>
      </c>
      <c r="C208" s="248">
        <f>'4ª'!$B48</f>
        <v>0</v>
      </c>
      <c r="D208" s="362">
        <f>'4ª'!$C48</f>
        <v>0</v>
      </c>
      <c r="E208" s="249">
        <f>'4ª'!$D48</f>
        <v>0</v>
      </c>
      <c r="F208" s="249">
        <f>'4ª'!$E48</f>
        <v>0</v>
      </c>
      <c r="G208" s="250">
        <f>'4ª'!$F48</f>
        <v>0</v>
      </c>
      <c r="H208" s="362">
        <f>'4ª'!$G48</f>
        <v>0</v>
      </c>
      <c r="I208" s="251">
        <f>'4ª'!$H48</f>
        <v>0</v>
      </c>
      <c r="J208" s="362"/>
      <c r="K208" s="362">
        <f>'4ª'!$I48</f>
        <v>0</v>
      </c>
      <c r="L208" s="250">
        <f>'4ª'!$J48</f>
        <v>0</v>
      </c>
      <c r="M208" s="362"/>
      <c r="N208" s="252">
        <f>'4ª'!$K48</f>
        <v>0</v>
      </c>
      <c r="O208" s="362"/>
      <c r="P208" s="253" t="s">
        <v>110</v>
      </c>
      <c r="Q208" s="415" t="s">
        <v>249</v>
      </c>
      <c r="R208" s="383">
        <f>'4ª'!$L48</f>
        <v>0</v>
      </c>
      <c r="S208" s="383">
        <f>'4ª'!$M48</f>
        <v>0</v>
      </c>
      <c r="T208" s="383">
        <f>'4ª'!$N48</f>
        <v>0</v>
      </c>
      <c r="U208" s="383">
        <f>'4ª'!$O48</f>
        <v>0</v>
      </c>
      <c r="V208" s="383">
        <f>'4ª'!$P48</f>
        <v>0</v>
      </c>
      <c r="W208" s="383">
        <f>'4ª'!$Q48</f>
        <v>0</v>
      </c>
      <c r="X208" s="383">
        <f>'4ª'!$R48</f>
        <v>0</v>
      </c>
      <c r="Y208" s="383">
        <f>'4ª'!$S48</f>
        <v>0</v>
      </c>
      <c r="Z208" s="384">
        <f>'4ª'!$T48</f>
        <v>0</v>
      </c>
      <c r="AA208" s="384">
        <f>'4ª'!$U48</f>
        <v>0</v>
      </c>
      <c r="AB208" s="385" t="s">
        <v>324</v>
      </c>
      <c r="AC208" s="385"/>
      <c r="AD208" s="435" t="s">
        <v>466</v>
      </c>
    </row>
    <row r="209" spans="1:30" ht="15.75" x14ac:dyDescent="0.25">
      <c r="A209" s="416" t="str">
        <f>RIGHT('[1]4ª'!$A$5:$D$5,12)</f>
        <v>4ª SÉRIE E.F</v>
      </c>
      <c r="B209" s="451">
        <v>43</v>
      </c>
      <c r="C209" s="248">
        <f>'4ª'!$B49</f>
        <v>0</v>
      </c>
      <c r="D209" s="362">
        <f>'4ª'!$C49</f>
        <v>0</v>
      </c>
      <c r="E209" s="249">
        <f>'4ª'!$D49</f>
        <v>0</v>
      </c>
      <c r="F209" s="249">
        <f>'4ª'!$E49</f>
        <v>0</v>
      </c>
      <c r="G209" s="250">
        <f>'4ª'!$F49</f>
        <v>0</v>
      </c>
      <c r="H209" s="362">
        <f>'4ª'!$G49</f>
        <v>0</v>
      </c>
      <c r="I209" s="251">
        <f>'4ª'!$H49</f>
        <v>0</v>
      </c>
      <c r="J209" s="362"/>
      <c r="K209" s="362">
        <f>'4ª'!$I49</f>
        <v>0</v>
      </c>
      <c r="L209" s="250">
        <f>'4ª'!$J49</f>
        <v>0</v>
      </c>
      <c r="M209" s="362"/>
      <c r="N209" s="252">
        <f>'4ª'!$K49</f>
        <v>0</v>
      </c>
      <c r="O209" s="362"/>
      <c r="P209" s="253" t="s">
        <v>110</v>
      </c>
      <c r="Q209" s="415" t="s">
        <v>249</v>
      </c>
      <c r="R209" s="383">
        <f>'4ª'!$L49</f>
        <v>0</v>
      </c>
      <c r="S209" s="383">
        <f>'4ª'!$M49</f>
        <v>0</v>
      </c>
      <c r="T209" s="383">
        <f>'4ª'!$N49</f>
        <v>0</v>
      </c>
      <c r="U209" s="383">
        <f>'4ª'!$O49</f>
        <v>0</v>
      </c>
      <c r="V209" s="383">
        <f>'4ª'!$P49</f>
        <v>0</v>
      </c>
      <c r="W209" s="383">
        <f>'4ª'!$Q49</f>
        <v>0</v>
      </c>
      <c r="X209" s="383">
        <f>'4ª'!$R49</f>
        <v>0</v>
      </c>
      <c r="Y209" s="383">
        <f>'4ª'!$S49</f>
        <v>0</v>
      </c>
      <c r="Z209" s="384">
        <f>'4ª'!$T49</f>
        <v>0</v>
      </c>
      <c r="AA209" s="384">
        <f>'4ª'!$U49</f>
        <v>0</v>
      </c>
      <c r="AB209" s="385" t="s">
        <v>324</v>
      </c>
      <c r="AC209" s="385"/>
      <c r="AD209" s="435" t="s">
        <v>466</v>
      </c>
    </row>
    <row r="210" spans="1:30" ht="15.75" x14ac:dyDescent="0.25">
      <c r="A210" s="416" t="str">
        <f>RIGHT('[1]4ª'!$A$5:$D$5,12)</f>
        <v>4ª SÉRIE E.F</v>
      </c>
      <c r="B210" s="451">
        <v>44</v>
      </c>
      <c r="C210" s="248">
        <f>'4ª'!$B50</f>
        <v>0</v>
      </c>
      <c r="D210" s="362">
        <f>'4ª'!$C50</f>
        <v>0</v>
      </c>
      <c r="E210" s="249">
        <f>'4ª'!$D50</f>
        <v>0</v>
      </c>
      <c r="F210" s="249">
        <f>'4ª'!$E50</f>
        <v>0</v>
      </c>
      <c r="G210" s="250">
        <f>'4ª'!$F50</f>
        <v>0</v>
      </c>
      <c r="H210" s="362">
        <f>'4ª'!$G50</f>
        <v>0</v>
      </c>
      <c r="I210" s="251">
        <f>'4ª'!$H50</f>
        <v>0</v>
      </c>
      <c r="J210" s="362"/>
      <c r="K210" s="362">
        <f>'4ª'!$I50</f>
        <v>0</v>
      </c>
      <c r="L210" s="250">
        <f>'4ª'!$J50</f>
        <v>0</v>
      </c>
      <c r="M210" s="362"/>
      <c r="N210" s="252">
        <f>'4ª'!$K50</f>
        <v>0</v>
      </c>
      <c r="O210" s="362"/>
      <c r="P210" s="253" t="s">
        <v>110</v>
      </c>
      <c r="Q210" s="415" t="s">
        <v>249</v>
      </c>
      <c r="R210" s="383">
        <f>'4ª'!$L50</f>
        <v>0</v>
      </c>
      <c r="S210" s="383">
        <f>'4ª'!$M50</f>
        <v>0</v>
      </c>
      <c r="T210" s="383">
        <f>'4ª'!$N50</f>
        <v>0</v>
      </c>
      <c r="U210" s="383">
        <f>'4ª'!$O50</f>
        <v>0</v>
      </c>
      <c r="V210" s="383">
        <f>'4ª'!$P50</f>
        <v>0</v>
      </c>
      <c r="W210" s="383">
        <f>'4ª'!$Q50</f>
        <v>0</v>
      </c>
      <c r="X210" s="383">
        <f>'4ª'!$R50</f>
        <v>0</v>
      </c>
      <c r="Y210" s="383">
        <f>'4ª'!$S50</f>
        <v>0</v>
      </c>
      <c r="Z210" s="384">
        <f>'4ª'!$T50</f>
        <v>0</v>
      </c>
      <c r="AA210" s="384">
        <f>'4ª'!$U50</f>
        <v>0</v>
      </c>
      <c r="AB210" s="385" t="s">
        <v>324</v>
      </c>
      <c r="AC210" s="385"/>
      <c r="AD210" s="435" t="s">
        <v>466</v>
      </c>
    </row>
    <row r="211" spans="1:30" ht="15.75" x14ac:dyDescent="0.25">
      <c r="A211" s="416" t="str">
        <f>RIGHT('[1]4ª'!$A$5:$D$5,12)</f>
        <v>4ª SÉRIE E.F</v>
      </c>
      <c r="B211" s="451">
        <v>45</v>
      </c>
      <c r="C211" s="248">
        <f>'4ª'!$B51</f>
        <v>0</v>
      </c>
      <c r="D211" s="362">
        <f>'4ª'!$C51</f>
        <v>0</v>
      </c>
      <c r="E211" s="249">
        <f>'4ª'!$D51</f>
        <v>0</v>
      </c>
      <c r="F211" s="249">
        <f>'4ª'!$E51</f>
        <v>0</v>
      </c>
      <c r="G211" s="250">
        <f>'4ª'!$F51</f>
        <v>0</v>
      </c>
      <c r="H211" s="362">
        <f>'4ª'!$G51</f>
        <v>0</v>
      </c>
      <c r="I211" s="251">
        <f>'4ª'!$H51</f>
        <v>0</v>
      </c>
      <c r="J211" s="362"/>
      <c r="K211" s="362">
        <f>'4ª'!$I51</f>
        <v>0</v>
      </c>
      <c r="L211" s="250">
        <f>'4ª'!$J51</f>
        <v>0</v>
      </c>
      <c r="M211" s="362"/>
      <c r="N211" s="252">
        <f>'4ª'!$K51</f>
        <v>0</v>
      </c>
      <c r="O211" s="362"/>
      <c r="P211" s="253" t="s">
        <v>110</v>
      </c>
      <c r="Q211" s="415" t="s">
        <v>249</v>
      </c>
      <c r="R211" s="383">
        <f>'4ª'!$L51</f>
        <v>0</v>
      </c>
      <c r="S211" s="383">
        <f>'4ª'!$M51</f>
        <v>0</v>
      </c>
      <c r="T211" s="383">
        <f>'4ª'!$N51</f>
        <v>0</v>
      </c>
      <c r="U211" s="383">
        <f>'4ª'!$O51</f>
        <v>0</v>
      </c>
      <c r="V211" s="383">
        <f>'4ª'!$P51</f>
        <v>0</v>
      </c>
      <c r="W211" s="383">
        <f>'4ª'!$Q51</f>
        <v>0</v>
      </c>
      <c r="X211" s="383">
        <f>'4ª'!$R51</f>
        <v>0</v>
      </c>
      <c r="Y211" s="383">
        <f>'4ª'!$S51</f>
        <v>0</v>
      </c>
      <c r="Z211" s="384">
        <f>'4ª'!$T51</f>
        <v>0</v>
      </c>
      <c r="AA211" s="384">
        <f>'4ª'!$U51</f>
        <v>0</v>
      </c>
      <c r="AB211" s="385" t="s">
        <v>324</v>
      </c>
      <c r="AC211" s="385"/>
      <c r="AD211" s="435" t="s">
        <v>466</v>
      </c>
    </row>
    <row r="212" spans="1:30" ht="15.75" x14ac:dyDescent="0.25">
      <c r="A212" s="416" t="str">
        <f>RIGHT('[1]4ª'!$A$5:$D$5,12)</f>
        <v>4ª SÉRIE E.F</v>
      </c>
      <c r="B212" s="451">
        <v>46</v>
      </c>
      <c r="C212" s="248">
        <f>'4ª'!$B52</f>
        <v>0</v>
      </c>
      <c r="D212" s="362">
        <f>'4ª'!$C52</f>
        <v>0</v>
      </c>
      <c r="E212" s="249">
        <f>'4ª'!$D52</f>
        <v>0</v>
      </c>
      <c r="F212" s="249">
        <f>'4ª'!$E52</f>
        <v>0</v>
      </c>
      <c r="G212" s="250">
        <f>'4ª'!$F52</f>
        <v>0</v>
      </c>
      <c r="H212" s="362">
        <f>'4ª'!$G52</f>
        <v>0</v>
      </c>
      <c r="I212" s="251">
        <f>'4ª'!$H52</f>
        <v>0</v>
      </c>
      <c r="J212" s="362"/>
      <c r="K212" s="362">
        <f>'4ª'!$I52</f>
        <v>0</v>
      </c>
      <c r="L212" s="250">
        <f>'4ª'!$J52</f>
        <v>0</v>
      </c>
      <c r="M212" s="362"/>
      <c r="N212" s="252">
        <f>'4ª'!$K52</f>
        <v>0</v>
      </c>
      <c r="O212" s="362"/>
      <c r="P212" s="253" t="s">
        <v>110</v>
      </c>
      <c r="Q212" s="415" t="s">
        <v>249</v>
      </c>
      <c r="R212" s="383">
        <f>'4ª'!$L52</f>
        <v>0</v>
      </c>
      <c r="S212" s="383">
        <f>'4ª'!$M52</f>
        <v>0</v>
      </c>
      <c r="T212" s="383">
        <f>'4ª'!$N52</f>
        <v>0</v>
      </c>
      <c r="U212" s="383">
        <f>'4ª'!$O52</f>
        <v>0</v>
      </c>
      <c r="V212" s="383">
        <f>'4ª'!$P52</f>
        <v>0</v>
      </c>
      <c r="W212" s="383">
        <f>'4ª'!$Q52</f>
        <v>0</v>
      </c>
      <c r="X212" s="383">
        <f>'4ª'!$R52</f>
        <v>0</v>
      </c>
      <c r="Y212" s="383">
        <f>'4ª'!$S52</f>
        <v>0</v>
      </c>
      <c r="Z212" s="384">
        <f>'4ª'!$T52</f>
        <v>0</v>
      </c>
      <c r="AA212" s="384">
        <f>'4ª'!$U52</f>
        <v>0</v>
      </c>
      <c r="AB212" s="385" t="s">
        <v>324</v>
      </c>
      <c r="AC212" s="385"/>
      <c r="AD212" s="435" t="s">
        <v>466</v>
      </c>
    </row>
    <row r="213" spans="1:30" ht="15.75" x14ac:dyDescent="0.25">
      <c r="A213" s="416" t="str">
        <f>RIGHT('[1]4ª'!$A$5:$D$5,12)</f>
        <v>4ª SÉRIE E.F</v>
      </c>
      <c r="B213" s="451">
        <v>47</v>
      </c>
      <c r="C213" s="248">
        <f>'4ª'!$B53</f>
        <v>0</v>
      </c>
      <c r="D213" s="362">
        <f>'4ª'!$C53</f>
        <v>0</v>
      </c>
      <c r="E213" s="249">
        <f>'4ª'!$D53</f>
        <v>0</v>
      </c>
      <c r="F213" s="249">
        <f>'4ª'!$E53</f>
        <v>0</v>
      </c>
      <c r="G213" s="250">
        <f>'4ª'!$F53</f>
        <v>0</v>
      </c>
      <c r="H213" s="362">
        <f>'4ª'!$G53</f>
        <v>0</v>
      </c>
      <c r="I213" s="251">
        <f>'4ª'!$H53</f>
        <v>0</v>
      </c>
      <c r="J213" s="362"/>
      <c r="K213" s="362">
        <f>'4ª'!$I53</f>
        <v>0</v>
      </c>
      <c r="L213" s="250">
        <f>'4ª'!$J53</f>
        <v>0</v>
      </c>
      <c r="M213" s="362"/>
      <c r="N213" s="252">
        <f>'4ª'!$K53</f>
        <v>0</v>
      </c>
      <c r="O213" s="362"/>
      <c r="P213" s="253" t="s">
        <v>110</v>
      </c>
      <c r="Q213" s="415" t="s">
        <v>249</v>
      </c>
      <c r="R213" s="383">
        <f>'4ª'!$L53</f>
        <v>0</v>
      </c>
      <c r="S213" s="383">
        <f>'4ª'!$M53</f>
        <v>0</v>
      </c>
      <c r="T213" s="383">
        <f>'4ª'!$N53</f>
        <v>0</v>
      </c>
      <c r="U213" s="383">
        <f>'4ª'!$O53</f>
        <v>0</v>
      </c>
      <c r="V213" s="383">
        <f>'4ª'!$P53</f>
        <v>0</v>
      </c>
      <c r="W213" s="383">
        <f>'4ª'!$Q53</f>
        <v>0</v>
      </c>
      <c r="X213" s="383">
        <f>'4ª'!$R53</f>
        <v>0</v>
      </c>
      <c r="Y213" s="383">
        <f>'4ª'!$S53</f>
        <v>0</v>
      </c>
      <c r="Z213" s="384">
        <f>'4ª'!$T53</f>
        <v>0</v>
      </c>
      <c r="AA213" s="384">
        <f>'4ª'!$U53</f>
        <v>0</v>
      </c>
      <c r="AB213" s="385" t="s">
        <v>324</v>
      </c>
      <c r="AC213" s="385"/>
      <c r="AD213" s="435" t="s">
        <v>466</v>
      </c>
    </row>
    <row r="214" spans="1:30" ht="15.75" x14ac:dyDescent="0.25">
      <c r="A214" s="416" t="str">
        <f>RIGHT('[1]4ª'!$A$5:$D$5,12)</f>
        <v>4ª SÉRIE E.F</v>
      </c>
      <c r="B214" s="451">
        <v>48</v>
      </c>
      <c r="C214" s="248">
        <f>'4ª'!$B54</f>
        <v>0</v>
      </c>
      <c r="D214" s="362">
        <f>'4ª'!$C54</f>
        <v>0</v>
      </c>
      <c r="E214" s="249">
        <f>'4ª'!$D54</f>
        <v>0</v>
      </c>
      <c r="F214" s="249">
        <f>'4ª'!$E54</f>
        <v>0</v>
      </c>
      <c r="G214" s="250">
        <f>'4ª'!$F54</f>
        <v>0</v>
      </c>
      <c r="H214" s="362">
        <f>'4ª'!$G54</f>
        <v>0</v>
      </c>
      <c r="I214" s="251">
        <f>'4ª'!$H54</f>
        <v>0</v>
      </c>
      <c r="J214" s="362"/>
      <c r="K214" s="362">
        <f>'4ª'!$I54</f>
        <v>0</v>
      </c>
      <c r="L214" s="250">
        <f>'4ª'!$J54</f>
        <v>0</v>
      </c>
      <c r="M214" s="362"/>
      <c r="N214" s="252">
        <f>'4ª'!$K54</f>
        <v>0</v>
      </c>
      <c r="O214" s="362"/>
      <c r="P214" s="253" t="s">
        <v>110</v>
      </c>
      <c r="Q214" s="415" t="s">
        <v>249</v>
      </c>
      <c r="R214" s="383">
        <f>'4ª'!$L54</f>
        <v>0</v>
      </c>
      <c r="S214" s="383">
        <f>'4ª'!$M54</f>
        <v>0</v>
      </c>
      <c r="T214" s="383">
        <f>'4ª'!$N54</f>
        <v>0</v>
      </c>
      <c r="U214" s="383">
        <f>'4ª'!$O54</f>
        <v>0</v>
      </c>
      <c r="V214" s="383">
        <f>'4ª'!$P54</f>
        <v>0</v>
      </c>
      <c r="W214" s="383">
        <f>'4ª'!$Q54</f>
        <v>0</v>
      </c>
      <c r="X214" s="383">
        <f>'4ª'!$R54</f>
        <v>0</v>
      </c>
      <c r="Y214" s="383">
        <f>'4ª'!$S54</f>
        <v>0</v>
      </c>
      <c r="Z214" s="384">
        <f>'4ª'!$T54</f>
        <v>0</v>
      </c>
      <c r="AA214" s="384">
        <f>'4ª'!$U54</f>
        <v>0</v>
      </c>
      <c r="AB214" s="385" t="s">
        <v>324</v>
      </c>
      <c r="AC214" s="385"/>
      <c r="AD214" s="435" t="s">
        <v>466</v>
      </c>
    </row>
    <row r="215" spans="1:30" ht="15.75" x14ac:dyDescent="0.25">
      <c r="A215" s="416" t="str">
        <f>RIGHT('[1]4ª'!$A$5:$D$5,12)</f>
        <v>4ª SÉRIE E.F</v>
      </c>
      <c r="B215" s="451">
        <v>49</v>
      </c>
      <c r="C215" s="248">
        <f>'4ª'!$B55</f>
        <v>0</v>
      </c>
      <c r="D215" s="362">
        <f>'4ª'!$C55</f>
        <v>0</v>
      </c>
      <c r="E215" s="249">
        <f>'4ª'!$D55</f>
        <v>0</v>
      </c>
      <c r="F215" s="249">
        <f>'4ª'!$E55</f>
        <v>0</v>
      </c>
      <c r="G215" s="250">
        <f>'4ª'!$F55</f>
        <v>0</v>
      </c>
      <c r="H215" s="362">
        <f>'4ª'!$G55</f>
        <v>0</v>
      </c>
      <c r="I215" s="251">
        <f>'4ª'!$H55</f>
        <v>0</v>
      </c>
      <c r="J215" s="362"/>
      <c r="K215" s="362">
        <f>'4ª'!$I55</f>
        <v>0</v>
      </c>
      <c r="L215" s="250">
        <f>'4ª'!$J55</f>
        <v>0</v>
      </c>
      <c r="M215" s="362"/>
      <c r="N215" s="252">
        <f>'4ª'!$K55</f>
        <v>0</v>
      </c>
      <c r="O215" s="362"/>
      <c r="P215" s="253" t="s">
        <v>110</v>
      </c>
      <c r="Q215" s="415" t="s">
        <v>249</v>
      </c>
      <c r="R215" s="383">
        <f>'4ª'!$L55</f>
        <v>0</v>
      </c>
      <c r="S215" s="383">
        <f>'4ª'!$M55</f>
        <v>0</v>
      </c>
      <c r="T215" s="383">
        <f>'4ª'!$N55</f>
        <v>0</v>
      </c>
      <c r="U215" s="383">
        <f>'4ª'!$O55</f>
        <v>0</v>
      </c>
      <c r="V215" s="383">
        <f>'4ª'!$P55</f>
        <v>0</v>
      </c>
      <c r="W215" s="383">
        <f>'4ª'!$Q55</f>
        <v>0</v>
      </c>
      <c r="X215" s="383">
        <f>'4ª'!$R55</f>
        <v>0</v>
      </c>
      <c r="Y215" s="383">
        <f>'4ª'!$S55</f>
        <v>0</v>
      </c>
      <c r="Z215" s="384">
        <f>'4ª'!$T55</f>
        <v>0</v>
      </c>
      <c r="AA215" s="384">
        <f>'4ª'!$U55</f>
        <v>0</v>
      </c>
      <c r="AB215" s="385" t="s">
        <v>324</v>
      </c>
      <c r="AC215" s="385"/>
      <c r="AD215" s="435" t="s">
        <v>466</v>
      </c>
    </row>
    <row r="216" spans="1:30" ht="15.75" x14ac:dyDescent="0.25">
      <c r="A216" s="416" t="str">
        <f>RIGHT('[1]4ª'!$A$5:$D$5,12)</f>
        <v>4ª SÉRIE E.F</v>
      </c>
      <c r="B216" s="451">
        <v>50</v>
      </c>
      <c r="C216" s="248">
        <f>'4ª'!$B56</f>
        <v>0</v>
      </c>
      <c r="D216" s="362">
        <f>'4ª'!$C56</f>
        <v>0</v>
      </c>
      <c r="E216" s="249">
        <f>'4ª'!$D56</f>
        <v>0</v>
      </c>
      <c r="F216" s="249">
        <f>'4ª'!$E56</f>
        <v>0</v>
      </c>
      <c r="G216" s="250">
        <f>'4ª'!$F56</f>
        <v>0</v>
      </c>
      <c r="H216" s="362">
        <f>'4ª'!$G56</f>
        <v>0</v>
      </c>
      <c r="I216" s="251">
        <f>'4ª'!$H56</f>
        <v>0</v>
      </c>
      <c r="J216" s="362"/>
      <c r="K216" s="362">
        <f>'4ª'!$I56</f>
        <v>0</v>
      </c>
      <c r="L216" s="250">
        <f>'4ª'!$J56</f>
        <v>0</v>
      </c>
      <c r="M216" s="362"/>
      <c r="N216" s="252">
        <f>'4ª'!$K56</f>
        <v>0</v>
      </c>
      <c r="O216" s="362"/>
      <c r="P216" s="253" t="s">
        <v>110</v>
      </c>
      <c r="Q216" s="415" t="s">
        <v>249</v>
      </c>
      <c r="R216" s="383">
        <f>'4ª'!$L56</f>
        <v>0</v>
      </c>
      <c r="S216" s="383">
        <f>'4ª'!$M56</f>
        <v>0</v>
      </c>
      <c r="T216" s="383">
        <f>'4ª'!$N56</f>
        <v>0</v>
      </c>
      <c r="U216" s="383">
        <f>'4ª'!$O56</f>
        <v>0</v>
      </c>
      <c r="V216" s="383">
        <f>'4ª'!$P56</f>
        <v>0</v>
      </c>
      <c r="W216" s="383">
        <f>'4ª'!$Q56</f>
        <v>0</v>
      </c>
      <c r="X216" s="383">
        <f>'4ª'!$R56</f>
        <v>0</v>
      </c>
      <c r="Y216" s="383">
        <f>'4ª'!$S56</f>
        <v>0</v>
      </c>
      <c r="Z216" s="384">
        <f>'4ª'!$T56</f>
        <v>0</v>
      </c>
      <c r="AA216" s="384">
        <f>'4ª'!$U56</f>
        <v>0</v>
      </c>
      <c r="AB216" s="385" t="s">
        <v>324</v>
      </c>
      <c r="AC216" s="385"/>
      <c r="AD216" s="435" t="s">
        <v>466</v>
      </c>
    </row>
    <row r="217" spans="1:30" ht="15.75" x14ac:dyDescent="0.25">
      <c r="A217" s="416" t="str">
        <f>RIGHT('[1]4ª'!$A$5:$D$5,12)</f>
        <v>4ª SÉRIE E.F</v>
      </c>
      <c r="B217" s="451">
        <v>51</v>
      </c>
      <c r="C217" s="248">
        <f>'4ª'!$B57</f>
        <v>0</v>
      </c>
      <c r="D217" s="362">
        <f>'4ª'!$C57</f>
        <v>0</v>
      </c>
      <c r="E217" s="249">
        <f>'4ª'!$D57</f>
        <v>0</v>
      </c>
      <c r="F217" s="249">
        <f>'4ª'!$E57</f>
        <v>0</v>
      </c>
      <c r="G217" s="250">
        <f>'4ª'!$F57</f>
        <v>0</v>
      </c>
      <c r="H217" s="362">
        <f>'4ª'!$G57</f>
        <v>0</v>
      </c>
      <c r="I217" s="251">
        <f>'4ª'!$H57</f>
        <v>0</v>
      </c>
      <c r="J217" s="362"/>
      <c r="K217" s="362">
        <f>'4ª'!$I57</f>
        <v>0</v>
      </c>
      <c r="L217" s="250">
        <f>'4ª'!$J57</f>
        <v>0</v>
      </c>
      <c r="M217" s="362"/>
      <c r="N217" s="252">
        <f>'4ª'!$K57</f>
        <v>0</v>
      </c>
      <c r="O217" s="362"/>
      <c r="P217" s="253" t="s">
        <v>110</v>
      </c>
      <c r="Q217" s="415" t="s">
        <v>249</v>
      </c>
      <c r="R217" s="383">
        <f>'4ª'!$L57</f>
        <v>0</v>
      </c>
      <c r="S217" s="383">
        <f>'4ª'!$M57</f>
        <v>0</v>
      </c>
      <c r="T217" s="383">
        <f>'4ª'!$N57</f>
        <v>0</v>
      </c>
      <c r="U217" s="383">
        <f>'4ª'!$O57</f>
        <v>0</v>
      </c>
      <c r="V217" s="383">
        <f>'4ª'!$P57</f>
        <v>0</v>
      </c>
      <c r="W217" s="383">
        <f>'4ª'!$Q57</f>
        <v>0</v>
      </c>
      <c r="X217" s="383">
        <f>'4ª'!$R57</f>
        <v>0</v>
      </c>
      <c r="Y217" s="383">
        <f>'4ª'!$S57</f>
        <v>0</v>
      </c>
      <c r="Z217" s="384">
        <f>'4ª'!$T57</f>
        <v>0</v>
      </c>
      <c r="AA217" s="384">
        <f>'4ª'!$U57</f>
        <v>0</v>
      </c>
      <c r="AB217" s="385" t="s">
        <v>324</v>
      </c>
      <c r="AC217" s="385"/>
      <c r="AD217" s="435" t="s">
        <v>466</v>
      </c>
    </row>
    <row r="218" spans="1:30" ht="15.75" x14ac:dyDescent="0.25">
      <c r="A218" s="416" t="str">
        <f>RIGHT('[1]4ª'!$A$5:$D$5,12)</f>
        <v>4ª SÉRIE E.F</v>
      </c>
      <c r="B218" s="451">
        <v>52</v>
      </c>
      <c r="C218" s="248">
        <f>'4ª'!$B58</f>
        <v>0</v>
      </c>
      <c r="D218" s="362">
        <f>'4ª'!$C58</f>
        <v>0</v>
      </c>
      <c r="E218" s="249">
        <f>'4ª'!$D58</f>
        <v>0</v>
      </c>
      <c r="F218" s="249">
        <f>'4ª'!$E58</f>
        <v>0</v>
      </c>
      <c r="G218" s="250">
        <f>'4ª'!$F58</f>
        <v>0</v>
      </c>
      <c r="H218" s="362">
        <f>'4ª'!$G58</f>
        <v>0</v>
      </c>
      <c r="I218" s="251">
        <f>'4ª'!$H58</f>
        <v>0</v>
      </c>
      <c r="J218" s="362"/>
      <c r="K218" s="362">
        <f>'4ª'!$I58</f>
        <v>0</v>
      </c>
      <c r="L218" s="250">
        <f>'4ª'!$J58</f>
        <v>0</v>
      </c>
      <c r="M218" s="362"/>
      <c r="N218" s="252">
        <f>'4ª'!$K58</f>
        <v>0</v>
      </c>
      <c r="O218" s="362"/>
      <c r="P218" s="253" t="s">
        <v>110</v>
      </c>
      <c r="Q218" s="415" t="s">
        <v>249</v>
      </c>
      <c r="R218" s="383">
        <f>'4ª'!$L58</f>
        <v>0</v>
      </c>
      <c r="S218" s="383">
        <f>'4ª'!$M58</f>
        <v>0</v>
      </c>
      <c r="T218" s="383">
        <f>'4ª'!$N58</f>
        <v>0</v>
      </c>
      <c r="U218" s="383">
        <f>'4ª'!$O58</f>
        <v>0</v>
      </c>
      <c r="V218" s="383">
        <f>'4ª'!$P58</f>
        <v>0</v>
      </c>
      <c r="W218" s="383">
        <f>'4ª'!$Q58</f>
        <v>0</v>
      </c>
      <c r="X218" s="383">
        <f>'4ª'!$R58</f>
        <v>0</v>
      </c>
      <c r="Y218" s="383">
        <f>'4ª'!$S58</f>
        <v>0</v>
      </c>
      <c r="Z218" s="384">
        <f>'4ª'!$T58</f>
        <v>0</v>
      </c>
      <c r="AA218" s="384">
        <f>'4ª'!$U58</f>
        <v>0</v>
      </c>
      <c r="AB218" s="385" t="s">
        <v>324</v>
      </c>
      <c r="AC218" s="385"/>
      <c r="AD218" s="435" t="s">
        <v>466</v>
      </c>
    </row>
    <row r="219" spans="1:30" ht="15.75" x14ac:dyDescent="0.25">
      <c r="A219" s="416" t="str">
        <f>RIGHT('[1]4ª'!$A$5:$D$5,12)</f>
        <v>4ª SÉRIE E.F</v>
      </c>
      <c r="B219" s="451">
        <v>53</v>
      </c>
      <c r="C219" s="248">
        <f>'4ª'!$B59</f>
        <v>0</v>
      </c>
      <c r="D219" s="362">
        <f>'4ª'!$C59</f>
        <v>0</v>
      </c>
      <c r="E219" s="249">
        <f>'4ª'!$D59</f>
        <v>0</v>
      </c>
      <c r="F219" s="249">
        <f>'4ª'!$E59</f>
        <v>0</v>
      </c>
      <c r="G219" s="250">
        <f>'4ª'!$F59</f>
        <v>0</v>
      </c>
      <c r="H219" s="362">
        <f>'4ª'!$G59</f>
        <v>0</v>
      </c>
      <c r="I219" s="251">
        <f>'4ª'!$H59</f>
        <v>0</v>
      </c>
      <c r="J219" s="362"/>
      <c r="K219" s="362">
        <f>'4ª'!$I59</f>
        <v>0</v>
      </c>
      <c r="L219" s="250">
        <f>'4ª'!$J59</f>
        <v>0</v>
      </c>
      <c r="M219" s="362"/>
      <c r="N219" s="252">
        <f>'4ª'!$K59</f>
        <v>0</v>
      </c>
      <c r="O219" s="362"/>
      <c r="P219" s="253" t="s">
        <v>110</v>
      </c>
      <c r="Q219" s="415" t="s">
        <v>249</v>
      </c>
      <c r="R219" s="383">
        <f>'4ª'!$L59</f>
        <v>0</v>
      </c>
      <c r="S219" s="383">
        <f>'4ª'!$M59</f>
        <v>0</v>
      </c>
      <c r="T219" s="383">
        <f>'4ª'!$N59</f>
        <v>0</v>
      </c>
      <c r="U219" s="383">
        <f>'4ª'!$O59</f>
        <v>0</v>
      </c>
      <c r="V219" s="383">
        <f>'4ª'!$P59</f>
        <v>0</v>
      </c>
      <c r="W219" s="383">
        <f>'4ª'!$Q59</f>
        <v>0</v>
      </c>
      <c r="X219" s="383">
        <f>'4ª'!$R59</f>
        <v>0</v>
      </c>
      <c r="Y219" s="383">
        <f>'4ª'!$S59</f>
        <v>0</v>
      </c>
      <c r="Z219" s="384">
        <f>'4ª'!$T59</f>
        <v>0</v>
      </c>
      <c r="AA219" s="384">
        <f>'4ª'!$U59</f>
        <v>0</v>
      </c>
      <c r="AB219" s="385" t="s">
        <v>324</v>
      </c>
      <c r="AC219" s="385"/>
      <c r="AD219" s="435" t="s">
        <v>466</v>
      </c>
    </row>
    <row r="220" spans="1:30" ht="15.75" x14ac:dyDescent="0.25">
      <c r="A220" s="416" t="str">
        <f>RIGHT('[1]4ª'!$A$5:$D$5,12)</f>
        <v>4ª SÉRIE E.F</v>
      </c>
      <c r="B220" s="451">
        <v>54</v>
      </c>
      <c r="C220" s="248">
        <f>'4ª'!$B60</f>
        <v>0</v>
      </c>
      <c r="D220" s="362">
        <f>'4ª'!$C60</f>
        <v>0</v>
      </c>
      <c r="E220" s="249">
        <f>'4ª'!$D60</f>
        <v>0</v>
      </c>
      <c r="F220" s="249">
        <f>'4ª'!$E60</f>
        <v>0</v>
      </c>
      <c r="G220" s="250">
        <f>'4ª'!$F60</f>
        <v>0</v>
      </c>
      <c r="H220" s="362">
        <f>'4ª'!$G60</f>
        <v>0</v>
      </c>
      <c r="I220" s="251">
        <f>'4ª'!$H60</f>
        <v>0</v>
      </c>
      <c r="J220" s="362"/>
      <c r="K220" s="362">
        <f>'4ª'!$I60</f>
        <v>0</v>
      </c>
      <c r="L220" s="250">
        <f>'4ª'!$J60</f>
        <v>0</v>
      </c>
      <c r="M220" s="362"/>
      <c r="N220" s="252">
        <f>'4ª'!$K60</f>
        <v>0</v>
      </c>
      <c r="O220" s="362"/>
      <c r="P220" s="253" t="s">
        <v>110</v>
      </c>
      <c r="Q220" s="415" t="s">
        <v>249</v>
      </c>
      <c r="R220" s="383">
        <f>'4ª'!$L60</f>
        <v>0</v>
      </c>
      <c r="S220" s="383">
        <f>'4ª'!$M60</f>
        <v>0</v>
      </c>
      <c r="T220" s="383">
        <f>'4ª'!$N60</f>
        <v>0</v>
      </c>
      <c r="U220" s="383">
        <f>'4ª'!$O60</f>
        <v>0</v>
      </c>
      <c r="V220" s="383">
        <f>'4ª'!$P60</f>
        <v>0</v>
      </c>
      <c r="W220" s="383">
        <f>'4ª'!$Q60</f>
        <v>0</v>
      </c>
      <c r="X220" s="383">
        <f>'4ª'!$R60</f>
        <v>0</v>
      </c>
      <c r="Y220" s="383">
        <f>'4ª'!$S60</f>
        <v>0</v>
      </c>
      <c r="Z220" s="384">
        <f>'4ª'!$T60</f>
        <v>0</v>
      </c>
      <c r="AA220" s="384">
        <f>'4ª'!$U60</f>
        <v>0</v>
      </c>
      <c r="AB220" s="385" t="s">
        <v>324</v>
      </c>
      <c r="AC220" s="385"/>
      <c r="AD220" s="435" t="s">
        <v>466</v>
      </c>
    </row>
    <row r="221" spans="1:30" ht="15.75" x14ac:dyDescent="0.25">
      <c r="A221" s="416" t="str">
        <f>RIGHT('[1]4ª'!$A$5:$D$5,12)</f>
        <v>4ª SÉRIE E.F</v>
      </c>
      <c r="B221" s="451">
        <v>55</v>
      </c>
      <c r="C221" s="248">
        <f>'4ª'!$B61</f>
        <v>0</v>
      </c>
      <c r="D221" s="362">
        <f>'4ª'!$C61</f>
        <v>0</v>
      </c>
      <c r="E221" s="249">
        <f>'4ª'!$D61</f>
        <v>0</v>
      </c>
      <c r="F221" s="249">
        <f>'4ª'!$E61</f>
        <v>0</v>
      </c>
      <c r="G221" s="250">
        <f>'4ª'!$F61</f>
        <v>0</v>
      </c>
      <c r="H221" s="362">
        <f>'4ª'!$G61</f>
        <v>0</v>
      </c>
      <c r="I221" s="251">
        <f>'4ª'!$H61</f>
        <v>0</v>
      </c>
      <c r="J221" s="362"/>
      <c r="K221" s="362">
        <f>'4ª'!$I61</f>
        <v>0</v>
      </c>
      <c r="L221" s="250">
        <f>'4ª'!$J61</f>
        <v>0</v>
      </c>
      <c r="M221" s="362"/>
      <c r="N221" s="252">
        <f>'4ª'!$K61</f>
        <v>0</v>
      </c>
      <c r="O221" s="362"/>
      <c r="P221" s="253" t="s">
        <v>110</v>
      </c>
      <c r="Q221" s="415" t="s">
        <v>249</v>
      </c>
      <c r="R221" s="383">
        <f>'4ª'!$L61</f>
        <v>0</v>
      </c>
      <c r="S221" s="383">
        <f>'4ª'!$M61</f>
        <v>0</v>
      </c>
      <c r="T221" s="383">
        <f>'4ª'!$N61</f>
        <v>0</v>
      </c>
      <c r="U221" s="383">
        <f>'4ª'!$O61</f>
        <v>0</v>
      </c>
      <c r="V221" s="383">
        <f>'4ª'!$P61</f>
        <v>0</v>
      </c>
      <c r="W221" s="383">
        <f>'4ª'!$Q61</f>
        <v>0</v>
      </c>
      <c r="X221" s="383">
        <f>'4ª'!$R61</f>
        <v>0</v>
      </c>
      <c r="Y221" s="383">
        <f>'4ª'!$S61</f>
        <v>0</v>
      </c>
      <c r="Z221" s="384">
        <f>'4ª'!$T61</f>
        <v>0</v>
      </c>
      <c r="AA221" s="384">
        <f>'4ª'!$U61</f>
        <v>0</v>
      </c>
      <c r="AB221" s="385" t="s">
        <v>324</v>
      </c>
      <c r="AC221" s="385"/>
      <c r="AD221" s="435" t="s">
        <v>466</v>
      </c>
    </row>
    <row r="222" spans="1:30" s="446" customFormat="1" ht="15.75" x14ac:dyDescent="0.25">
      <c r="A222" s="387" t="str">
        <f>RIGHT('[1]5ª'!$A$5:$D$5,12)</f>
        <v>5ª SÉRIE E.F</v>
      </c>
      <c r="B222" s="388">
        <v>1</v>
      </c>
      <c r="C222" s="389">
        <f>'5ª'!$B7</f>
        <v>18834</v>
      </c>
      <c r="D222" s="390" t="str">
        <f>'5ª'!$C7</f>
        <v>ELISANGELA DA SILVA SIMOES</v>
      </c>
      <c r="E222" s="391" t="str">
        <f>'5ª'!$D7</f>
        <v>F</v>
      </c>
      <c r="F222" s="391" t="str">
        <f>'5ª'!$E7</f>
        <v>MA</v>
      </c>
      <c r="G222" s="392">
        <f>'5ª'!$F7</f>
        <v>29038</v>
      </c>
      <c r="H222" s="390">
        <f>'5ª'!$G7</f>
        <v>0</v>
      </c>
      <c r="I222" s="401" t="str">
        <f>'5ª'!$H7</f>
        <v>36042775-3</v>
      </c>
      <c r="J222" s="390"/>
      <c r="K222" s="390">
        <f>'5ª'!$I7</f>
        <v>0</v>
      </c>
      <c r="L222" s="392" t="str">
        <f ca="1">'5ª'!$J7</f>
        <v>DISP.IDADE</v>
      </c>
      <c r="M222" s="390"/>
      <c r="N222" s="394">
        <f ca="1">'5ª'!$K7</f>
        <v>46</v>
      </c>
      <c r="O222" s="390"/>
      <c r="P222" s="395" t="s">
        <v>110</v>
      </c>
      <c r="Q222" s="396" t="s">
        <v>250</v>
      </c>
      <c r="R222" s="397" t="str">
        <f>'5ª'!$L7</f>
        <v>Não</v>
      </c>
      <c r="S222" s="397" t="str">
        <f>'5ª'!$M7</f>
        <v>-</v>
      </c>
      <c r="T222" s="397" t="str">
        <f>'5ª'!$N7</f>
        <v>-</v>
      </c>
      <c r="U222" s="397" t="str">
        <f>'5ª'!$O7</f>
        <v>-</v>
      </c>
      <c r="V222" s="397" t="str">
        <f>'5ª'!$P7</f>
        <v>-</v>
      </c>
      <c r="W222" s="397" t="str">
        <f>'5ª'!$Q7</f>
        <v>-</v>
      </c>
      <c r="X222" s="397" t="str">
        <f>'5ª'!$R7</f>
        <v>-</v>
      </c>
      <c r="Y222" s="397" t="str">
        <f>'5ª'!$S7</f>
        <v>-</v>
      </c>
      <c r="Z222" s="398">
        <f>'5ª'!$T7</f>
        <v>0</v>
      </c>
      <c r="AA222" s="398">
        <f>'5ª'!$U7</f>
        <v>0</v>
      </c>
      <c r="AB222" s="399" t="s">
        <v>325</v>
      </c>
      <c r="AC222" s="399"/>
      <c r="AD222" s="435" t="s">
        <v>466</v>
      </c>
    </row>
    <row r="223" spans="1:30" ht="15.75" x14ac:dyDescent="0.25">
      <c r="A223" s="416" t="str">
        <f>RIGHT('[1]5ª'!$A$5:$D$5,12)</f>
        <v>5ª SÉRIE E.F</v>
      </c>
      <c r="B223" s="451">
        <v>2</v>
      </c>
      <c r="C223" s="248">
        <f>'5ª'!$B8</f>
        <v>18147</v>
      </c>
      <c r="D223" s="362" t="str">
        <f>'5ª'!$C8</f>
        <v>GILBERTO SOUZA DOS SANTOS</v>
      </c>
      <c r="E223" s="249" t="str">
        <f>'5ª'!$D8</f>
        <v>M</v>
      </c>
      <c r="F223" s="249" t="str">
        <f>'5ª'!$E8</f>
        <v>MA</v>
      </c>
      <c r="G223" s="250">
        <f>'5ª'!$F8</f>
        <v>28241</v>
      </c>
      <c r="H223" s="362">
        <f>'5ª'!$G8</f>
        <v>0</v>
      </c>
      <c r="I223" s="251" t="str">
        <f>'5ª'!$H8</f>
        <v>86770586-8</v>
      </c>
      <c r="J223" s="362"/>
      <c r="K223" s="362">
        <f>'5ª'!$I8</f>
        <v>0</v>
      </c>
      <c r="L223" s="250" t="str">
        <f ca="1">'5ª'!$J8</f>
        <v>DISP.IDADE</v>
      </c>
      <c r="M223" s="362"/>
      <c r="N223" s="252">
        <f ca="1">'5ª'!$K8</f>
        <v>48</v>
      </c>
      <c r="O223" s="362"/>
      <c r="P223" s="253" t="s">
        <v>110</v>
      </c>
      <c r="Q223" s="415" t="s">
        <v>250</v>
      </c>
      <c r="R223" s="383" t="str">
        <f>'5ª'!$L8</f>
        <v>Não</v>
      </c>
      <c r="S223" s="383" t="str">
        <f>'5ª'!$M8</f>
        <v>-</v>
      </c>
      <c r="T223" s="383" t="str">
        <f>'5ª'!$N8</f>
        <v>-</v>
      </c>
      <c r="U223" s="383" t="str">
        <f>'5ª'!$O8</f>
        <v>-</v>
      </c>
      <c r="V223" s="383" t="str">
        <f>'5ª'!$P8</f>
        <v>-</v>
      </c>
      <c r="W223" s="383" t="str">
        <f>'5ª'!$Q8</f>
        <v>-</v>
      </c>
      <c r="X223" s="383" t="str">
        <f>'5ª'!$R8</f>
        <v>-</v>
      </c>
      <c r="Y223" s="383" t="str">
        <f>'5ª'!$S8</f>
        <v>-</v>
      </c>
      <c r="Z223" s="384">
        <f>'5ª'!$T8</f>
        <v>0</v>
      </c>
      <c r="AA223" s="384">
        <f>'5ª'!$U8</f>
        <v>0</v>
      </c>
      <c r="AB223" s="385" t="s">
        <v>325</v>
      </c>
      <c r="AC223" s="385"/>
      <c r="AD223" s="435" t="s">
        <v>466</v>
      </c>
    </row>
    <row r="224" spans="1:30" ht="15.75" x14ac:dyDescent="0.25">
      <c r="A224" s="416" t="str">
        <f>RIGHT('[1]5ª'!$A$5:$D$5,12)</f>
        <v>5ª SÉRIE E.F</v>
      </c>
      <c r="B224" s="451">
        <v>3</v>
      </c>
      <c r="C224" s="248">
        <f>'5ª'!$B9</f>
        <v>18902</v>
      </c>
      <c r="D224" s="362" t="str">
        <f>'5ª'!$C9</f>
        <v>LUCILIA VICENTE</v>
      </c>
      <c r="E224" s="249" t="str">
        <f>'5ª'!$D9</f>
        <v>F</v>
      </c>
      <c r="F224" s="249" t="str">
        <f>'5ª'!$E9</f>
        <v>MA</v>
      </c>
      <c r="G224" s="250">
        <f>'5ª'!$F9</f>
        <v>22352</v>
      </c>
      <c r="H224" s="362">
        <f>'5ª'!$G9</f>
        <v>0</v>
      </c>
      <c r="I224" s="251" t="str">
        <f>'5ª'!$H9</f>
        <v>18062032-0</v>
      </c>
      <c r="J224" s="362"/>
      <c r="K224" s="362">
        <f>'5ª'!$I9</f>
        <v>0</v>
      </c>
      <c r="L224" s="250" t="str">
        <f ca="1">'5ª'!$J9</f>
        <v>DISP.IDADE</v>
      </c>
      <c r="M224" s="362"/>
      <c r="N224" s="252">
        <f ca="1">'5ª'!$K9</f>
        <v>64</v>
      </c>
      <c r="O224" s="362"/>
      <c r="P224" s="253" t="s">
        <v>110</v>
      </c>
      <c r="Q224" s="415" t="s">
        <v>250</v>
      </c>
      <c r="R224" s="383" t="str">
        <f>'5ª'!$L9</f>
        <v>Não</v>
      </c>
      <c r="S224" s="383" t="str">
        <f>'5ª'!$M9</f>
        <v>-</v>
      </c>
      <c r="T224" s="383" t="str">
        <f>'5ª'!$N9</f>
        <v>-</v>
      </c>
      <c r="U224" s="383" t="str">
        <f>'5ª'!$O9</f>
        <v>-</v>
      </c>
      <c r="V224" s="383" t="str">
        <f>'5ª'!$P9</f>
        <v>-</v>
      </c>
      <c r="W224" s="383" t="str">
        <f>'5ª'!$Q9</f>
        <v>-</v>
      </c>
      <c r="X224" s="383" t="str">
        <f>'5ª'!$R9</f>
        <v>-</v>
      </c>
      <c r="Y224" s="383" t="str">
        <f>'5ª'!$S9</f>
        <v>-</v>
      </c>
      <c r="Z224" s="384">
        <f>'5ª'!$T9</f>
        <v>0</v>
      </c>
      <c r="AA224" s="384">
        <f>'5ª'!$U9</f>
        <v>0</v>
      </c>
      <c r="AB224" s="385" t="s">
        <v>325</v>
      </c>
      <c r="AC224" s="385"/>
      <c r="AD224" s="435" t="s">
        <v>466</v>
      </c>
    </row>
    <row r="225" spans="1:30" ht="15.75" x14ac:dyDescent="0.25">
      <c r="A225" s="416" t="str">
        <f>RIGHT('[1]5ª'!$A$5:$D$5,12)</f>
        <v>5ª SÉRIE E.F</v>
      </c>
      <c r="B225" s="451">
        <v>4</v>
      </c>
      <c r="C225" s="248">
        <f>'4ª'!$B18</f>
        <v>18745</v>
      </c>
      <c r="D225" s="362" t="str">
        <f>'4ª'!$C18</f>
        <v>VERA LUCIA BATISTA</v>
      </c>
      <c r="E225" s="249" t="str">
        <f>'4ª'!$D18</f>
        <v>F</v>
      </c>
      <c r="F225" s="249" t="str">
        <f>'4ª'!$E18</f>
        <v>MA</v>
      </c>
      <c r="G225" s="250">
        <f>'4ª'!$F18</f>
        <v>20637</v>
      </c>
      <c r="H225" s="362">
        <f>'4ª'!$G18</f>
        <v>0</v>
      </c>
      <c r="I225" s="251" t="str">
        <f>'4ª'!$H18</f>
        <v>12637069-2</v>
      </c>
      <c r="J225" s="362"/>
      <c r="K225" s="362">
        <f>'4ª'!$I18</f>
        <v>0</v>
      </c>
      <c r="L225" s="250" t="str">
        <f ca="1">'4ª'!$J18</f>
        <v>DISP.IDADE</v>
      </c>
      <c r="M225" s="362"/>
      <c r="N225" s="252">
        <f ca="1">'4ª'!$K18</f>
        <v>69</v>
      </c>
      <c r="O225" s="362"/>
      <c r="P225" s="253" t="s">
        <v>110</v>
      </c>
      <c r="Q225" s="415" t="s">
        <v>250</v>
      </c>
      <c r="R225" s="383" t="str">
        <f>'4ª'!$L18</f>
        <v>Não</v>
      </c>
      <c r="S225" s="383" t="str">
        <f>'4ª'!$M18</f>
        <v>Eliane</v>
      </c>
      <c r="T225" s="383" t="str">
        <f>'4ª'!$N18</f>
        <v>-</v>
      </c>
      <c r="U225" s="383" t="str">
        <f>'4ª'!$O18</f>
        <v>-</v>
      </c>
      <c r="V225" s="383" t="str">
        <f>'4ª'!$P18</f>
        <v>-</v>
      </c>
      <c r="W225" s="383" t="str">
        <f>'4ª'!$Q18</f>
        <v>-</v>
      </c>
      <c r="X225" s="383" t="str">
        <f>'4ª'!$R18</f>
        <v>-</v>
      </c>
      <c r="Y225" s="383" t="str">
        <f>'4ª'!$S18</f>
        <v>-</v>
      </c>
      <c r="Z225" s="384">
        <f>'4ª'!$T18</f>
        <v>0</v>
      </c>
      <c r="AA225" s="384">
        <f>'4ª'!$U18</f>
        <v>0</v>
      </c>
      <c r="AB225" s="385" t="s">
        <v>325</v>
      </c>
      <c r="AC225" s="385"/>
      <c r="AD225" s="435" t="s">
        <v>466</v>
      </c>
    </row>
    <row r="226" spans="1:30" ht="15.75" x14ac:dyDescent="0.25">
      <c r="A226" s="416" t="str">
        <f>RIGHT('[1]5ª'!$A$5:$D$5,12)</f>
        <v>5ª SÉRIE E.F</v>
      </c>
      <c r="B226" s="451">
        <v>5</v>
      </c>
      <c r="C226" s="248">
        <f>'5ª'!$B10</f>
        <v>17641</v>
      </c>
      <c r="D226" s="362" t="str">
        <f>'5ª'!$C10</f>
        <v>NAISA DO NASCIMENTO SILVA</v>
      </c>
      <c r="E226" s="249" t="str">
        <f>'5ª'!$D10</f>
        <v>F</v>
      </c>
      <c r="F226" s="249" t="str">
        <f>'5ª'!$E10</f>
        <v>MA</v>
      </c>
      <c r="G226" s="250">
        <f>'5ª'!$F10</f>
        <v>26744</v>
      </c>
      <c r="H226" s="362">
        <f>'5ª'!$G10</f>
        <v>0</v>
      </c>
      <c r="I226" s="251" t="str">
        <f>'5ª'!$H10</f>
        <v>38574581-3</v>
      </c>
      <c r="J226" s="362"/>
      <c r="K226" s="362">
        <f>'5ª'!$I10</f>
        <v>0</v>
      </c>
      <c r="L226" s="250" t="str">
        <f ca="1">'5ª'!$J10</f>
        <v>DISP.IDADE</v>
      </c>
      <c r="M226" s="362"/>
      <c r="N226" s="252">
        <f ca="1">'5ª'!$K10</f>
        <v>52</v>
      </c>
      <c r="O226" s="362"/>
      <c r="P226" s="253" t="s">
        <v>110</v>
      </c>
      <c r="Q226" s="415" t="s">
        <v>250</v>
      </c>
      <c r="R226" s="383" t="str">
        <f>'5ª'!$L10</f>
        <v>Não</v>
      </c>
      <c r="S226" s="383" t="str">
        <f>'5ª'!$M10</f>
        <v>-</v>
      </c>
      <c r="T226" s="383" t="str">
        <f>'5ª'!$N10</f>
        <v>-</v>
      </c>
      <c r="U226" s="383" t="str">
        <f>'5ª'!$O10</f>
        <v>-</v>
      </c>
      <c r="V226" s="383" t="str">
        <f>'5ª'!$P10</f>
        <v>-</v>
      </c>
      <c r="W226" s="383" t="str">
        <f>'5ª'!$Q10</f>
        <v>-</v>
      </c>
      <c r="X226" s="383" t="str">
        <f>'5ª'!$R10</f>
        <v>-</v>
      </c>
      <c r="Y226" s="383" t="str">
        <f>'5ª'!$S10</f>
        <v>-</v>
      </c>
      <c r="Z226" s="384">
        <f>'5ª'!$T10</f>
        <v>0</v>
      </c>
      <c r="AA226" s="384">
        <f>'5ª'!$U10</f>
        <v>0</v>
      </c>
      <c r="AB226" s="385" t="s">
        <v>325</v>
      </c>
      <c r="AC226" s="385"/>
      <c r="AD226" s="435" t="s">
        <v>466</v>
      </c>
    </row>
    <row r="227" spans="1:30" ht="15.75" x14ac:dyDescent="0.25">
      <c r="A227" s="416" t="str">
        <f>RIGHT('[1]5ª'!$A$5:$D$5,12)</f>
        <v>5ª SÉRIE E.F</v>
      </c>
      <c r="B227" s="451">
        <v>6</v>
      </c>
      <c r="C227" s="248">
        <f>'5ª'!$B11</f>
        <v>18314</v>
      </c>
      <c r="D227" s="362" t="str">
        <f>'5ª'!$C11</f>
        <v>ZUDILVA DOS SANTOS ALVES</v>
      </c>
      <c r="E227" s="249" t="str">
        <f>'5ª'!$D11</f>
        <v>F</v>
      </c>
      <c r="F227" s="249" t="str">
        <f>'5ª'!$E11</f>
        <v>MC</v>
      </c>
      <c r="G227" s="250">
        <f>'5ª'!$F11</f>
        <v>20988</v>
      </c>
      <c r="H227" s="362" t="str">
        <f>'5ª'!$G11</f>
        <v>14124550-5</v>
      </c>
      <c r="I227" s="251">
        <f>'5ª'!$H11</f>
        <v>14124550</v>
      </c>
      <c r="J227" s="362"/>
      <c r="K227" s="362" t="str">
        <f>'5ª'!$I11</f>
        <v>MC 19/08</v>
      </c>
      <c r="L227" s="250" t="str">
        <f ca="1">'5ª'!$J11</f>
        <v>DISP.IDADE</v>
      </c>
      <c r="M227" s="362"/>
      <c r="N227" s="252">
        <f ca="1">'5ª'!$K11</f>
        <v>68</v>
      </c>
      <c r="O227" s="362"/>
      <c r="P227" s="253" t="s">
        <v>110</v>
      </c>
      <c r="Q227" s="415" t="s">
        <v>250</v>
      </c>
      <c r="R227" s="383" t="str">
        <f>'5ª'!$L11</f>
        <v>Não</v>
      </c>
      <c r="S227" s="383" t="str">
        <f>'5ª'!$M11</f>
        <v>-</v>
      </c>
      <c r="T227" s="383" t="str">
        <f>'5ª'!$N11</f>
        <v>-</v>
      </c>
      <c r="U227" s="383" t="str">
        <f>'5ª'!$O11</f>
        <v>-</v>
      </c>
      <c r="V227" s="383" t="str">
        <f>'5ª'!$P11</f>
        <v>-</v>
      </c>
      <c r="W227" s="383" t="str">
        <f>'5ª'!$Q11</f>
        <v>-</v>
      </c>
      <c r="X227" s="383" t="str">
        <f>'5ª'!$R11</f>
        <v>-</v>
      </c>
      <c r="Y227" s="383" t="str">
        <f>'5ª'!$S11</f>
        <v>-</v>
      </c>
      <c r="Z227" s="384" t="str">
        <f>'5ª'!$T11</f>
        <v>Sem Informação</v>
      </c>
      <c r="AA227" s="384" t="str">
        <f>'5ª'!$U11</f>
        <v>MC por Solicitação do Responsavel</v>
      </c>
      <c r="AB227" s="385" t="s">
        <v>325</v>
      </c>
      <c r="AC227" s="385"/>
      <c r="AD227" s="435" t="s">
        <v>466</v>
      </c>
    </row>
    <row r="228" spans="1:30" ht="15.75" x14ac:dyDescent="0.25">
      <c r="A228" s="416" t="str">
        <f>RIGHT('[1]5ª'!$A$5:$D$5,12)</f>
        <v>5ª SÉRIE E.F</v>
      </c>
      <c r="B228" s="451">
        <v>7</v>
      </c>
      <c r="C228" s="248">
        <f>'5ª'!$B12</f>
        <v>18943</v>
      </c>
      <c r="D228" s="362" t="str">
        <f>'5ª'!$C12</f>
        <v>THALLYS GUERRERO PETINELLI</v>
      </c>
      <c r="E228" s="249" t="str">
        <f>'5ª'!$D12</f>
        <v>M</v>
      </c>
      <c r="F228" s="249" t="str">
        <f>'5ª'!$E12</f>
        <v>MA</v>
      </c>
      <c r="G228" s="250">
        <f>'5ª'!$F12</f>
        <v>40052</v>
      </c>
      <c r="H228" s="362" t="str">
        <f>'5ª'!$G12</f>
        <v>112735174-6</v>
      </c>
      <c r="I228" s="251">
        <f>'5ª'!$H12</f>
        <v>0</v>
      </c>
      <c r="J228" s="362"/>
      <c r="K228" s="362">
        <f>'5ª'!$I12</f>
        <v>0</v>
      </c>
      <c r="L228" s="250" t="str">
        <f ca="1">'5ª'!$J12</f>
        <v/>
      </c>
      <c r="M228" s="362"/>
      <c r="N228" s="252">
        <f ca="1">'5ª'!$K12</f>
        <v>16</v>
      </c>
      <c r="O228" s="362"/>
      <c r="P228" s="253" t="s">
        <v>110</v>
      </c>
      <c r="Q228" s="415" t="s">
        <v>250</v>
      </c>
      <c r="R228" s="383" t="str">
        <f>'5ª'!$L12</f>
        <v>Não</v>
      </c>
      <c r="S228" s="383" t="str">
        <f>'5ª'!$M12</f>
        <v>-</v>
      </c>
      <c r="T228" s="383" t="str">
        <f>'5ª'!$N12</f>
        <v>-</v>
      </c>
      <c r="U228" s="383" t="str">
        <f>'5ª'!$O12</f>
        <v>-</v>
      </c>
      <c r="V228" s="383" t="str">
        <f>'5ª'!$P12</f>
        <v>-</v>
      </c>
      <c r="W228" s="383" t="str">
        <f>'5ª'!$Q12</f>
        <v>-</v>
      </c>
      <c r="X228" s="383" t="str">
        <f>'5ª'!$R12</f>
        <v>-</v>
      </c>
      <c r="Y228" s="383" t="str">
        <f>'5ª'!$S12</f>
        <v>-</v>
      </c>
      <c r="Z228" s="384">
        <f>'5ª'!$T12</f>
        <v>0</v>
      </c>
      <c r="AA228" s="384">
        <f>'5ª'!$U12</f>
        <v>0</v>
      </c>
      <c r="AB228" s="385" t="s">
        <v>325</v>
      </c>
      <c r="AC228" s="385"/>
      <c r="AD228" s="435" t="s">
        <v>466</v>
      </c>
    </row>
    <row r="229" spans="1:30" ht="15.75" x14ac:dyDescent="0.25">
      <c r="A229" s="416" t="str">
        <f>RIGHT('[1]5ª'!$A$5:$D$5,12)</f>
        <v>5ª SÉRIE E.F</v>
      </c>
      <c r="B229" s="451">
        <v>8</v>
      </c>
      <c r="C229" s="248">
        <f>'5ª'!$B13</f>
        <v>18961</v>
      </c>
      <c r="D229" s="362" t="str">
        <f>'5ª'!$C13</f>
        <v>JOSE DILTON SOUZA</v>
      </c>
      <c r="E229" s="249" t="str">
        <f>'5ª'!$D13</f>
        <v>M</v>
      </c>
      <c r="F229" s="249" t="str">
        <f>'5ª'!$E13</f>
        <v>MA</v>
      </c>
      <c r="G229" s="250">
        <f>'5ª'!$F13</f>
        <v>22955</v>
      </c>
      <c r="H229" s="362">
        <f>'5ª'!$G13</f>
        <v>0</v>
      </c>
      <c r="I229" s="251" t="str">
        <f>'5ª'!$H13</f>
        <v>59.670.935-3</v>
      </c>
      <c r="J229" s="362"/>
      <c r="K229" s="362" t="str">
        <f>'5ª'!$I13</f>
        <v>TR 20/08</v>
      </c>
      <c r="L229" s="250" t="str">
        <f ca="1">'5ª'!$J13</f>
        <v>DISP.IDADE</v>
      </c>
      <c r="M229" s="362"/>
      <c r="N229" s="252">
        <f ca="1">'5ª'!$K13</f>
        <v>62</v>
      </c>
      <c r="O229" s="362"/>
      <c r="P229" s="253" t="s">
        <v>110</v>
      </c>
      <c r="Q229" s="415" t="s">
        <v>250</v>
      </c>
      <c r="R229" s="383" t="str">
        <f>'5ª'!$L13</f>
        <v>Não</v>
      </c>
      <c r="S229" s="383" t="str">
        <f>'5ª'!$M13</f>
        <v>-</v>
      </c>
      <c r="T229" s="383" t="str">
        <f>'5ª'!$N13</f>
        <v>-</v>
      </c>
      <c r="U229" s="383" t="str">
        <f>'5ª'!$O13</f>
        <v>-</v>
      </c>
      <c r="V229" s="383" t="str">
        <f>'5ª'!$P13</f>
        <v>-</v>
      </c>
      <c r="W229" s="383" t="str">
        <f>'5ª'!$Q13</f>
        <v>-</v>
      </c>
      <c r="X229" s="383" t="str">
        <f>'5ª'!$R13</f>
        <v>-</v>
      </c>
      <c r="Y229" s="383" t="str">
        <f>'5ª'!$S13</f>
        <v>-</v>
      </c>
      <c r="Z229" s="384">
        <f>'5ª'!$T13</f>
        <v>0</v>
      </c>
      <c r="AA229" s="384">
        <f>'5ª'!$U13</f>
        <v>0</v>
      </c>
      <c r="AB229" s="385" t="s">
        <v>325</v>
      </c>
      <c r="AC229" s="385"/>
      <c r="AD229" s="435" t="s">
        <v>466</v>
      </c>
    </row>
    <row r="230" spans="1:30" ht="15.75" x14ac:dyDescent="0.25">
      <c r="A230" s="416" t="str">
        <f>RIGHT('[1]5ª'!$A$5:$D$5,12)</f>
        <v>5ª SÉRIE E.F</v>
      </c>
      <c r="B230" s="451">
        <v>9</v>
      </c>
      <c r="C230" s="248">
        <f>'5ª'!$B14</f>
        <v>18971</v>
      </c>
      <c r="D230" s="362" t="str">
        <f>'5ª'!$C14</f>
        <v>LUZINETE APARECIDA DA CONCEIÇÃO OLIVEIRA</v>
      </c>
      <c r="E230" s="249" t="str">
        <f>'5ª'!$D14</f>
        <v>F</v>
      </c>
      <c r="F230" s="249" t="str">
        <f>'5ª'!$E14</f>
        <v>MA</v>
      </c>
      <c r="G230" s="250">
        <f>'5ª'!$F14</f>
        <v>25270</v>
      </c>
      <c r="H230" s="362">
        <f>'5ª'!$G14</f>
        <v>0</v>
      </c>
      <c r="I230" s="251" t="str">
        <f>'5ª'!$H14</f>
        <v>57122269-9</v>
      </c>
      <c r="J230" s="362"/>
      <c r="K230" s="362" t="str">
        <f>'5ª'!$I14</f>
        <v>TR 22/08</v>
      </c>
      <c r="L230" s="250" t="str">
        <f ca="1">'5ª'!$J14</f>
        <v>DISP.IDADE</v>
      </c>
      <c r="M230" s="362"/>
      <c r="N230" s="252">
        <f ca="1">'5ª'!$K14</f>
        <v>56</v>
      </c>
      <c r="O230" s="362"/>
      <c r="P230" s="253" t="s">
        <v>110</v>
      </c>
      <c r="Q230" s="415" t="s">
        <v>250</v>
      </c>
      <c r="R230" s="383" t="str">
        <f>'5ª'!$L14</f>
        <v>Não</v>
      </c>
      <c r="S230" s="383" t="str">
        <f>'5ª'!$M14</f>
        <v>-</v>
      </c>
      <c r="T230" s="383" t="str">
        <f>'5ª'!$N14</f>
        <v>-</v>
      </c>
      <c r="U230" s="383" t="str">
        <f>'5ª'!$O14</f>
        <v>-</v>
      </c>
      <c r="V230" s="383" t="str">
        <f>'5ª'!$P14</f>
        <v>-</v>
      </c>
      <c r="W230" s="383" t="str">
        <f>'5ª'!$Q14</f>
        <v>-</v>
      </c>
      <c r="X230" s="383" t="str">
        <f>'5ª'!$R14</f>
        <v>-</v>
      </c>
      <c r="Y230" s="383" t="str">
        <f>'5ª'!$S14</f>
        <v>-</v>
      </c>
      <c r="Z230" s="384">
        <f>'5ª'!$T14</f>
        <v>0</v>
      </c>
      <c r="AA230" s="384">
        <f>'5ª'!$U14</f>
        <v>0</v>
      </c>
      <c r="AB230" s="385" t="s">
        <v>325</v>
      </c>
      <c r="AC230" s="385"/>
      <c r="AD230" s="435" t="s">
        <v>466</v>
      </c>
    </row>
    <row r="231" spans="1:30" ht="15.75" x14ac:dyDescent="0.25">
      <c r="A231" s="416" t="str">
        <f>RIGHT('[1]5ª'!$A$5:$D$5,12)</f>
        <v>5ª SÉRIE E.F</v>
      </c>
      <c r="B231" s="451">
        <v>10</v>
      </c>
      <c r="C231" s="248">
        <f>'5ª'!$B15</f>
        <v>0</v>
      </c>
      <c r="D231" s="362">
        <f>'5ª'!$C15</f>
        <v>0</v>
      </c>
      <c r="E231" s="249">
        <f>'5ª'!$D15</f>
        <v>0</v>
      </c>
      <c r="F231" s="249">
        <f>'5ª'!$E15</f>
        <v>0</v>
      </c>
      <c r="G231" s="250">
        <f>'5ª'!$F15</f>
        <v>0</v>
      </c>
      <c r="H231" s="362">
        <f>'5ª'!$G15</f>
        <v>0</v>
      </c>
      <c r="I231" s="251">
        <f>'5ª'!$H15</f>
        <v>0</v>
      </c>
      <c r="J231" s="362"/>
      <c r="K231" s="362">
        <f>'5ª'!$I15</f>
        <v>0</v>
      </c>
      <c r="L231" s="250" t="str">
        <f ca="1">'5ª'!$J15</f>
        <v/>
      </c>
      <c r="M231" s="362"/>
      <c r="N231" s="252" t="str">
        <f ca="1">'5ª'!$K15</f>
        <v/>
      </c>
      <c r="O231" s="362"/>
      <c r="P231" s="253" t="s">
        <v>110</v>
      </c>
      <c r="Q231" s="415" t="s">
        <v>250</v>
      </c>
      <c r="R231" s="383" t="str">
        <f>'5ª'!$L15</f>
        <v>Não</v>
      </c>
      <c r="S231" s="383" t="str">
        <f>'5ª'!$M15</f>
        <v>-</v>
      </c>
      <c r="T231" s="383" t="str">
        <f>'5ª'!$N15</f>
        <v>-</v>
      </c>
      <c r="U231" s="383" t="str">
        <f>'5ª'!$O15</f>
        <v>-</v>
      </c>
      <c r="V231" s="383" t="str">
        <f>'5ª'!$P15</f>
        <v>-</v>
      </c>
      <c r="W231" s="383" t="str">
        <f>'5ª'!$Q15</f>
        <v>-</v>
      </c>
      <c r="X231" s="383" t="str">
        <f>'5ª'!$R15</f>
        <v>-</v>
      </c>
      <c r="Y231" s="383" t="str">
        <f>'5ª'!$S15</f>
        <v>-</v>
      </c>
      <c r="Z231" s="384">
        <f>'5ª'!$T15</f>
        <v>0</v>
      </c>
      <c r="AA231" s="384">
        <f>'5ª'!$U15</f>
        <v>0</v>
      </c>
      <c r="AB231" s="385" t="s">
        <v>325</v>
      </c>
      <c r="AC231" s="385"/>
      <c r="AD231" s="435" t="s">
        <v>466</v>
      </c>
    </row>
    <row r="232" spans="1:30" ht="15.75" x14ac:dyDescent="0.25">
      <c r="A232" s="416" t="str">
        <f>RIGHT('[1]5ª'!$A$5:$D$5,12)</f>
        <v>5ª SÉRIE E.F</v>
      </c>
      <c r="B232" s="451">
        <v>11</v>
      </c>
      <c r="C232" s="248">
        <f>'5ª'!$B16</f>
        <v>0</v>
      </c>
      <c r="D232" s="362">
        <f>'5ª'!$C16</f>
        <v>0</v>
      </c>
      <c r="E232" s="249">
        <f>'5ª'!$D16</f>
        <v>0</v>
      </c>
      <c r="F232" s="249" t="str">
        <f>'5ª'!$E16</f>
        <v/>
      </c>
      <c r="G232" s="250">
        <f>'5ª'!$F16</f>
        <v>0</v>
      </c>
      <c r="H232" s="362">
        <f>'5ª'!$G16</f>
        <v>0</v>
      </c>
      <c r="I232" s="251">
        <f>'5ª'!$H16</f>
        <v>0</v>
      </c>
      <c r="J232" s="362"/>
      <c r="K232" s="362">
        <f>'5ª'!$I16</f>
        <v>0</v>
      </c>
      <c r="L232" s="250" t="str">
        <f ca="1">'5ª'!$J16</f>
        <v/>
      </c>
      <c r="M232" s="362"/>
      <c r="N232" s="252" t="str">
        <f ca="1">'5ª'!$K16</f>
        <v/>
      </c>
      <c r="O232" s="362"/>
      <c r="P232" s="253" t="s">
        <v>110</v>
      </c>
      <c r="Q232" s="415" t="s">
        <v>250</v>
      </c>
      <c r="R232" s="383" t="str">
        <f>'5ª'!$L16</f>
        <v>Não</v>
      </c>
      <c r="S232" s="383" t="str">
        <f>'5ª'!$M16</f>
        <v>-</v>
      </c>
      <c r="T232" s="383" t="str">
        <f>'5ª'!$N16</f>
        <v>-</v>
      </c>
      <c r="U232" s="383" t="str">
        <f>'5ª'!$O16</f>
        <v>-</v>
      </c>
      <c r="V232" s="383" t="str">
        <f>'5ª'!$P16</f>
        <v>-</v>
      </c>
      <c r="W232" s="383" t="str">
        <f>'5ª'!$Q16</f>
        <v>-</v>
      </c>
      <c r="X232" s="383" t="str">
        <f>'5ª'!$R16</f>
        <v>-</v>
      </c>
      <c r="Y232" s="383" t="str">
        <f>'5ª'!$S16</f>
        <v>-</v>
      </c>
      <c r="Z232" s="384">
        <f>'5ª'!$T16</f>
        <v>0</v>
      </c>
      <c r="AA232" s="384">
        <f>'5ª'!$U16</f>
        <v>0</v>
      </c>
      <c r="AB232" s="385" t="s">
        <v>325</v>
      </c>
      <c r="AC232" s="385"/>
      <c r="AD232" s="435" t="s">
        <v>466</v>
      </c>
    </row>
    <row r="233" spans="1:30" ht="15.75" x14ac:dyDescent="0.25">
      <c r="A233" s="416" t="str">
        <f>RIGHT('[1]5ª'!$A$5:$D$5,12)</f>
        <v>5ª SÉRIE E.F</v>
      </c>
      <c r="B233" s="451">
        <v>12</v>
      </c>
      <c r="C233" s="248">
        <f>'5ª'!$B17</f>
        <v>0</v>
      </c>
      <c r="D233" s="362">
        <f>'5ª'!$C17</f>
        <v>0</v>
      </c>
      <c r="E233" s="249">
        <f>'5ª'!$D17</f>
        <v>0</v>
      </c>
      <c r="F233" s="249" t="str">
        <f>'5ª'!$E17</f>
        <v/>
      </c>
      <c r="G233" s="250">
        <f>'5ª'!$F17</f>
        <v>0</v>
      </c>
      <c r="H233" s="362">
        <f>'5ª'!$G17</f>
        <v>0</v>
      </c>
      <c r="I233" s="251">
        <f>'5ª'!$H17</f>
        <v>0</v>
      </c>
      <c r="J233" s="362"/>
      <c r="K233" s="362">
        <f>'5ª'!$I17</f>
        <v>0</v>
      </c>
      <c r="L233" s="250" t="str">
        <f ca="1">'5ª'!$J17</f>
        <v/>
      </c>
      <c r="M233" s="362"/>
      <c r="N233" s="252" t="str">
        <f ca="1">'5ª'!$K17</f>
        <v/>
      </c>
      <c r="O233" s="362"/>
      <c r="P233" s="253" t="s">
        <v>110</v>
      </c>
      <c r="Q233" s="415" t="s">
        <v>250</v>
      </c>
      <c r="R233" s="383" t="str">
        <f>'5ª'!$L17</f>
        <v>Não</v>
      </c>
      <c r="S233" s="383" t="str">
        <f>'5ª'!$M17</f>
        <v>-</v>
      </c>
      <c r="T233" s="383" t="str">
        <f>'5ª'!$N17</f>
        <v>-</v>
      </c>
      <c r="U233" s="383" t="str">
        <f>'5ª'!$O17</f>
        <v>-</v>
      </c>
      <c r="V233" s="383" t="str">
        <f>'5ª'!$P17</f>
        <v>-</v>
      </c>
      <c r="W233" s="383" t="str">
        <f>'5ª'!$Q17</f>
        <v>-</v>
      </c>
      <c r="X233" s="383" t="str">
        <f>'5ª'!$R17</f>
        <v>-</v>
      </c>
      <c r="Y233" s="383" t="str">
        <f>'5ª'!$S17</f>
        <v>-</v>
      </c>
      <c r="Z233" s="384">
        <f>'5ª'!$T17</f>
        <v>0</v>
      </c>
      <c r="AA233" s="384">
        <f>'5ª'!$U17</f>
        <v>0</v>
      </c>
      <c r="AB233" s="385" t="s">
        <v>325</v>
      </c>
      <c r="AC233" s="385"/>
      <c r="AD233" s="435" t="s">
        <v>466</v>
      </c>
    </row>
    <row r="234" spans="1:30" ht="15.75" x14ac:dyDescent="0.25">
      <c r="A234" s="416" t="str">
        <f>RIGHT('[1]5ª'!$A$5:$D$5,12)</f>
        <v>5ª SÉRIE E.F</v>
      </c>
      <c r="B234" s="451">
        <v>13</v>
      </c>
      <c r="C234" s="248">
        <f>'5ª'!$B18</f>
        <v>0</v>
      </c>
      <c r="D234" s="362">
        <f>'5ª'!$C18</f>
        <v>0</v>
      </c>
      <c r="E234" s="249">
        <f>'5ª'!$D18</f>
        <v>0</v>
      </c>
      <c r="F234" s="249" t="str">
        <f>'5ª'!$E18</f>
        <v/>
      </c>
      <c r="G234" s="250">
        <f>'5ª'!$F18</f>
        <v>0</v>
      </c>
      <c r="H234" s="362">
        <f>'5ª'!$G18</f>
        <v>0</v>
      </c>
      <c r="I234" s="251">
        <f>'5ª'!$H18</f>
        <v>0</v>
      </c>
      <c r="J234" s="362"/>
      <c r="K234" s="362">
        <f>'5ª'!$I18</f>
        <v>0</v>
      </c>
      <c r="L234" s="250" t="str">
        <f ca="1">'5ª'!$J18</f>
        <v/>
      </c>
      <c r="M234" s="362"/>
      <c r="N234" s="252" t="str">
        <f ca="1">'5ª'!$K18</f>
        <v/>
      </c>
      <c r="O234" s="362"/>
      <c r="P234" s="253" t="s">
        <v>110</v>
      </c>
      <c r="Q234" s="415" t="s">
        <v>250</v>
      </c>
      <c r="R234" s="383" t="str">
        <f>'5ª'!$L18</f>
        <v>Não</v>
      </c>
      <c r="S234" s="383" t="str">
        <f>'5ª'!$M18</f>
        <v>-</v>
      </c>
      <c r="T234" s="383" t="str">
        <f>'5ª'!$N18</f>
        <v>-</v>
      </c>
      <c r="U234" s="383" t="str">
        <f>'5ª'!$O18</f>
        <v>-</v>
      </c>
      <c r="V234" s="383" t="str">
        <f>'5ª'!$P18</f>
        <v>-</v>
      </c>
      <c r="W234" s="383" t="str">
        <f>'5ª'!$Q18</f>
        <v>-</v>
      </c>
      <c r="X234" s="383" t="str">
        <f>'5ª'!$R18</f>
        <v>-</v>
      </c>
      <c r="Y234" s="383" t="str">
        <f>'5ª'!$S18</f>
        <v>-</v>
      </c>
      <c r="Z234" s="384">
        <f>'5ª'!$T18</f>
        <v>0</v>
      </c>
      <c r="AA234" s="384">
        <f>'5ª'!$U18</f>
        <v>0</v>
      </c>
      <c r="AB234" s="385" t="s">
        <v>325</v>
      </c>
      <c r="AC234" s="385"/>
      <c r="AD234" s="435" t="s">
        <v>466</v>
      </c>
    </row>
    <row r="235" spans="1:30" ht="15.75" x14ac:dyDescent="0.25">
      <c r="A235" s="416" t="str">
        <f>RIGHT('[1]5ª'!$A$5:$D$5,12)</f>
        <v>5ª SÉRIE E.F</v>
      </c>
      <c r="B235" s="451">
        <v>14</v>
      </c>
      <c r="C235" s="248">
        <f>'5ª'!$B19</f>
        <v>0</v>
      </c>
      <c r="D235" s="362">
        <f>'5ª'!$C19</f>
        <v>0</v>
      </c>
      <c r="E235" s="249">
        <f>'5ª'!$D19</f>
        <v>0</v>
      </c>
      <c r="F235" s="249" t="str">
        <f>'5ª'!$E19</f>
        <v/>
      </c>
      <c r="G235" s="250">
        <f>'5ª'!$F19</f>
        <v>0</v>
      </c>
      <c r="H235" s="362">
        <f>'5ª'!$G19</f>
        <v>0</v>
      </c>
      <c r="I235" s="251">
        <f>'5ª'!$H19</f>
        <v>0</v>
      </c>
      <c r="J235" s="362"/>
      <c r="K235" s="362">
        <f>'5ª'!$I19</f>
        <v>0</v>
      </c>
      <c r="L235" s="250" t="str">
        <f ca="1">'5ª'!$J19</f>
        <v/>
      </c>
      <c r="M235" s="362"/>
      <c r="N235" s="252" t="str">
        <f ca="1">'5ª'!$K19</f>
        <v/>
      </c>
      <c r="O235" s="362"/>
      <c r="P235" s="253" t="s">
        <v>110</v>
      </c>
      <c r="Q235" s="415" t="s">
        <v>250</v>
      </c>
      <c r="R235" s="383" t="str">
        <f>'5ª'!$L19</f>
        <v>Não</v>
      </c>
      <c r="S235" s="383" t="str">
        <f>'5ª'!$M19</f>
        <v>-</v>
      </c>
      <c r="T235" s="383" t="str">
        <f>'5ª'!$N19</f>
        <v>-</v>
      </c>
      <c r="U235" s="383" t="str">
        <f>'5ª'!$O19</f>
        <v>-</v>
      </c>
      <c r="V235" s="383" t="str">
        <f>'5ª'!$P19</f>
        <v>-</v>
      </c>
      <c r="W235" s="383" t="str">
        <f>'5ª'!$Q19</f>
        <v>-</v>
      </c>
      <c r="X235" s="383" t="str">
        <f>'5ª'!$R19</f>
        <v>-</v>
      </c>
      <c r="Y235" s="383" t="str">
        <f>'5ª'!$S19</f>
        <v>-</v>
      </c>
      <c r="Z235" s="384">
        <f>'5ª'!$T19</f>
        <v>0</v>
      </c>
      <c r="AA235" s="384">
        <f>'5ª'!$U19</f>
        <v>0</v>
      </c>
      <c r="AB235" s="385" t="s">
        <v>325</v>
      </c>
      <c r="AC235" s="385"/>
      <c r="AD235" s="435" t="s">
        <v>466</v>
      </c>
    </row>
    <row r="236" spans="1:30" ht="15.75" x14ac:dyDescent="0.25">
      <c r="A236" s="416" t="str">
        <f>RIGHT('[1]5ª'!$A$5:$D$5,12)</f>
        <v>5ª SÉRIE E.F</v>
      </c>
      <c r="B236" s="451">
        <v>15</v>
      </c>
      <c r="C236" s="248">
        <f>'5ª'!$B20</f>
        <v>0</v>
      </c>
      <c r="D236" s="362">
        <f>'5ª'!$C20</f>
        <v>0</v>
      </c>
      <c r="E236" s="249">
        <f>'5ª'!$D20</f>
        <v>0</v>
      </c>
      <c r="F236" s="249" t="str">
        <f>'5ª'!$E20</f>
        <v/>
      </c>
      <c r="G236" s="250">
        <f>'5ª'!$F20</f>
        <v>0</v>
      </c>
      <c r="H236" s="362">
        <f>'5ª'!$G20</f>
        <v>0</v>
      </c>
      <c r="I236" s="251">
        <f>'5ª'!$H20</f>
        <v>0</v>
      </c>
      <c r="J236" s="362"/>
      <c r="K236" s="362">
        <f>'5ª'!$I20</f>
        <v>0</v>
      </c>
      <c r="L236" s="250" t="str">
        <f ca="1">'5ª'!$J20</f>
        <v/>
      </c>
      <c r="M236" s="362"/>
      <c r="N236" s="252" t="str">
        <f ca="1">'5ª'!$K20</f>
        <v/>
      </c>
      <c r="O236" s="362"/>
      <c r="P236" s="253" t="s">
        <v>110</v>
      </c>
      <c r="Q236" s="415" t="s">
        <v>250</v>
      </c>
      <c r="R236" s="383" t="str">
        <f>'5ª'!$L20</f>
        <v>Não</v>
      </c>
      <c r="S236" s="383" t="str">
        <f>'5ª'!$M20</f>
        <v>-</v>
      </c>
      <c r="T236" s="383" t="str">
        <f>'5ª'!$N20</f>
        <v>-</v>
      </c>
      <c r="U236" s="383" t="str">
        <f>'5ª'!$O20</f>
        <v>-</v>
      </c>
      <c r="V236" s="383" t="str">
        <f>'5ª'!$P20</f>
        <v>-</v>
      </c>
      <c r="W236" s="383" t="str">
        <f>'5ª'!$Q20</f>
        <v>-</v>
      </c>
      <c r="X236" s="383" t="str">
        <f>'5ª'!$R20</f>
        <v>-</v>
      </c>
      <c r="Y236" s="383" t="str">
        <f>'5ª'!$S20</f>
        <v>-</v>
      </c>
      <c r="Z236" s="384">
        <f>'5ª'!$T20</f>
        <v>0</v>
      </c>
      <c r="AA236" s="384">
        <f>'5ª'!$U20</f>
        <v>0</v>
      </c>
      <c r="AB236" s="385" t="s">
        <v>325</v>
      </c>
      <c r="AC236" s="385"/>
      <c r="AD236" s="435" t="s">
        <v>466</v>
      </c>
    </row>
    <row r="237" spans="1:30" ht="15.75" x14ac:dyDescent="0.25">
      <c r="A237" s="416" t="str">
        <f>RIGHT('[1]5ª'!$A$5:$D$5,12)</f>
        <v>5ª SÉRIE E.F</v>
      </c>
      <c r="B237" s="451">
        <v>16</v>
      </c>
      <c r="C237" s="248">
        <f>'5ª'!$B21</f>
        <v>0</v>
      </c>
      <c r="D237" s="362">
        <f>'5ª'!$C21</f>
        <v>0</v>
      </c>
      <c r="E237" s="249">
        <f>'5ª'!$D21</f>
        <v>0</v>
      </c>
      <c r="F237" s="249" t="str">
        <f>'5ª'!$E21</f>
        <v/>
      </c>
      <c r="G237" s="250">
        <f>'5ª'!$F21</f>
        <v>0</v>
      </c>
      <c r="H237" s="362">
        <f>'5ª'!$G21</f>
        <v>0</v>
      </c>
      <c r="I237" s="251">
        <f>'5ª'!$H21</f>
        <v>0</v>
      </c>
      <c r="J237" s="362"/>
      <c r="K237" s="362">
        <f>'5ª'!$I21</f>
        <v>0</v>
      </c>
      <c r="L237" s="250" t="str">
        <f ca="1">'5ª'!$J21</f>
        <v/>
      </c>
      <c r="M237" s="362"/>
      <c r="N237" s="252" t="str">
        <f ca="1">'5ª'!$K21</f>
        <v/>
      </c>
      <c r="O237" s="362"/>
      <c r="P237" s="253" t="s">
        <v>110</v>
      </c>
      <c r="Q237" s="415" t="s">
        <v>250</v>
      </c>
      <c r="R237" s="383" t="str">
        <f>'5ª'!$L21</f>
        <v>Não</v>
      </c>
      <c r="S237" s="383" t="str">
        <f>'5ª'!$M21</f>
        <v>-</v>
      </c>
      <c r="T237" s="383" t="str">
        <f>'5ª'!$N21</f>
        <v>-</v>
      </c>
      <c r="U237" s="383" t="str">
        <f>'5ª'!$O21</f>
        <v>-</v>
      </c>
      <c r="V237" s="383" t="str">
        <f>'5ª'!$P21</f>
        <v>-</v>
      </c>
      <c r="W237" s="383" t="str">
        <f>'5ª'!$Q21</f>
        <v>-</v>
      </c>
      <c r="X237" s="383" t="str">
        <f>'5ª'!$R21</f>
        <v>-</v>
      </c>
      <c r="Y237" s="383" t="str">
        <f>'5ª'!$S21</f>
        <v>-</v>
      </c>
      <c r="Z237" s="384">
        <f>'5ª'!$T21</f>
        <v>0</v>
      </c>
      <c r="AA237" s="384">
        <f>'5ª'!$U21</f>
        <v>0</v>
      </c>
      <c r="AB237" s="385" t="s">
        <v>325</v>
      </c>
      <c r="AC237" s="385"/>
      <c r="AD237" s="435" t="s">
        <v>466</v>
      </c>
    </row>
    <row r="238" spans="1:30" ht="15.75" x14ac:dyDescent="0.25">
      <c r="A238" s="416" t="str">
        <f>RIGHT('[1]5ª'!$A$5:$D$5,12)</f>
        <v>5ª SÉRIE E.F</v>
      </c>
      <c r="B238" s="451">
        <v>17</v>
      </c>
      <c r="C238" s="248">
        <f>'5ª'!$B22</f>
        <v>0</v>
      </c>
      <c r="D238" s="362">
        <f>'5ª'!$C22</f>
        <v>0</v>
      </c>
      <c r="E238" s="249">
        <f>'5ª'!$D22</f>
        <v>0</v>
      </c>
      <c r="F238" s="249" t="str">
        <f>'5ª'!$E22</f>
        <v/>
      </c>
      <c r="G238" s="250">
        <f>'5ª'!$F22</f>
        <v>0</v>
      </c>
      <c r="H238" s="362">
        <f>'5ª'!$G22</f>
        <v>0</v>
      </c>
      <c r="I238" s="251">
        <f>'5ª'!$H22</f>
        <v>0</v>
      </c>
      <c r="J238" s="362"/>
      <c r="K238" s="362">
        <f>'5ª'!$I22</f>
        <v>0</v>
      </c>
      <c r="L238" s="250" t="str">
        <f ca="1">'5ª'!$J22</f>
        <v/>
      </c>
      <c r="M238" s="362"/>
      <c r="N238" s="252" t="str">
        <f ca="1">'5ª'!$K22</f>
        <v/>
      </c>
      <c r="O238" s="362"/>
      <c r="P238" s="253" t="s">
        <v>110</v>
      </c>
      <c r="Q238" s="415" t="s">
        <v>250</v>
      </c>
      <c r="R238" s="383" t="str">
        <f>'5ª'!$L22</f>
        <v>Não</v>
      </c>
      <c r="S238" s="383" t="str">
        <f>'5ª'!$M22</f>
        <v>-</v>
      </c>
      <c r="T238" s="383" t="str">
        <f>'5ª'!$N22</f>
        <v>-</v>
      </c>
      <c r="U238" s="383" t="str">
        <f>'5ª'!$O22</f>
        <v>-</v>
      </c>
      <c r="V238" s="383" t="str">
        <f>'5ª'!$P22</f>
        <v>-</v>
      </c>
      <c r="W238" s="383" t="str">
        <f>'5ª'!$Q22</f>
        <v>-</v>
      </c>
      <c r="X238" s="383" t="str">
        <f>'5ª'!$R22</f>
        <v>-</v>
      </c>
      <c r="Y238" s="383" t="str">
        <f>'5ª'!$S22</f>
        <v>-</v>
      </c>
      <c r="Z238" s="384">
        <f>'5ª'!$T22</f>
        <v>0</v>
      </c>
      <c r="AA238" s="384">
        <f>'5ª'!$U22</f>
        <v>0</v>
      </c>
      <c r="AB238" s="385" t="s">
        <v>325</v>
      </c>
      <c r="AC238" s="385"/>
      <c r="AD238" s="435" t="s">
        <v>466</v>
      </c>
    </row>
    <row r="239" spans="1:30" ht="15.75" x14ac:dyDescent="0.25">
      <c r="A239" s="416" t="str">
        <f>RIGHT('[1]5ª'!$A$5:$D$5,12)</f>
        <v>5ª SÉRIE E.F</v>
      </c>
      <c r="B239" s="451">
        <v>18</v>
      </c>
      <c r="C239" s="248">
        <f>'5ª'!$B23</f>
        <v>0</v>
      </c>
      <c r="D239" s="362">
        <f>'5ª'!$C23</f>
        <v>0</v>
      </c>
      <c r="E239" s="249">
        <f>'5ª'!$D23</f>
        <v>0</v>
      </c>
      <c r="F239" s="249" t="str">
        <f>'5ª'!$E23</f>
        <v/>
      </c>
      <c r="G239" s="250">
        <f>'5ª'!$F23</f>
        <v>0</v>
      </c>
      <c r="H239" s="362">
        <f>'5ª'!$G23</f>
        <v>0</v>
      </c>
      <c r="I239" s="251">
        <f>'5ª'!$H23</f>
        <v>0</v>
      </c>
      <c r="J239" s="362"/>
      <c r="K239" s="362">
        <f>'5ª'!$I23</f>
        <v>0</v>
      </c>
      <c r="L239" s="250" t="str">
        <f ca="1">'5ª'!$J23</f>
        <v/>
      </c>
      <c r="M239" s="362"/>
      <c r="N239" s="252" t="str">
        <f ca="1">'5ª'!$K23</f>
        <v/>
      </c>
      <c r="O239" s="362"/>
      <c r="P239" s="253" t="s">
        <v>110</v>
      </c>
      <c r="Q239" s="415" t="s">
        <v>250</v>
      </c>
      <c r="R239" s="383" t="str">
        <f>'5ª'!$L23</f>
        <v>Não</v>
      </c>
      <c r="S239" s="383" t="str">
        <f>'5ª'!$M23</f>
        <v>-</v>
      </c>
      <c r="T239" s="383" t="str">
        <f>'5ª'!$N23</f>
        <v>-</v>
      </c>
      <c r="U239" s="383" t="str">
        <f>'5ª'!$O23</f>
        <v>-</v>
      </c>
      <c r="V239" s="383" t="str">
        <f>'5ª'!$P23</f>
        <v>-</v>
      </c>
      <c r="W239" s="383" t="str">
        <f>'5ª'!$Q23</f>
        <v>-</v>
      </c>
      <c r="X239" s="383" t="str">
        <f>'5ª'!$R23</f>
        <v>-</v>
      </c>
      <c r="Y239" s="383" t="str">
        <f>'5ª'!$S23</f>
        <v>-</v>
      </c>
      <c r="Z239" s="384">
        <f>'5ª'!$T23</f>
        <v>0</v>
      </c>
      <c r="AA239" s="384">
        <f>'5ª'!$U23</f>
        <v>0</v>
      </c>
      <c r="AB239" s="385" t="s">
        <v>325</v>
      </c>
      <c r="AC239" s="385"/>
      <c r="AD239" s="435" t="s">
        <v>466</v>
      </c>
    </row>
    <row r="240" spans="1:30" ht="15.75" x14ac:dyDescent="0.25">
      <c r="A240" s="416" t="str">
        <f>RIGHT('[1]5ª'!$A$5:$D$5,12)</f>
        <v>5ª SÉRIE E.F</v>
      </c>
      <c r="B240" s="451">
        <v>19</v>
      </c>
      <c r="C240" s="248">
        <f>'5ª'!$B24</f>
        <v>0</v>
      </c>
      <c r="D240" s="362">
        <f>'5ª'!$C24</f>
        <v>0</v>
      </c>
      <c r="E240" s="249">
        <f>'5ª'!$D24</f>
        <v>0</v>
      </c>
      <c r="F240" s="249" t="str">
        <f>'5ª'!$E24</f>
        <v/>
      </c>
      <c r="G240" s="250">
        <f>'5ª'!$F24</f>
        <v>0</v>
      </c>
      <c r="H240" s="362">
        <f>'5ª'!$G24</f>
        <v>0</v>
      </c>
      <c r="I240" s="251">
        <f>'5ª'!$H24</f>
        <v>0</v>
      </c>
      <c r="J240" s="362"/>
      <c r="K240" s="362">
        <f>'5ª'!$I24</f>
        <v>0</v>
      </c>
      <c r="L240" s="250" t="str">
        <f ca="1">'5ª'!$J24</f>
        <v/>
      </c>
      <c r="M240" s="362"/>
      <c r="N240" s="252" t="str">
        <f ca="1">'5ª'!$K24</f>
        <v/>
      </c>
      <c r="O240" s="362"/>
      <c r="P240" s="253" t="s">
        <v>110</v>
      </c>
      <c r="Q240" s="415" t="s">
        <v>250</v>
      </c>
      <c r="R240" s="383" t="str">
        <f>'5ª'!$L24</f>
        <v>Não</v>
      </c>
      <c r="S240" s="383" t="str">
        <f>'5ª'!$M24</f>
        <v>-</v>
      </c>
      <c r="T240" s="383" t="str">
        <f>'5ª'!$N24</f>
        <v>-</v>
      </c>
      <c r="U240" s="383" t="str">
        <f>'5ª'!$O24</f>
        <v>-</v>
      </c>
      <c r="V240" s="383" t="str">
        <f>'5ª'!$P24</f>
        <v>-</v>
      </c>
      <c r="W240" s="383" t="str">
        <f>'5ª'!$Q24</f>
        <v>-</v>
      </c>
      <c r="X240" s="383" t="str">
        <f>'5ª'!$R24</f>
        <v>-</v>
      </c>
      <c r="Y240" s="383" t="str">
        <f>'5ª'!$S24</f>
        <v>-</v>
      </c>
      <c r="Z240" s="384">
        <f>'5ª'!$T24</f>
        <v>0</v>
      </c>
      <c r="AA240" s="384">
        <f>'5ª'!$U24</f>
        <v>0</v>
      </c>
      <c r="AB240" s="385" t="s">
        <v>325</v>
      </c>
      <c r="AC240" s="385"/>
      <c r="AD240" s="435" t="s">
        <v>466</v>
      </c>
    </row>
    <row r="241" spans="1:30" ht="15.75" x14ac:dyDescent="0.25">
      <c r="A241" s="416" t="str">
        <f>RIGHT('[1]5ª'!$A$5:$D$5,12)</f>
        <v>5ª SÉRIE E.F</v>
      </c>
      <c r="B241" s="451">
        <v>20</v>
      </c>
      <c r="C241" s="248">
        <f>'5ª'!$B25</f>
        <v>0</v>
      </c>
      <c r="D241" s="362">
        <f>'5ª'!$C25</f>
        <v>0</v>
      </c>
      <c r="E241" s="249">
        <f>'5ª'!$D25</f>
        <v>0</v>
      </c>
      <c r="F241" s="249" t="str">
        <f>'5ª'!$E25</f>
        <v/>
      </c>
      <c r="G241" s="250">
        <f>'5ª'!$F25</f>
        <v>0</v>
      </c>
      <c r="H241" s="362">
        <f>'5ª'!$G25</f>
        <v>0</v>
      </c>
      <c r="I241" s="251">
        <f>'5ª'!$H25</f>
        <v>0</v>
      </c>
      <c r="J241" s="362"/>
      <c r="K241" s="362">
        <f>'5ª'!$I25</f>
        <v>0</v>
      </c>
      <c r="L241" s="250" t="str">
        <f ca="1">'5ª'!$J25</f>
        <v/>
      </c>
      <c r="M241" s="362"/>
      <c r="N241" s="252" t="str">
        <f ca="1">'5ª'!$K25</f>
        <v/>
      </c>
      <c r="O241" s="362"/>
      <c r="P241" s="253" t="s">
        <v>110</v>
      </c>
      <c r="Q241" s="415" t="s">
        <v>250</v>
      </c>
      <c r="R241" s="383" t="str">
        <f>'5ª'!$L25</f>
        <v>Não</v>
      </c>
      <c r="S241" s="383" t="str">
        <f>'5ª'!$M25</f>
        <v>-</v>
      </c>
      <c r="T241" s="383" t="str">
        <f>'5ª'!$N25</f>
        <v>-</v>
      </c>
      <c r="U241" s="383" t="str">
        <f>'5ª'!$O25</f>
        <v>-</v>
      </c>
      <c r="V241" s="383" t="str">
        <f>'5ª'!$P25</f>
        <v>-</v>
      </c>
      <c r="W241" s="383" t="str">
        <f>'5ª'!$Q25</f>
        <v>-</v>
      </c>
      <c r="X241" s="383" t="str">
        <f>'5ª'!$R25</f>
        <v>-</v>
      </c>
      <c r="Y241" s="383" t="str">
        <f>'5ª'!$S25</f>
        <v>-</v>
      </c>
      <c r="Z241" s="384">
        <f>'5ª'!$T25</f>
        <v>0</v>
      </c>
      <c r="AA241" s="384">
        <f>'5ª'!$U25</f>
        <v>0</v>
      </c>
      <c r="AB241" s="385" t="s">
        <v>325</v>
      </c>
      <c r="AC241" s="385"/>
      <c r="AD241" s="435" t="s">
        <v>466</v>
      </c>
    </row>
    <row r="242" spans="1:30" ht="15.75" x14ac:dyDescent="0.25">
      <c r="A242" s="416" t="str">
        <f>RIGHT('[1]5ª'!$A$5:$D$5,12)</f>
        <v>5ª SÉRIE E.F</v>
      </c>
      <c r="B242" s="451">
        <v>21</v>
      </c>
      <c r="C242" s="248">
        <f>'5ª'!$B26</f>
        <v>0</v>
      </c>
      <c r="D242" s="362">
        <f>'5ª'!$C26</f>
        <v>0</v>
      </c>
      <c r="E242" s="249">
        <f>'5ª'!$D26</f>
        <v>0</v>
      </c>
      <c r="F242" s="249" t="str">
        <f>'5ª'!$E26</f>
        <v/>
      </c>
      <c r="G242" s="250">
        <f>'5ª'!$F26</f>
        <v>0</v>
      </c>
      <c r="H242" s="362">
        <f>'5ª'!$G26</f>
        <v>0</v>
      </c>
      <c r="I242" s="251">
        <f>'5ª'!$H26</f>
        <v>0</v>
      </c>
      <c r="J242" s="362"/>
      <c r="K242" s="362">
        <f>'5ª'!$I26</f>
        <v>0</v>
      </c>
      <c r="L242" s="250" t="str">
        <f ca="1">'5ª'!$J26</f>
        <v/>
      </c>
      <c r="M242" s="362"/>
      <c r="N242" s="252" t="str">
        <f ca="1">'5ª'!$K26</f>
        <v/>
      </c>
      <c r="O242" s="362"/>
      <c r="P242" s="253" t="s">
        <v>110</v>
      </c>
      <c r="Q242" s="415" t="s">
        <v>250</v>
      </c>
      <c r="R242" s="383" t="str">
        <f>'5ª'!$L26</f>
        <v>Não</v>
      </c>
      <c r="S242" s="383" t="str">
        <f>'5ª'!$M26</f>
        <v>-</v>
      </c>
      <c r="T242" s="383" t="str">
        <f>'5ª'!$N26</f>
        <v>-</v>
      </c>
      <c r="U242" s="383" t="str">
        <f>'5ª'!$O26</f>
        <v>-</v>
      </c>
      <c r="V242" s="383" t="str">
        <f>'5ª'!$P26</f>
        <v>-</v>
      </c>
      <c r="W242" s="383" t="str">
        <f>'5ª'!$Q26</f>
        <v>-</v>
      </c>
      <c r="X242" s="383" t="str">
        <f>'5ª'!$R26</f>
        <v>-</v>
      </c>
      <c r="Y242" s="383" t="str">
        <f>'5ª'!$S26</f>
        <v>-</v>
      </c>
      <c r="Z242" s="384">
        <f>'5ª'!$T26</f>
        <v>0</v>
      </c>
      <c r="AA242" s="384">
        <f>'5ª'!$U26</f>
        <v>0</v>
      </c>
      <c r="AB242" s="385" t="s">
        <v>325</v>
      </c>
      <c r="AC242" s="385"/>
      <c r="AD242" s="435" t="s">
        <v>466</v>
      </c>
    </row>
    <row r="243" spans="1:30" ht="15.75" x14ac:dyDescent="0.25">
      <c r="A243" s="416" t="str">
        <f>RIGHT('[1]5ª'!$A$5:$D$5,12)</f>
        <v>5ª SÉRIE E.F</v>
      </c>
      <c r="B243" s="451">
        <v>22</v>
      </c>
      <c r="C243" s="248">
        <f>'5ª'!$B27</f>
        <v>0</v>
      </c>
      <c r="D243" s="362">
        <f>'5ª'!$C27</f>
        <v>0</v>
      </c>
      <c r="E243" s="249">
        <f>'5ª'!$D27</f>
        <v>0</v>
      </c>
      <c r="F243" s="249" t="str">
        <f>'5ª'!$E27</f>
        <v/>
      </c>
      <c r="G243" s="250">
        <f>'5ª'!$F27</f>
        <v>0</v>
      </c>
      <c r="H243" s="362">
        <f>'5ª'!$G27</f>
        <v>0</v>
      </c>
      <c r="I243" s="251">
        <f>'5ª'!$H27</f>
        <v>0</v>
      </c>
      <c r="J243" s="362"/>
      <c r="K243" s="362">
        <f>'5ª'!$I27</f>
        <v>0</v>
      </c>
      <c r="L243" s="250" t="str">
        <f ca="1">'5ª'!$J27</f>
        <v/>
      </c>
      <c r="M243" s="362"/>
      <c r="N243" s="252" t="str">
        <f ca="1">'5ª'!$K27</f>
        <v/>
      </c>
      <c r="O243" s="362"/>
      <c r="P243" s="253" t="s">
        <v>110</v>
      </c>
      <c r="Q243" s="415" t="s">
        <v>250</v>
      </c>
      <c r="R243" s="383" t="str">
        <f>'5ª'!$L27</f>
        <v>Não</v>
      </c>
      <c r="S243" s="383" t="str">
        <f>'5ª'!$M27</f>
        <v>-</v>
      </c>
      <c r="T243" s="383" t="str">
        <f>'5ª'!$N27</f>
        <v>-</v>
      </c>
      <c r="U243" s="383" t="str">
        <f>'5ª'!$O27</f>
        <v>-</v>
      </c>
      <c r="V243" s="383" t="str">
        <f>'5ª'!$P27</f>
        <v>-</v>
      </c>
      <c r="W243" s="383" t="str">
        <f>'5ª'!$Q27</f>
        <v>-</v>
      </c>
      <c r="X243" s="383" t="str">
        <f>'5ª'!$R27</f>
        <v>-</v>
      </c>
      <c r="Y243" s="383" t="str">
        <f>'5ª'!$S27</f>
        <v>-</v>
      </c>
      <c r="Z243" s="384">
        <f>'5ª'!$T27</f>
        <v>0</v>
      </c>
      <c r="AA243" s="384">
        <f>'5ª'!$U27</f>
        <v>0</v>
      </c>
      <c r="AB243" s="385" t="s">
        <v>325</v>
      </c>
      <c r="AC243" s="385"/>
      <c r="AD243" s="435" t="s">
        <v>466</v>
      </c>
    </row>
    <row r="244" spans="1:30" ht="15.75" x14ac:dyDescent="0.25">
      <c r="A244" s="416" t="str">
        <f>RIGHT('[1]5ª'!$A$5:$D$5,12)</f>
        <v>5ª SÉRIE E.F</v>
      </c>
      <c r="B244" s="451">
        <v>23</v>
      </c>
      <c r="C244" s="248">
        <f>'5ª'!$B28</f>
        <v>0</v>
      </c>
      <c r="D244" s="362">
        <f>'5ª'!$C28</f>
        <v>0</v>
      </c>
      <c r="E244" s="249">
        <f>'5ª'!$D28</f>
        <v>0</v>
      </c>
      <c r="F244" s="249" t="str">
        <f>'5ª'!$E28</f>
        <v/>
      </c>
      <c r="G244" s="250">
        <f>'5ª'!$F28</f>
        <v>0</v>
      </c>
      <c r="H244" s="362">
        <f>'5ª'!$G28</f>
        <v>0</v>
      </c>
      <c r="I244" s="251">
        <f>'5ª'!$H28</f>
        <v>0</v>
      </c>
      <c r="J244" s="362"/>
      <c r="K244" s="362">
        <f>'5ª'!$I28</f>
        <v>0</v>
      </c>
      <c r="L244" s="250" t="str">
        <f ca="1">'5ª'!$J28</f>
        <v/>
      </c>
      <c r="M244" s="362"/>
      <c r="N244" s="252" t="str">
        <f ca="1">'5ª'!$K28</f>
        <v/>
      </c>
      <c r="O244" s="362"/>
      <c r="P244" s="253" t="s">
        <v>110</v>
      </c>
      <c r="Q244" s="415" t="s">
        <v>250</v>
      </c>
      <c r="R244" s="383" t="str">
        <f>'5ª'!$L28</f>
        <v>Não</v>
      </c>
      <c r="S244" s="383" t="str">
        <f>'5ª'!$M28</f>
        <v>-</v>
      </c>
      <c r="T244" s="383" t="str">
        <f>'5ª'!$N28</f>
        <v>-</v>
      </c>
      <c r="U244" s="383" t="str">
        <f>'5ª'!$O28</f>
        <v>-</v>
      </c>
      <c r="V244" s="383" t="str">
        <f>'5ª'!$P28</f>
        <v>-</v>
      </c>
      <c r="W244" s="383" t="str">
        <f>'5ª'!$Q28</f>
        <v>-</v>
      </c>
      <c r="X244" s="383" t="str">
        <f>'5ª'!$R28</f>
        <v>-</v>
      </c>
      <c r="Y244" s="383" t="str">
        <f>'5ª'!$S28</f>
        <v>-</v>
      </c>
      <c r="Z244" s="384">
        <f>'5ª'!$T28</f>
        <v>0</v>
      </c>
      <c r="AA244" s="384">
        <f>'5ª'!$U28</f>
        <v>0</v>
      </c>
      <c r="AB244" s="385" t="s">
        <v>325</v>
      </c>
      <c r="AC244" s="385"/>
      <c r="AD244" s="435" t="s">
        <v>466</v>
      </c>
    </row>
    <row r="245" spans="1:30" ht="15.75" x14ac:dyDescent="0.25">
      <c r="A245" s="416" t="str">
        <f>RIGHT('[1]5ª'!$A$5:$D$5,12)</f>
        <v>5ª SÉRIE E.F</v>
      </c>
      <c r="B245" s="451">
        <v>24</v>
      </c>
      <c r="C245" s="248">
        <f>'5ª'!$B29</f>
        <v>0</v>
      </c>
      <c r="D245" s="362">
        <f>'5ª'!$C29</f>
        <v>0</v>
      </c>
      <c r="E245" s="249">
        <f>'5ª'!$D29</f>
        <v>0</v>
      </c>
      <c r="F245" s="249" t="str">
        <f>'5ª'!$E29</f>
        <v/>
      </c>
      <c r="G245" s="250">
        <f>'5ª'!$F29</f>
        <v>0</v>
      </c>
      <c r="H245" s="362">
        <f>'5ª'!$G29</f>
        <v>0</v>
      </c>
      <c r="I245" s="251">
        <f>'5ª'!$H29</f>
        <v>0</v>
      </c>
      <c r="J245" s="362"/>
      <c r="K245" s="362">
        <f>'5ª'!$I29</f>
        <v>0</v>
      </c>
      <c r="L245" s="250" t="str">
        <f ca="1">'5ª'!$J29</f>
        <v/>
      </c>
      <c r="M245" s="362"/>
      <c r="N245" s="252" t="str">
        <f ca="1">'5ª'!$K29</f>
        <v/>
      </c>
      <c r="O245" s="362"/>
      <c r="P245" s="253" t="s">
        <v>110</v>
      </c>
      <c r="Q245" s="415" t="s">
        <v>250</v>
      </c>
      <c r="R245" s="383" t="str">
        <f>'5ª'!$L29</f>
        <v>Não</v>
      </c>
      <c r="S245" s="383" t="str">
        <f>'5ª'!$M29</f>
        <v>-</v>
      </c>
      <c r="T245" s="383" t="str">
        <f>'5ª'!$N29</f>
        <v>-</v>
      </c>
      <c r="U245" s="383" t="str">
        <f>'5ª'!$O29</f>
        <v>-</v>
      </c>
      <c r="V245" s="383" t="str">
        <f>'5ª'!$P29</f>
        <v>-</v>
      </c>
      <c r="W245" s="383" t="str">
        <f>'5ª'!$Q29</f>
        <v>-</v>
      </c>
      <c r="X245" s="383" t="str">
        <f>'5ª'!$R29</f>
        <v>-</v>
      </c>
      <c r="Y245" s="383" t="str">
        <f>'5ª'!$S29</f>
        <v>-</v>
      </c>
      <c r="Z245" s="384">
        <f>'5ª'!$T29</f>
        <v>0</v>
      </c>
      <c r="AA245" s="384">
        <f>'5ª'!$U29</f>
        <v>0</v>
      </c>
      <c r="AB245" s="385" t="s">
        <v>325</v>
      </c>
      <c r="AC245" s="385"/>
      <c r="AD245" s="435" t="s">
        <v>466</v>
      </c>
    </row>
    <row r="246" spans="1:30" ht="15.75" x14ac:dyDescent="0.25">
      <c r="A246" s="416" t="str">
        <f>RIGHT('[1]5ª'!$A$5:$D$5,12)</f>
        <v>5ª SÉRIE E.F</v>
      </c>
      <c r="B246" s="451">
        <v>25</v>
      </c>
      <c r="C246" s="248">
        <f>'5ª'!$B30</f>
        <v>0</v>
      </c>
      <c r="D246" s="362">
        <f>'5ª'!$C30</f>
        <v>0</v>
      </c>
      <c r="E246" s="249">
        <f>'5ª'!$D30</f>
        <v>0</v>
      </c>
      <c r="F246" s="249" t="str">
        <f>'5ª'!$E30</f>
        <v/>
      </c>
      <c r="G246" s="250">
        <f>'5ª'!$F30</f>
        <v>0</v>
      </c>
      <c r="H246" s="362">
        <f>'5ª'!$G30</f>
        <v>0</v>
      </c>
      <c r="I246" s="251">
        <f>'5ª'!$H30</f>
        <v>0</v>
      </c>
      <c r="J246" s="362"/>
      <c r="K246" s="362">
        <f>'5ª'!$I30</f>
        <v>0</v>
      </c>
      <c r="L246" s="250" t="str">
        <f ca="1">'5ª'!$J30</f>
        <v/>
      </c>
      <c r="M246" s="362"/>
      <c r="N246" s="252" t="str">
        <f ca="1">'5ª'!$K30</f>
        <v/>
      </c>
      <c r="O246" s="362"/>
      <c r="P246" s="253" t="s">
        <v>110</v>
      </c>
      <c r="Q246" s="415" t="s">
        <v>250</v>
      </c>
      <c r="R246" s="383" t="str">
        <f>'5ª'!$L30</f>
        <v>Não</v>
      </c>
      <c r="S246" s="383" t="str">
        <f>'5ª'!$M30</f>
        <v>-</v>
      </c>
      <c r="T246" s="383" t="str">
        <f>'5ª'!$N30</f>
        <v>-</v>
      </c>
      <c r="U246" s="383" t="str">
        <f>'5ª'!$O30</f>
        <v>-</v>
      </c>
      <c r="V246" s="383" t="str">
        <f>'5ª'!$P30</f>
        <v>-</v>
      </c>
      <c r="W246" s="383" t="str">
        <f>'5ª'!$Q30</f>
        <v>-</v>
      </c>
      <c r="X246" s="383" t="str">
        <f>'5ª'!$R30</f>
        <v>-</v>
      </c>
      <c r="Y246" s="383" t="str">
        <f>'5ª'!$S30</f>
        <v>-</v>
      </c>
      <c r="Z246" s="384">
        <f>'5ª'!$T30</f>
        <v>0</v>
      </c>
      <c r="AA246" s="384">
        <f>'5ª'!$U30</f>
        <v>0</v>
      </c>
      <c r="AB246" s="385" t="s">
        <v>325</v>
      </c>
      <c r="AC246" s="385"/>
      <c r="AD246" s="435" t="s">
        <v>466</v>
      </c>
    </row>
    <row r="247" spans="1:30" ht="15.75" x14ac:dyDescent="0.25">
      <c r="A247" s="416" t="str">
        <f>RIGHT('[1]5ª'!$A$5:$D$5,12)</f>
        <v>5ª SÉRIE E.F</v>
      </c>
      <c r="B247" s="451">
        <v>26</v>
      </c>
      <c r="C247" s="248">
        <f>'5ª'!$B31</f>
        <v>0</v>
      </c>
      <c r="D247" s="362">
        <f>'5ª'!$C31</f>
        <v>0</v>
      </c>
      <c r="E247" s="249">
        <f>'5ª'!$D31</f>
        <v>0</v>
      </c>
      <c r="F247" s="249" t="str">
        <f>'5ª'!$E31</f>
        <v/>
      </c>
      <c r="G247" s="250">
        <f>'5ª'!$F31</f>
        <v>0</v>
      </c>
      <c r="H247" s="362">
        <f>'5ª'!$G31</f>
        <v>0</v>
      </c>
      <c r="I247" s="251">
        <f>'5ª'!$H31</f>
        <v>0</v>
      </c>
      <c r="J247" s="362"/>
      <c r="K247" s="362">
        <f>'5ª'!$I31</f>
        <v>0</v>
      </c>
      <c r="L247" s="250" t="str">
        <f ca="1">'5ª'!$J31</f>
        <v/>
      </c>
      <c r="M247" s="362"/>
      <c r="N247" s="252" t="str">
        <f ca="1">'5ª'!$K31</f>
        <v/>
      </c>
      <c r="O247" s="362"/>
      <c r="P247" s="253" t="s">
        <v>110</v>
      </c>
      <c r="Q247" s="415" t="s">
        <v>250</v>
      </c>
      <c r="R247" s="383" t="str">
        <f>'5ª'!$L31</f>
        <v>Não</v>
      </c>
      <c r="S247" s="383" t="str">
        <f>'5ª'!$M31</f>
        <v>-</v>
      </c>
      <c r="T247" s="383" t="str">
        <f>'5ª'!$N31</f>
        <v>-</v>
      </c>
      <c r="U247" s="383" t="str">
        <f>'5ª'!$O31</f>
        <v>-</v>
      </c>
      <c r="V247" s="383" t="str">
        <f>'5ª'!$P31</f>
        <v>-</v>
      </c>
      <c r="W247" s="383" t="str">
        <f>'5ª'!$Q31</f>
        <v>-</v>
      </c>
      <c r="X247" s="383" t="str">
        <f>'5ª'!$R31</f>
        <v>-</v>
      </c>
      <c r="Y247" s="383" t="str">
        <f>'5ª'!$S31</f>
        <v>-</v>
      </c>
      <c r="Z247" s="384">
        <f>'5ª'!$T31</f>
        <v>0</v>
      </c>
      <c r="AA247" s="384">
        <f>'5ª'!$U31</f>
        <v>0</v>
      </c>
      <c r="AB247" s="385" t="s">
        <v>325</v>
      </c>
      <c r="AC247" s="385"/>
      <c r="AD247" s="435" t="s">
        <v>466</v>
      </c>
    </row>
    <row r="248" spans="1:30" ht="15.75" x14ac:dyDescent="0.25">
      <c r="A248" s="416" t="str">
        <f>RIGHT('[1]5ª'!$A$5:$D$5,12)</f>
        <v>5ª SÉRIE E.F</v>
      </c>
      <c r="B248" s="451">
        <v>27</v>
      </c>
      <c r="C248" s="248">
        <f>'5ª'!$B32</f>
        <v>0</v>
      </c>
      <c r="D248" s="362">
        <f>'5ª'!$C32</f>
        <v>0</v>
      </c>
      <c r="E248" s="249">
        <f>'5ª'!$D32</f>
        <v>0</v>
      </c>
      <c r="F248" s="249" t="str">
        <f>'5ª'!$E32</f>
        <v/>
      </c>
      <c r="G248" s="250">
        <f>'5ª'!$F32</f>
        <v>0</v>
      </c>
      <c r="H248" s="362">
        <f>'5ª'!$G32</f>
        <v>0</v>
      </c>
      <c r="I248" s="251">
        <f>'5ª'!$H32</f>
        <v>0</v>
      </c>
      <c r="J248" s="362"/>
      <c r="K248" s="362">
        <f>'5ª'!$I32</f>
        <v>0</v>
      </c>
      <c r="L248" s="250" t="str">
        <f ca="1">'5ª'!$J32</f>
        <v/>
      </c>
      <c r="M248" s="362"/>
      <c r="N248" s="252" t="str">
        <f ca="1">'5ª'!$K32</f>
        <v/>
      </c>
      <c r="O248" s="362"/>
      <c r="P248" s="253" t="s">
        <v>110</v>
      </c>
      <c r="Q248" s="415" t="s">
        <v>250</v>
      </c>
      <c r="R248" s="383" t="str">
        <f>'5ª'!$L32</f>
        <v>Não</v>
      </c>
      <c r="S248" s="383" t="str">
        <f>'5ª'!$M32</f>
        <v>-</v>
      </c>
      <c r="T248" s="383" t="str">
        <f>'5ª'!$N32</f>
        <v>-</v>
      </c>
      <c r="U248" s="383" t="str">
        <f>'5ª'!$O32</f>
        <v>-</v>
      </c>
      <c r="V248" s="383" t="str">
        <f>'5ª'!$P32</f>
        <v>-</v>
      </c>
      <c r="W248" s="383" t="str">
        <f>'5ª'!$Q32</f>
        <v>-</v>
      </c>
      <c r="X248" s="383" t="str">
        <f>'5ª'!$R32</f>
        <v>-</v>
      </c>
      <c r="Y248" s="383" t="str">
        <f>'5ª'!$S32</f>
        <v>-</v>
      </c>
      <c r="Z248" s="384">
        <f>'5ª'!$T32</f>
        <v>0</v>
      </c>
      <c r="AA248" s="384">
        <f>'5ª'!$U32</f>
        <v>0</v>
      </c>
      <c r="AB248" s="385" t="s">
        <v>325</v>
      </c>
      <c r="AC248" s="385"/>
      <c r="AD248" s="435" t="s">
        <v>466</v>
      </c>
    </row>
    <row r="249" spans="1:30" ht="15.75" x14ac:dyDescent="0.25">
      <c r="A249" s="416" t="str">
        <f>RIGHT('[1]5ª'!$A$5:$D$5,12)</f>
        <v>5ª SÉRIE E.F</v>
      </c>
      <c r="B249" s="451">
        <v>28</v>
      </c>
      <c r="C249" s="248">
        <f>'5ª'!$B33</f>
        <v>0</v>
      </c>
      <c r="D249" s="362">
        <f>'5ª'!$C33</f>
        <v>0</v>
      </c>
      <c r="E249" s="249">
        <f>'5ª'!$D33</f>
        <v>0</v>
      </c>
      <c r="F249" s="249" t="str">
        <f>'5ª'!$E33</f>
        <v/>
      </c>
      <c r="G249" s="250">
        <f>'5ª'!$F33</f>
        <v>0</v>
      </c>
      <c r="H249" s="362">
        <f>'5ª'!$G33</f>
        <v>0</v>
      </c>
      <c r="I249" s="251">
        <f>'5ª'!$H33</f>
        <v>0</v>
      </c>
      <c r="J249" s="362"/>
      <c r="K249" s="362">
        <f>'5ª'!$I33</f>
        <v>0</v>
      </c>
      <c r="L249" s="250" t="str">
        <f ca="1">'5ª'!$J33</f>
        <v/>
      </c>
      <c r="M249" s="362"/>
      <c r="N249" s="252" t="str">
        <f ca="1">'5ª'!$K33</f>
        <v/>
      </c>
      <c r="O249" s="362"/>
      <c r="P249" s="253" t="s">
        <v>110</v>
      </c>
      <c r="Q249" s="415" t="s">
        <v>250</v>
      </c>
      <c r="R249" s="383" t="str">
        <f>'5ª'!$L33</f>
        <v>Não</v>
      </c>
      <c r="S249" s="383" t="str">
        <f>'5ª'!$M33</f>
        <v>-</v>
      </c>
      <c r="T249" s="383" t="str">
        <f>'5ª'!$N33</f>
        <v>-</v>
      </c>
      <c r="U249" s="383" t="str">
        <f>'5ª'!$O33</f>
        <v>-</v>
      </c>
      <c r="V249" s="383" t="str">
        <f>'5ª'!$P33</f>
        <v>-</v>
      </c>
      <c r="W249" s="383" t="str">
        <f>'5ª'!$Q33</f>
        <v>-</v>
      </c>
      <c r="X249" s="383" t="str">
        <f>'5ª'!$R33</f>
        <v>-</v>
      </c>
      <c r="Y249" s="383" t="str">
        <f>'5ª'!$S33</f>
        <v>-</v>
      </c>
      <c r="Z249" s="384">
        <f>'5ª'!$T33</f>
        <v>0</v>
      </c>
      <c r="AA249" s="384">
        <f>'5ª'!$U33</f>
        <v>0</v>
      </c>
      <c r="AB249" s="385" t="s">
        <v>325</v>
      </c>
      <c r="AC249" s="385"/>
      <c r="AD249" s="435" t="s">
        <v>466</v>
      </c>
    </row>
    <row r="250" spans="1:30" ht="15.75" x14ac:dyDescent="0.25">
      <c r="A250" s="416" t="str">
        <f>RIGHT('[1]5ª'!$A$5:$D$5,12)</f>
        <v>5ª SÉRIE E.F</v>
      </c>
      <c r="B250" s="451">
        <v>29</v>
      </c>
      <c r="C250" s="248">
        <f>'5ª'!$B34</f>
        <v>0</v>
      </c>
      <c r="D250" s="362">
        <f>'5ª'!$C34</f>
        <v>0</v>
      </c>
      <c r="E250" s="249">
        <f>'5ª'!$D34</f>
        <v>0</v>
      </c>
      <c r="F250" s="249" t="str">
        <f>'5ª'!$E34</f>
        <v/>
      </c>
      <c r="G250" s="250">
        <f>'5ª'!$F34</f>
        <v>0</v>
      </c>
      <c r="H250" s="362">
        <f>'5ª'!$G34</f>
        <v>0</v>
      </c>
      <c r="I250" s="251">
        <f>'5ª'!$H34</f>
        <v>0</v>
      </c>
      <c r="J250" s="362"/>
      <c r="K250" s="362">
        <f>'5ª'!$I34</f>
        <v>0</v>
      </c>
      <c r="L250" s="250" t="str">
        <f ca="1">'5ª'!$J34</f>
        <v/>
      </c>
      <c r="M250" s="362"/>
      <c r="N250" s="252" t="str">
        <f ca="1">'5ª'!$K34</f>
        <v/>
      </c>
      <c r="O250" s="362"/>
      <c r="P250" s="253" t="s">
        <v>110</v>
      </c>
      <c r="Q250" s="415" t="s">
        <v>250</v>
      </c>
      <c r="R250" s="383" t="str">
        <f>'5ª'!$L34</f>
        <v>Não</v>
      </c>
      <c r="S250" s="383" t="str">
        <f>'5ª'!$M34</f>
        <v>-</v>
      </c>
      <c r="T250" s="383" t="str">
        <f>'5ª'!$N34</f>
        <v>-</v>
      </c>
      <c r="U250" s="383" t="str">
        <f>'5ª'!$O34</f>
        <v>-</v>
      </c>
      <c r="V250" s="383" t="str">
        <f>'5ª'!$P34</f>
        <v>-</v>
      </c>
      <c r="W250" s="383" t="str">
        <f>'5ª'!$Q34</f>
        <v>-</v>
      </c>
      <c r="X250" s="383" t="str">
        <f>'5ª'!$R34</f>
        <v>-</v>
      </c>
      <c r="Y250" s="383" t="str">
        <f>'5ª'!$S34</f>
        <v>-</v>
      </c>
      <c r="Z250" s="384">
        <f>'5ª'!$T34</f>
        <v>0</v>
      </c>
      <c r="AA250" s="384">
        <f>'5ª'!$U34</f>
        <v>0</v>
      </c>
      <c r="AB250" s="385" t="s">
        <v>325</v>
      </c>
      <c r="AC250" s="385"/>
      <c r="AD250" s="435" t="s">
        <v>466</v>
      </c>
    </row>
    <row r="251" spans="1:30" ht="15.75" x14ac:dyDescent="0.25">
      <c r="A251" s="416" t="str">
        <f>RIGHT('[1]5ª'!$A$5:$D$5,12)</f>
        <v>5ª SÉRIE E.F</v>
      </c>
      <c r="B251" s="451">
        <v>30</v>
      </c>
      <c r="C251" s="248">
        <f>'5ª'!$B35</f>
        <v>0</v>
      </c>
      <c r="D251" s="362">
        <f>'5ª'!$C35</f>
        <v>0</v>
      </c>
      <c r="E251" s="249">
        <f>'5ª'!$D35</f>
        <v>0</v>
      </c>
      <c r="F251" s="249" t="str">
        <f>'5ª'!$E35</f>
        <v/>
      </c>
      <c r="G251" s="250">
        <f>'5ª'!$F35</f>
        <v>0</v>
      </c>
      <c r="H251" s="362">
        <f>'5ª'!$G35</f>
        <v>0</v>
      </c>
      <c r="I251" s="251">
        <f>'5ª'!$H35</f>
        <v>0</v>
      </c>
      <c r="J251" s="362"/>
      <c r="K251" s="362">
        <f>'5ª'!$I35</f>
        <v>0</v>
      </c>
      <c r="L251" s="250" t="str">
        <f ca="1">'5ª'!$J35</f>
        <v/>
      </c>
      <c r="M251" s="362"/>
      <c r="N251" s="252" t="str">
        <f ca="1">'5ª'!$K35</f>
        <v/>
      </c>
      <c r="O251" s="362"/>
      <c r="P251" s="253" t="s">
        <v>110</v>
      </c>
      <c r="Q251" s="415" t="s">
        <v>250</v>
      </c>
      <c r="R251" s="383" t="str">
        <f>'5ª'!$L35</f>
        <v>Não</v>
      </c>
      <c r="S251" s="383" t="str">
        <f>'5ª'!$M35</f>
        <v>-</v>
      </c>
      <c r="T251" s="383" t="str">
        <f>'5ª'!$N35</f>
        <v>-</v>
      </c>
      <c r="U251" s="383" t="str">
        <f>'5ª'!$O35</f>
        <v>-</v>
      </c>
      <c r="V251" s="383" t="str">
        <f>'5ª'!$P35</f>
        <v>-</v>
      </c>
      <c r="W251" s="383" t="str">
        <f>'5ª'!$Q35</f>
        <v>-</v>
      </c>
      <c r="X251" s="383" t="str">
        <f>'5ª'!$R35</f>
        <v>-</v>
      </c>
      <c r="Y251" s="383" t="str">
        <f>'5ª'!$S35</f>
        <v>-</v>
      </c>
      <c r="Z251" s="384">
        <f>'5ª'!$T35</f>
        <v>0</v>
      </c>
      <c r="AA251" s="384">
        <f>'5ª'!$U35</f>
        <v>0</v>
      </c>
      <c r="AB251" s="385" t="s">
        <v>325</v>
      </c>
      <c r="AC251" s="385"/>
      <c r="AD251" s="435" t="s">
        <v>466</v>
      </c>
    </row>
    <row r="252" spans="1:30" ht="15.75" x14ac:dyDescent="0.25">
      <c r="A252" s="416" t="str">
        <f>RIGHT('[1]5ª'!$A$5:$D$5,12)</f>
        <v>5ª SÉRIE E.F</v>
      </c>
      <c r="B252" s="451">
        <v>31</v>
      </c>
      <c r="C252" s="248">
        <f>'5ª'!$B36</f>
        <v>0</v>
      </c>
      <c r="D252" s="362">
        <f>'5ª'!$C36</f>
        <v>0</v>
      </c>
      <c r="E252" s="249">
        <f>'5ª'!$D36</f>
        <v>0</v>
      </c>
      <c r="F252" s="249">
        <f>'5ª'!$E36</f>
        <v>0</v>
      </c>
      <c r="G252" s="250">
        <f>'5ª'!$F36</f>
        <v>0</v>
      </c>
      <c r="H252" s="362">
        <f>'5ª'!$G36</f>
        <v>0</v>
      </c>
      <c r="I252" s="251">
        <f>'5ª'!$H36</f>
        <v>0</v>
      </c>
      <c r="J252" s="362"/>
      <c r="K252" s="362">
        <f>'5ª'!$I36</f>
        <v>0</v>
      </c>
      <c r="L252" s="250">
        <f>'5ª'!$J36</f>
        <v>0</v>
      </c>
      <c r="M252" s="362"/>
      <c r="N252" s="252">
        <f>'5ª'!$K36</f>
        <v>0</v>
      </c>
      <c r="O252" s="362"/>
      <c r="P252" s="253" t="s">
        <v>110</v>
      </c>
      <c r="Q252" s="415" t="s">
        <v>250</v>
      </c>
      <c r="R252" s="383">
        <f>'5ª'!$L36</f>
        <v>0</v>
      </c>
      <c r="S252" s="383">
        <f>'5ª'!$M36</f>
        <v>0</v>
      </c>
      <c r="T252" s="383">
        <f>'5ª'!$N36</f>
        <v>0</v>
      </c>
      <c r="U252" s="383">
        <f>'5ª'!$O36</f>
        <v>0</v>
      </c>
      <c r="V252" s="383">
        <f>'5ª'!$P36</f>
        <v>0</v>
      </c>
      <c r="W252" s="383">
        <f>'5ª'!$Q36</f>
        <v>0</v>
      </c>
      <c r="X252" s="383">
        <f>'5ª'!$R36</f>
        <v>0</v>
      </c>
      <c r="Y252" s="383">
        <f>'5ª'!$S36</f>
        <v>0</v>
      </c>
      <c r="Z252" s="384">
        <f>'5ª'!$T36</f>
        <v>0</v>
      </c>
      <c r="AA252" s="384">
        <f>'5ª'!$U36</f>
        <v>0</v>
      </c>
      <c r="AB252" s="385" t="s">
        <v>325</v>
      </c>
      <c r="AC252" s="385"/>
      <c r="AD252" s="435" t="s">
        <v>466</v>
      </c>
    </row>
    <row r="253" spans="1:30" ht="15.75" x14ac:dyDescent="0.25">
      <c r="A253" s="416" t="str">
        <f>RIGHT('[1]5ª'!$A$5:$D$5,12)</f>
        <v>5ª SÉRIE E.F</v>
      </c>
      <c r="B253" s="451">
        <v>32</v>
      </c>
      <c r="C253" s="248">
        <f>'5ª'!$B37</f>
        <v>0</v>
      </c>
      <c r="D253" s="362">
        <f>'5ª'!$C37</f>
        <v>0</v>
      </c>
      <c r="E253" s="249">
        <f>'5ª'!$D37</f>
        <v>0</v>
      </c>
      <c r="F253" s="249">
        <f>'5ª'!$E37</f>
        <v>0</v>
      </c>
      <c r="G253" s="250">
        <f>'5ª'!$F37</f>
        <v>0</v>
      </c>
      <c r="H253" s="362">
        <f>'5ª'!$G37</f>
        <v>0</v>
      </c>
      <c r="I253" s="251">
        <f>'5ª'!$H37</f>
        <v>0</v>
      </c>
      <c r="J253" s="362"/>
      <c r="K253" s="362">
        <f>'5ª'!$I37</f>
        <v>0</v>
      </c>
      <c r="L253" s="250">
        <f>'5ª'!$J37</f>
        <v>0</v>
      </c>
      <c r="M253" s="362"/>
      <c r="N253" s="252">
        <f>'5ª'!$K37</f>
        <v>0</v>
      </c>
      <c r="O253" s="362"/>
      <c r="P253" s="253" t="s">
        <v>110</v>
      </c>
      <c r="Q253" s="415" t="s">
        <v>250</v>
      </c>
      <c r="R253" s="383">
        <f>'5ª'!$L37</f>
        <v>0</v>
      </c>
      <c r="S253" s="383">
        <f>'5ª'!$M37</f>
        <v>0</v>
      </c>
      <c r="T253" s="383">
        <f>'5ª'!$N37</f>
        <v>0</v>
      </c>
      <c r="U253" s="383">
        <f>'5ª'!$O37</f>
        <v>0</v>
      </c>
      <c r="V253" s="383">
        <f>'5ª'!$P37</f>
        <v>0</v>
      </c>
      <c r="W253" s="383">
        <f>'5ª'!$Q37</f>
        <v>0</v>
      </c>
      <c r="X253" s="383">
        <f>'5ª'!$R37</f>
        <v>0</v>
      </c>
      <c r="Y253" s="383">
        <f>'5ª'!$S37</f>
        <v>0</v>
      </c>
      <c r="Z253" s="384">
        <f>'5ª'!$T37</f>
        <v>0</v>
      </c>
      <c r="AA253" s="384">
        <f>'5ª'!$U37</f>
        <v>0</v>
      </c>
      <c r="AB253" s="385" t="s">
        <v>325</v>
      </c>
      <c r="AC253" s="385"/>
      <c r="AD253" s="435" t="s">
        <v>466</v>
      </c>
    </row>
    <row r="254" spans="1:30" ht="15.75" x14ac:dyDescent="0.25">
      <c r="A254" s="416" t="str">
        <f>RIGHT('[1]5ª'!$A$5:$D$5,12)</f>
        <v>5ª SÉRIE E.F</v>
      </c>
      <c r="B254" s="451">
        <v>33</v>
      </c>
      <c r="C254" s="248">
        <f>'5ª'!$B38</f>
        <v>0</v>
      </c>
      <c r="D254" s="362">
        <f>'5ª'!$C38</f>
        <v>0</v>
      </c>
      <c r="E254" s="249">
        <f>'5ª'!$D38</f>
        <v>0</v>
      </c>
      <c r="F254" s="249">
        <f>'5ª'!$E38</f>
        <v>0</v>
      </c>
      <c r="G254" s="250">
        <f>'5ª'!$F38</f>
        <v>0</v>
      </c>
      <c r="H254" s="362">
        <f>'5ª'!$G38</f>
        <v>0</v>
      </c>
      <c r="I254" s="251">
        <f>'5ª'!$H38</f>
        <v>0</v>
      </c>
      <c r="J254" s="362"/>
      <c r="K254" s="362">
        <f>'5ª'!$I38</f>
        <v>0</v>
      </c>
      <c r="L254" s="250">
        <f>'5ª'!$J38</f>
        <v>0</v>
      </c>
      <c r="M254" s="362"/>
      <c r="N254" s="252">
        <f>'5ª'!$K38</f>
        <v>0</v>
      </c>
      <c r="O254" s="362"/>
      <c r="P254" s="253" t="s">
        <v>110</v>
      </c>
      <c r="Q254" s="415" t="s">
        <v>250</v>
      </c>
      <c r="R254" s="383">
        <f>'5ª'!$L38</f>
        <v>0</v>
      </c>
      <c r="S254" s="383">
        <f>'5ª'!$M38</f>
        <v>0</v>
      </c>
      <c r="T254" s="383">
        <f>'5ª'!$N38</f>
        <v>0</v>
      </c>
      <c r="U254" s="383">
        <f>'5ª'!$O38</f>
        <v>0</v>
      </c>
      <c r="V254" s="383">
        <f>'5ª'!$P38</f>
        <v>0</v>
      </c>
      <c r="W254" s="383">
        <f>'5ª'!$Q38</f>
        <v>0</v>
      </c>
      <c r="X254" s="383">
        <f>'5ª'!$R38</f>
        <v>0</v>
      </c>
      <c r="Y254" s="383">
        <f>'5ª'!$S38</f>
        <v>0</v>
      </c>
      <c r="Z254" s="384">
        <f>'5ª'!$T38</f>
        <v>0</v>
      </c>
      <c r="AA254" s="384">
        <f>'5ª'!$U38</f>
        <v>0</v>
      </c>
      <c r="AB254" s="385" t="s">
        <v>325</v>
      </c>
      <c r="AC254" s="385"/>
      <c r="AD254" s="435" t="s">
        <v>466</v>
      </c>
    </row>
    <row r="255" spans="1:30" ht="15.75" x14ac:dyDescent="0.25">
      <c r="A255" s="416" t="str">
        <f>RIGHT('[1]5ª'!$A$5:$D$5,12)</f>
        <v>5ª SÉRIE E.F</v>
      </c>
      <c r="B255" s="451">
        <v>34</v>
      </c>
      <c r="C255" s="248">
        <f>'5ª'!$B39</f>
        <v>0</v>
      </c>
      <c r="D255" s="362">
        <f>'5ª'!$C39</f>
        <v>0</v>
      </c>
      <c r="E255" s="249">
        <f>'5ª'!$D39</f>
        <v>0</v>
      </c>
      <c r="F255" s="249">
        <f>'5ª'!$E39</f>
        <v>0</v>
      </c>
      <c r="G255" s="250">
        <f>'5ª'!$F39</f>
        <v>0</v>
      </c>
      <c r="H255" s="362">
        <f>'5ª'!$G39</f>
        <v>0</v>
      </c>
      <c r="I255" s="251">
        <f>'5ª'!$H39</f>
        <v>0</v>
      </c>
      <c r="J255" s="362"/>
      <c r="K255" s="362">
        <f>'5ª'!$I39</f>
        <v>0</v>
      </c>
      <c r="L255" s="250">
        <f>'5ª'!$J39</f>
        <v>0</v>
      </c>
      <c r="M255" s="362"/>
      <c r="N255" s="252">
        <f>'5ª'!$K39</f>
        <v>0</v>
      </c>
      <c r="O255" s="362"/>
      <c r="P255" s="253" t="s">
        <v>110</v>
      </c>
      <c r="Q255" s="415" t="s">
        <v>250</v>
      </c>
      <c r="R255" s="383">
        <f>'5ª'!$L39</f>
        <v>0</v>
      </c>
      <c r="S255" s="383">
        <f>'5ª'!$M39</f>
        <v>0</v>
      </c>
      <c r="T255" s="383">
        <f>'5ª'!$N39</f>
        <v>0</v>
      </c>
      <c r="U255" s="383">
        <f>'5ª'!$O39</f>
        <v>0</v>
      </c>
      <c r="V255" s="383">
        <f>'5ª'!$P39</f>
        <v>0</v>
      </c>
      <c r="W255" s="383">
        <f>'5ª'!$Q39</f>
        <v>0</v>
      </c>
      <c r="X255" s="383">
        <f>'5ª'!$R39</f>
        <v>0</v>
      </c>
      <c r="Y255" s="383">
        <f>'5ª'!$S39</f>
        <v>0</v>
      </c>
      <c r="Z255" s="384">
        <f>'5ª'!$T39</f>
        <v>0</v>
      </c>
      <c r="AA255" s="384">
        <f>'5ª'!$U39</f>
        <v>0</v>
      </c>
      <c r="AB255" s="385" t="s">
        <v>325</v>
      </c>
      <c r="AC255" s="385"/>
      <c r="AD255" s="435" t="s">
        <v>466</v>
      </c>
    </row>
    <row r="256" spans="1:30" ht="15.75" x14ac:dyDescent="0.25">
      <c r="A256" s="416" t="str">
        <f>RIGHT('[1]5ª'!$A$5:$D$5,12)</f>
        <v>5ª SÉRIE E.F</v>
      </c>
      <c r="B256" s="451">
        <v>35</v>
      </c>
      <c r="C256" s="248">
        <f>'5ª'!$B40</f>
        <v>0</v>
      </c>
      <c r="D256" s="362">
        <f>'5ª'!$C40</f>
        <v>0</v>
      </c>
      <c r="E256" s="249">
        <f>'5ª'!$D40</f>
        <v>0</v>
      </c>
      <c r="F256" s="249">
        <f>'5ª'!$E40</f>
        <v>0</v>
      </c>
      <c r="G256" s="250">
        <f>'5ª'!$F40</f>
        <v>0</v>
      </c>
      <c r="H256" s="362">
        <f>'5ª'!$G40</f>
        <v>0</v>
      </c>
      <c r="I256" s="251">
        <f>'5ª'!$H40</f>
        <v>0</v>
      </c>
      <c r="J256" s="362"/>
      <c r="K256" s="362">
        <f>'5ª'!$I40</f>
        <v>0</v>
      </c>
      <c r="L256" s="250">
        <f>'5ª'!$J40</f>
        <v>0</v>
      </c>
      <c r="M256" s="362"/>
      <c r="N256" s="252">
        <f>'5ª'!$K40</f>
        <v>0</v>
      </c>
      <c r="O256" s="362"/>
      <c r="P256" s="253" t="s">
        <v>110</v>
      </c>
      <c r="Q256" s="415" t="s">
        <v>250</v>
      </c>
      <c r="R256" s="383">
        <f>'5ª'!$L40</f>
        <v>0</v>
      </c>
      <c r="S256" s="383">
        <f>'5ª'!$M40</f>
        <v>0</v>
      </c>
      <c r="T256" s="383">
        <f>'5ª'!$N40</f>
        <v>0</v>
      </c>
      <c r="U256" s="383">
        <f>'5ª'!$O40</f>
        <v>0</v>
      </c>
      <c r="V256" s="383">
        <f>'5ª'!$P40</f>
        <v>0</v>
      </c>
      <c r="W256" s="383">
        <f>'5ª'!$Q40</f>
        <v>0</v>
      </c>
      <c r="X256" s="383">
        <f>'5ª'!$R40</f>
        <v>0</v>
      </c>
      <c r="Y256" s="383">
        <f>'5ª'!$S40</f>
        <v>0</v>
      </c>
      <c r="Z256" s="384">
        <f>'5ª'!$T40</f>
        <v>0</v>
      </c>
      <c r="AA256" s="384">
        <f>'5ª'!$U40</f>
        <v>0</v>
      </c>
      <c r="AB256" s="385" t="s">
        <v>325</v>
      </c>
      <c r="AC256" s="385"/>
      <c r="AD256" s="435" t="s">
        <v>466</v>
      </c>
    </row>
    <row r="257" spans="1:30" ht="15.75" x14ac:dyDescent="0.25">
      <c r="A257" s="416" t="str">
        <f>RIGHT('[1]5ª'!$A$5:$D$5,12)</f>
        <v>5ª SÉRIE E.F</v>
      </c>
      <c r="B257" s="451">
        <v>36</v>
      </c>
      <c r="C257" s="248">
        <f>'5ª'!$B41</f>
        <v>0</v>
      </c>
      <c r="D257" s="362">
        <f>'5ª'!$C41</f>
        <v>0</v>
      </c>
      <c r="E257" s="249">
        <f>'5ª'!$D41</f>
        <v>0</v>
      </c>
      <c r="F257" s="249">
        <f>'5ª'!$E41</f>
        <v>0</v>
      </c>
      <c r="G257" s="250">
        <f>'5ª'!$F41</f>
        <v>0</v>
      </c>
      <c r="H257" s="362">
        <f>'5ª'!$G41</f>
        <v>0</v>
      </c>
      <c r="I257" s="251">
        <f>'5ª'!$H41</f>
        <v>0</v>
      </c>
      <c r="J257" s="362"/>
      <c r="K257" s="362">
        <f>'5ª'!$I41</f>
        <v>0</v>
      </c>
      <c r="L257" s="250">
        <f>'5ª'!$J41</f>
        <v>0</v>
      </c>
      <c r="M257" s="362"/>
      <c r="N257" s="252">
        <f>'5ª'!$K41</f>
        <v>0</v>
      </c>
      <c r="O257" s="362"/>
      <c r="P257" s="253" t="s">
        <v>110</v>
      </c>
      <c r="Q257" s="415" t="s">
        <v>250</v>
      </c>
      <c r="R257" s="383">
        <f>'5ª'!$L41</f>
        <v>0</v>
      </c>
      <c r="S257" s="383">
        <f>'5ª'!$M41</f>
        <v>0</v>
      </c>
      <c r="T257" s="383">
        <f>'5ª'!$N41</f>
        <v>0</v>
      </c>
      <c r="U257" s="383">
        <f>'5ª'!$O41</f>
        <v>0</v>
      </c>
      <c r="V257" s="383">
        <f>'5ª'!$P41</f>
        <v>0</v>
      </c>
      <c r="W257" s="383">
        <f>'5ª'!$Q41</f>
        <v>0</v>
      </c>
      <c r="X257" s="383">
        <f>'5ª'!$R41</f>
        <v>0</v>
      </c>
      <c r="Y257" s="383">
        <f>'5ª'!$S41</f>
        <v>0</v>
      </c>
      <c r="Z257" s="384">
        <f>'5ª'!$T41</f>
        <v>0</v>
      </c>
      <c r="AA257" s="384">
        <f>'5ª'!$U41</f>
        <v>0</v>
      </c>
      <c r="AB257" s="385" t="s">
        <v>325</v>
      </c>
      <c r="AC257" s="385"/>
      <c r="AD257" s="435" t="s">
        <v>466</v>
      </c>
    </row>
    <row r="258" spans="1:30" ht="15.75" x14ac:dyDescent="0.25">
      <c r="A258" s="416" t="str">
        <f>RIGHT('[1]5ª'!$A$5:$D$5,12)</f>
        <v>5ª SÉRIE E.F</v>
      </c>
      <c r="B258" s="451">
        <v>37</v>
      </c>
      <c r="C258" s="248">
        <f>'5ª'!$B42</f>
        <v>0</v>
      </c>
      <c r="D258" s="362">
        <f>'5ª'!$C42</f>
        <v>0</v>
      </c>
      <c r="E258" s="249">
        <f>'5ª'!$D42</f>
        <v>0</v>
      </c>
      <c r="F258" s="249">
        <f>'5ª'!$E42</f>
        <v>0</v>
      </c>
      <c r="G258" s="250">
        <f>'5ª'!$F42</f>
        <v>0</v>
      </c>
      <c r="H258" s="362">
        <f>'5ª'!$G42</f>
        <v>0</v>
      </c>
      <c r="I258" s="251">
        <f>'5ª'!$H42</f>
        <v>0</v>
      </c>
      <c r="J258" s="362"/>
      <c r="K258" s="362">
        <f>'5ª'!$I42</f>
        <v>0</v>
      </c>
      <c r="L258" s="250">
        <f>'5ª'!$J42</f>
        <v>0</v>
      </c>
      <c r="M258" s="362"/>
      <c r="N258" s="252">
        <f>'5ª'!$K42</f>
        <v>0</v>
      </c>
      <c r="O258" s="362"/>
      <c r="P258" s="253" t="s">
        <v>110</v>
      </c>
      <c r="Q258" s="415" t="s">
        <v>250</v>
      </c>
      <c r="R258" s="383">
        <f>'5ª'!$L42</f>
        <v>0</v>
      </c>
      <c r="S258" s="383">
        <f>'5ª'!$M42</f>
        <v>0</v>
      </c>
      <c r="T258" s="383">
        <f>'5ª'!$N42</f>
        <v>0</v>
      </c>
      <c r="U258" s="383">
        <f>'5ª'!$O42</f>
        <v>0</v>
      </c>
      <c r="V258" s="383">
        <f>'5ª'!$P42</f>
        <v>0</v>
      </c>
      <c r="W258" s="383">
        <f>'5ª'!$Q42</f>
        <v>0</v>
      </c>
      <c r="X258" s="383">
        <f>'5ª'!$R42</f>
        <v>0</v>
      </c>
      <c r="Y258" s="383">
        <f>'5ª'!$S42</f>
        <v>0</v>
      </c>
      <c r="Z258" s="384">
        <f>'5ª'!$T42</f>
        <v>0</v>
      </c>
      <c r="AA258" s="384">
        <f>'5ª'!$U42</f>
        <v>0</v>
      </c>
      <c r="AB258" s="385" t="s">
        <v>325</v>
      </c>
      <c r="AC258" s="385"/>
      <c r="AD258" s="435" t="s">
        <v>466</v>
      </c>
    </row>
    <row r="259" spans="1:30" ht="15.75" x14ac:dyDescent="0.25">
      <c r="A259" s="416" t="str">
        <f>RIGHT('[1]5ª'!$A$5:$D$5,12)</f>
        <v>5ª SÉRIE E.F</v>
      </c>
      <c r="B259" s="451">
        <v>38</v>
      </c>
      <c r="C259" s="248">
        <f>'5ª'!$B43</f>
        <v>0</v>
      </c>
      <c r="D259" s="362">
        <f>'5ª'!$C43</f>
        <v>0</v>
      </c>
      <c r="E259" s="249">
        <f>'5ª'!$D43</f>
        <v>0</v>
      </c>
      <c r="F259" s="249">
        <f>'5ª'!$E43</f>
        <v>0</v>
      </c>
      <c r="G259" s="250">
        <f>'5ª'!$F43</f>
        <v>0</v>
      </c>
      <c r="H259" s="362">
        <f>'5ª'!$G43</f>
        <v>0</v>
      </c>
      <c r="I259" s="251">
        <f>'5ª'!$H43</f>
        <v>0</v>
      </c>
      <c r="J259" s="362"/>
      <c r="K259" s="362">
        <f>'5ª'!$I43</f>
        <v>0</v>
      </c>
      <c r="L259" s="250">
        <f>'5ª'!$J43</f>
        <v>0</v>
      </c>
      <c r="M259" s="362"/>
      <c r="N259" s="252">
        <f>'5ª'!$K43</f>
        <v>0</v>
      </c>
      <c r="O259" s="362"/>
      <c r="P259" s="253" t="s">
        <v>110</v>
      </c>
      <c r="Q259" s="415" t="s">
        <v>250</v>
      </c>
      <c r="R259" s="383">
        <f>'5ª'!$L43</f>
        <v>0</v>
      </c>
      <c r="S259" s="383">
        <f>'5ª'!$M43</f>
        <v>0</v>
      </c>
      <c r="T259" s="383">
        <f>'5ª'!$N43</f>
        <v>0</v>
      </c>
      <c r="U259" s="383">
        <f>'5ª'!$O43</f>
        <v>0</v>
      </c>
      <c r="V259" s="383">
        <f>'5ª'!$P43</f>
        <v>0</v>
      </c>
      <c r="W259" s="383">
        <f>'5ª'!$Q43</f>
        <v>0</v>
      </c>
      <c r="X259" s="383">
        <f>'5ª'!$R43</f>
        <v>0</v>
      </c>
      <c r="Y259" s="383">
        <f>'5ª'!$S43</f>
        <v>0</v>
      </c>
      <c r="Z259" s="384">
        <f>'5ª'!$T43</f>
        <v>0</v>
      </c>
      <c r="AA259" s="384">
        <f>'5ª'!$U43</f>
        <v>0</v>
      </c>
      <c r="AB259" s="385" t="s">
        <v>325</v>
      </c>
      <c r="AC259" s="385"/>
      <c r="AD259" s="435" t="s">
        <v>466</v>
      </c>
    </row>
    <row r="260" spans="1:30" ht="15.75" x14ac:dyDescent="0.25">
      <c r="A260" s="416" t="str">
        <f>RIGHT('[1]5ª'!$A$5:$D$5,12)</f>
        <v>5ª SÉRIE E.F</v>
      </c>
      <c r="B260" s="451">
        <v>39</v>
      </c>
      <c r="C260" s="248">
        <f>'5ª'!$B44</f>
        <v>0</v>
      </c>
      <c r="D260" s="362">
        <f>'5ª'!$C44</f>
        <v>0</v>
      </c>
      <c r="E260" s="249">
        <f>'5ª'!$D44</f>
        <v>0</v>
      </c>
      <c r="F260" s="249">
        <f>'5ª'!$E44</f>
        <v>0</v>
      </c>
      <c r="G260" s="250">
        <f>'5ª'!$F44</f>
        <v>0</v>
      </c>
      <c r="H260" s="362">
        <f>'5ª'!$G44</f>
        <v>0</v>
      </c>
      <c r="I260" s="251">
        <f>'5ª'!$H44</f>
        <v>0</v>
      </c>
      <c r="J260" s="362"/>
      <c r="K260" s="362">
        <f>'5ª'!$I44</f>
        <v>0</v>
      </c>
      <c r="L260" s="250">
        <f>'5ª'!$J44</f>
        <v>0</v>
      </c>
      <c r="M260" s="362"/>
      <c r="N260" s="252">
        <f>'5ª'!$K44</f>
        <v>0</v>
      </c>
      <c r="O260" s="362"/>
      <c r="P260" s="253" t="s">
        <v>110</v>
      </c>
      <c r="Q260" s="415" t="s">
        <v>250</v>
      </c>
      <c r="R260" s="383">
        <f>'5ª'!$L44</f>
        <v>0</v>
      </c>
      <c r="S260" s="383">
        <f>'5ª'!$M44</f>
        <v>0</v>
      </c>
      <c r="T260" s="383">
        <f>'5ª'!$N44</f>
        <v>0</v>
      </c>
      <c r="U260" s="383">
        <f>'5ª'!$O44</f>
        <v>0</v>
      </c>
      <c r="V260" s="383">
        <f>'5ª'!$P44</f>
        <v>0</v>
      </c>
      <c r="W260" s="383">
        <f>'5ª'!$Q44</f>
        <v>0</v>
      </c>
      <c r="X260" s="383">
        <f>'5ª'!$R44</f>
        <v>0</v>
      </c>
      <c r="Y260" s="383">
        <f>'5ª'!$S44</f>
        <v>0</v>
      </c>
      <c r="Z260" s="384">
        <f>'5ª'!$T44</f>
        <v>0</v>
      </c>
      <c r="AA260" s="384">
        <f>'5ª'!$U44</f>
        <v>0</v>
      </c>
      <c r="AB260" s="385" t="s">
        <v>325</v>
      </c>
      <c r="AC260" s="385"/>
      <c r="AD260" s="435" t="s">
        <v>466</v>
      </c>
    </row>
    <row r="261" spans="1:30" ht="15.75" x14ac:dyDescent="0.25">
      <c r="A261" s="416" t="str">
        <f>RIGHT('[1]5ª'!$A$5:$D$5,12)</f>
        <v>5ª SÉRIE E.F</v>
      </c>
      <c r="B261" s="451">
        <v>40</v>
      </c>
      <c r="C261" s="248">
        <f>'5ª'!$B45</f>
        <v>0</v>
      </c>
      <c r="D261" s="362">
        <f>'5ª'!$C45</f>
        <v>0</v>
      </c>
      <c r="E261" s="249">
        <f>'5ª'!$D45</f>
        <v>0</v>
      </c>
      <c r="F261" s="249">
        <f>'5ª'!$E45</f>
        <v>0</v>
      </c>
      <c r="G261" s="250">
        <f>'5ª'!$F45</f>
        <v>0</v>
      </c>
      <c r="H261" s="362">
        <f>'5ª'!$G45</f>
        <v>0</v>
      </c>
      <c r="I261" s="251">
        <f>'5ª'!$H45</f>
        <v>0</v>
      </c>
      <c r="J261" s="362"/>
      <c r="K261" s="362">
        <f>'5ª'!$I45</f>
        <v>0</v>
      </c>
      <c r="L261" s="250">
        <f>'5ª'!$J45</f>
        <v>0</v>
      </c>
      <c r="M261" s="362"/>
      <c r="N261" s="252">
        <f>'5ª'!$K45</f>
        <v>0</v>
      </c>
      <c r="O261" s="362"/>
      <c r="P261" s="253" t="s">
        <v>110</v>
      </c>
      <c r="Q261" s="415" t="s">
        <v>250</v>
      </c>
      <c r="R261" s="383">
        <f>'5ª'!$L45</f>
        <v>0</v>
      </c>
      <c r="S261" s="383">
        <f>'5ª'!$M45</f>
        <v>0</v>
      </c>
      <c r="T261" s="383">
        <f>'5ª'!$N45</f>
        <v>0</v>
      </c>
      <c r="U261" s="383">
        <f>'5ª'!$O45</f>
        <v>0</v>
      </c>
      <c r="V261" s="383">
        <f>'5ª'!$P45</f>
        <v>0</v>
      </c>
      <c r="W261" s="383">
        <f>'5ª'!$Q45</f>
        <v>0</v>
      </c>
      <c r="X261" s="383">
        <f>'5ª'!$R45</f>
        <v>0</v>
      </c>
      <c r="Y261" s="383">
        <f>'5ª'!$S45</f>
        <v>0</v>
      </c>
      <c r="Z261" s="384">
        <f>'5ª'!$T45</f>
        <v>0</v>
      </c>
      <c r="AA261" s="384">
        <f>'5ª'!$U45</f>
        <v>0</v>
      </c>
      <c r="AB261" s="385" t="s">
        <v>325</v>
      </c>
      <c r="AC261" s="385"/>
      <c r="AD261" s="435" t="s">
        <v>466</v>
      </c>
    </row>
    <row r="262" spans="1:30" ht="15.75" x14ac:dyDescent="0.25">
      <c r="A262" s="416" t="str">
        <f>RIGHT('[1]5ª'!$A$5:$D$5,12)</f>
        <v>5ª SÉRIE E.F</v>
      </c>
      <c r="B262" s="451">
        <v>41</v>
      </c>
      <c r="C262" s="248">
        <f>'5ª'!$B46</f>
        <v>0</v>
      </c>
      <c r="D262" s="362">
        <f>'5ª'!$C46</f>
        <v>0</v>
      </c>
      <c r="E262" s="249">
        <f>'5ª'!$D46</f>
        <v>0</v>
      </c>
      <c r="F262" s="249">
        <f>'5ª'!$E46</f>
        <v>0</v>
      </c>
      <c r="G262" s="250">
        <f>'5ª'!$F46</f>
        <v>0</v>
      </c>
      <c r="H262" s="362">
        <f>'5ª'!$G46</f>
        <v>0</v>
      </c>
      <c r="I262" s="251">
        <f>'5ª'!$H46</f>
        <v>0</v>
      </c>
      <c r="J262" s="362"/>
      <c r="K262" s="362">
        <f>'5ª'!$I46</f>
        <v>0</v>
      </c>
      <c r="L262" s="250">
        <f>'5ª'!$J46</f>
        <v>0</v>
      </c>
      <c r="M262" s="362"/>
      <c r="N262" s="252">
        <f>'5ª'!$K46</f>
        <v>0</v>
      </c>
      <c r="O262" s="362"/>
      <c r="P262" s="253" t="s">
        <v>110</v>
      </c>
      <c r="Q262" s="415" t="s">
        <v>250</v>
      </c>
      <c r="R262" s="383">
        <f>'5ª'!$L46</f>
        <v>0</v>
      </c>
      <c r="S262" s="383">
        <f>'5ª'!$M46</f>
        <v>0</v>
      </c>
      <c r="T262" s="383">
        <f>'5ª'!$N46</f>
        <v>0</v>
      </c>
      <c r="U262" s="383">
        <f>'5ª'!$O46</f>
        <v>0</v>
      </c>
      <c r="V262" s="383">
        <f>'5ª'!$P46</f>
        <v>0</v>
      </c>
      <c r="W262" s="383">
        <f>'5ª'!$Q46</f>
        <v>0</v>
      </c>
      <c r="X262" s="383">
        <f>'5ª'!$R46</f>
        <v>0</v>
      </c>
      <c r="Y262" s="383">
        <f>'5ª'!$S46</f>
        <v>0</v>
      </c>
      <c r="Z262" s="384">
        <f>'5ª'!$T46</f>
        <v>0</v>
      </c>
      <c r="AA262" s="384">
        <f>'5ª'!$U46</f>
        <v>0</v>
      </c>
      <c r="AB262" s="385" t="s">
        <v>325</v>
      </c>
      <c r="AC262" s="385"/>
      <c r="AD262" s="435" t="s">
        <v>466</v>
      </c>
    </row>
    <row r="263" spans="1:30" ht="15.75" x14ac:dyDescent="0.25">
      <c r="A263" s="416" t="str">
        <f>RIGHT('[1]5ª'!$A$5:$D$5,12)</f>
        <v>5ª SÉRIE E.F</v>
      </c>
      <c r="B263" s="451">
        <v>42</v>
      </c>
      <c r="C263" s="248">
        <f>'5ª'!$B47</f>
        <v>0</v>
      </c>
      <c r="D263" s="362">
        <f>'5ª'!$C47</f>
        <v>0</v>
      </c>
      <c r="E263" s="249">
        <f>'5ª'!$D47</f>
        <v>0</v>
      </c>
      <c r="F263" s="249">
        <f>'5ª'!$E47</f>
        <v>0</v>
      </c>
      <c r="G263" s="250">
        <f>'5ª'!$F47</f>
        <v>0</v>
      </c>
      <c r="H263" s="362">
        <f>'5ª'!$G47</f>
        <v>0</v>
      </c>
      <c r="I263" s="251">
        <f>'5ª'!$H47</f>
        <v>0</v>
      </c>
      <c r="J263" s="362"/>
      <c r="K263" s="362">
        <f>'5ª'!$I47</f>
        <v>0</v>
      </c>
      <c r="L263" s="250">
        <f>'5ª'!$J47</f>
        <v>0</v>
      </c>
      <c r="M263" s="362"/>
      <c r="N263" s="252">
        <f>'5ª'!$K47</f>
        <v>0</v>
      </c>
      <c r="O263" s="362"/>
      <c r="P263" s="253" t="s">
        <v>110</v>
      </c>
      <c r="Q263" s="415" t="s">
        <v>250</v>
      </c>
      <c r="R263" s="383">
        <f>'5ª'!$L47</f>
        <v>0</v>
      </c>
      <c r="S263" s="383">
        <f>'5ª'!$M47</f>
        <v>0</v>
      </c>
      <c r="T263" s="383">
        <f>'5ª'!$N47</f>
        <v>0</v>
      </c>
      <c r="U263" s="383">
        <f>'5ª'!$O47</f>
        <v>0</v>
      </c>
      <c r="V263" s="383">
        <f>'5ª'!$P47</f>
        <v>0</v>
      </c>
      <c r="W263" s="383">
        <f>'5ª'!$Q47</f>
        <v>0</v>
      </c>
      <c r="X263" s="383">
        <f>'5ª'!$R47</f>
        <v>0</v>
      </c>
      <c r="Y263" s="383">
        <f>'5ª'!$S47</f>
        <v>0</v>
      </c>
      <c r="Z263" s="384">
        <f>'5ª'!$T47</f>
        <v>0</v>
      </c>
      <c r="AA263" s="384">
        <f>'5ª'!$U47</f>
        <v>0</v>
      </c>
      <c r="AB263" s="385" t="s">
        <v>325</v>
      </c>
      <c r="AC263" s="385"/>
      <c r="AD263" s="435" t="s">
        <v>466</v>
      </c>
    </row>
    <row r="264" spans="1:30" ht="15.75" x14ac:dyDescent="0.25">
      <c r="A264" s="416" t="str">
        <f>RIGHT('[1]5ª'!$A$5:$D$5,12)</f>
        <v>5ª SÉRIE E.F</v>
      </c>
      <c r="B264" s="451">
        <v>43</v>
      </c>
      <c r="C264" s="248">
        <f>'5ª'!$B48</f>
        <v>0</v>
      </c>
      <c r="D264" s="362">
        <f>'5ª'!$C48</f>
        <v>0</v>
      </c>
      <c r="E264" s="249">
        <f>'5ª'!$D48</f>
        <v>0</v>
      </c>
      <c r="F264" s="249">
        <f>'5ª'!$E48</f>
        <v>0</v>
      </c>
      <c r="G264" s="250">
        <f>'5ª'!$F48</f>
        <v>0</v>
      </c>
      <c r="H264" s="362">
        <f>'5ª'!$G48</f>
        <v>0</v>
      </c>
      <c r="I264" s="251">
        <f>'5ª'!$H48</f>
        <v>0</v>
      </c>
      <c r="J264" s="362"/>
      <c r="K264" s="362">
        <f>'5ª'!$I48</f>
        <v>0</v>
      </c>
      <c r="L264" s="250">
        <f>'5ª'!$J48</f>
        <v>0</v>
      </c>
      <c r="M264" s="362"/>
      <c r="N264" s="252">
        <f>'5ª'!$K48</f>
        <v>0</v>
      </c>
      <c r="O264" s="362"/>
      <c r="P264" s="253" t="s">
        <v>110</v>
      </c>
      <c r="Q264" s="415" t="s">
        <v>250</v>
      </c>
      <c r="R264" s="383">
        <f>'5ª'!$L48</f>
        <v>0</v>
      </c>
      <c r="S264" s="383">
        <f>'5ª'!$M48</f>
        <v>0</v>
      </c>
      <c r="T264" s="383">
        <f>'5ª'!$N48</f>
        <v>0</v>
      </c>
      <c r="U264" s="383">
        <f>'5ª'!$O48</f>
        <v>0</v>
      </c>
      <c r="V264" s="383">
        <f>'5ª'!$P48</f>
        <v>0</v>
      </c>
      <c r="W264" s="383">
        <f>'5ª'!$Q48</f>
        <v>0</v>
      </c>
      <c r="X264" s="383">
        <f>'5ª'!$R48</f>
        <v>0</v>
      </c>
      <c r="Y264" s="383">
        <f>'5ª'!$S48</f>
        <v>0</v>
      </c>
      <c r="Z264" s="384">
        <f>'5ª'!$T48</f>
        <v>0</v>
      </c>
      <c r="AA264" s="384">
        <f>'5ª'!$U48</f>
        <v>0</v>
      </c>
      <c r="AB264" s="385" t="s">
        <v>325</v>
      </c>
      <c r="AC264" s="385"/>
      <c r="AD264" s="435" t="s">
        <v>466</v>
      </c>
    </row>
    <row r="265" spans="1:30" ht="15.75" x14ac:dyDescent="0.25">
      <c r="A265" s="416" t="str">
        <f>RIGHT('[1]5ª'!$A$5:$D$5,12)</f>
        <v>5ª SÉRIE E.F</v>
      </c>
      <c r="B265" s="451">
        <v>44</v>
      </c>
      <c r="C265" s="248">
        <f>'5ª'!$B49</f>
        <v>0</v>
      </c>
      <c r="D265" s="362">
        <f>'5ª'!$C49</f>
        <v>0</v>
      </c>
      <c r="E265" s="249">
        <f>'5ª'!$D49</f>
        <v>0</v>
      </c>
      <c r="F265" s="249">
        <f>'5ª'!$E49</f>
        <v>0</v>
      </c>
      <c r="G265" s="250">
        <f>'5ª'!$F49</f>
        <v>0</v>
      </c>
      <c r="H265" s="362">
        <f>'5ª'!$G49</f>
        <v>0</v>
      </c>
      <c r="I265" s="251">
        <f>'5ª'!$H49</f>
        <v>0</v>
      </c>
      <c r="J265" s="362"/>
      <c r="K265" s="362">
        <f>'5ª'!$I49</f>
        <v>0</v>
      </c>
      <c r="L265" s="250">
        <f>'5ª'!$J49</f>
        <v>0</v>
      </c>
      <c r="M265" s="362"/>
      <c r="N265" s="252">
        <f>'5ª'!$K49</f>
        <v>0</v>
      </c>
      <c r="O265" s="362"/>
      <c r="P265" s="253" t="s">
        <v>110</v>
      </c>
      <c r="Q265" s="415" t="s">
        <v>250</v>
      </c>
      <c r="R265" s="383">
        <f>'5ª'!$L49</f>
        <v>0</v>
      </c>
      <c r="S265" s="383">
        <f>'5ª'!$M49</f>
        <v>0</v>
      </c>
      <c r="T265" s="383">
        <f>'5ª'!$N49</f>
        <v>0</v>
      </c>
      <c r="U265" s="383">
        <f>'5ª'!$O49</f>
        <v>0</v>
      </c>
      <c r="V265" s="383">
        <f>'5ª'!$P49</f>
        <v>0</v>
      </c>
      <c r="W265" s="383">
        <f>'5ª'!$Q49</f>
        <v>0</v>
      </c>
      <c r="X265" s="383">
        <f>'5ª'!$R49</f>
        <v>0</v>
      </c>
      <c r="Y265" s="383">
        <f>'5ª'!$S49</f>
        <v>0</v>
      </c>
      <c r="Z265" s="384">
        <f>'5ª'!$T49</f>
        <v>0</v>
      </c>
      <c r="AA265" s="384">
        <f>'5ª'!$U49</f>
        <v>0</v>
      </c>
      <c r="AB265" s="385" t="s">
        <v>325</v>
      </c>
      <c r="AC265" s="385"/>
      <c r="AD265" s="435" t="s">
        <v>466</v>
      </c>
    </row>
    <row r="266" spans="1:30" ht="15.75" x14ac:dyDescent="0.25">
      <c r="A266" s="416" t="str">
        <f>RIGHT('[1]5ª'!$A$5:$D$5,12)</f>
        <v>5ª SÉRIE E.F</v>
      </c>
      <c r="B266" s="451">
        <v>45</v>
      </c>
      <c r="C266" s="248">
        <f>'5ª'!$B50</f>
        <v>0</v>
      </c>
      <c r="D266" s="362">
        <f>'5ª'!$C50</f>
        <v>0</v>
      </c>
      <c r="E266" s="249">
        <f>'5ª'!$D50</f>
        <v>0</v>
      </c>
      <c r="F266" s="249">
        <f>'5ª'!$E50</f>
        <v>0</v>
      </c>
      <c r="G266" s="250">
        <f>'5ª'!$F50</f>
        <v>0</v>
      </c>
      <c r="H266" s="362">
        <f>'5ª'!$G50</f>
        <v>0</v>
      </c>
      <c r="I266" s="251">
        <f>'5ª'!$H50</f>
        <v>0</v>
      </c>
      <c r="J266" s="362"/>
      <c r="K266" s="362">
        <f>'5ª'!$I50</f>
        <v>0</v>
      </c>
      <c r="L266" s="250">
        <f>'5ª'!$J50</f>
        <v>0</v>
      </c>
      <c r="M266" s="362"/>
      <c r="N266" s="252">
        <f>'5ª'!$K50</f>
        <v>0</v>
      </c>
      <c r="O266" s="362"/>
      <c r="P266" s="253" t="s">
        <v>110</v>
      </c>
      <c r="Q266" s="415" t="s">
        <v>250</v>
      </c>
      <c r="R266" s="383">
        <f>'5ª'!$L50</f>
        <v>0</v>
      </c>
      <c r="S266" s="383">
        <f>'5ª'!$M50</f>
        <v>0</v>
      </c>
      <c r="T266" s="383">
        <f>'5ª'!$N50</f>
        <v>0</v>
      </c>
      <c r="U266" s="383">
        <f>'5ª'!$O50</f>
        <v>0</v>
      </c>
      <c r="V266" s="383">
        <f>'5ª'!$P50</f>
        <v>0</v>
      </c>
      <c r="W266" s="383">
        <f>'5ª'!$Q50</f>
        <v>0</v>
      </c>
      <c r="X266" s="383">
        <f>'5ª'!$R50</f>
        <v>0</v>
      </c>
      <c r="Y266" s="383">
        <f>'5ª'!$S50</f>
        <v>0</v>
      </c>
      <c r="Z266" s="384">
        <f>'5ª'!$T50</f>
        <v>0</v>
      </c>
      <c r="AA266" s="384">
        <f>'5ª'!$U50</f>
        <v>0</v>
      </c>
      <c r="AB266" s="385" t="s">
        <v>325</v>
      </c>
      <c r="AC266" s="385"/>
      <c r="AD266" s="435" t="s">
        <v>466</v>
      </c>
    </row>
    <row r="267" spans="1:30" ht="15.75" x14ac:dyDescent="0.25">
      <c r="A267" s="416" t="str">
        <f>RIGHT('[1]5ª'!$A$5:$D$5,12)</f>
        <v>5ª SÉRIE E.F</v>
      </c>
      <c r="B267" s="451">
        <v>46</v>
      </c>
      <c r="C267" s="248">
        <f>'5ª'!$B51</f>
        <v>0</v>
      </c>
      <c r="D267" s="362">
        <f>'5ª'!$C51</f>
        <v>0</v>
      </c>
      <c r="E267" s="249">
        <f>'5ª'!$D51</f>
        <v>0</v>
      </c>
      <c r="F267" s="249">
        <f>'5ª'!$E51</f>
        <v>0</v>
      </c>
      <c r="G267" s="250">
        <f>'5ª'!$F51</f>
        <v>0</v>
      </c>
      <c r="H267" s="362">
        <f>'5ª'!$G51</f>
        <v>0</v>
      </c>
      <c r="I267" s="251">
        <f>'5ª'!$H51</f>
        <v>0</v>
      </c>
      <c r="J267" s="362"/>
      <c r="K267" s="362">
        <f>'5ª'!$I51</f>
        <v>0</v>
      </c>
      <c r="L267" s="250">
        <f>'5ª'!$J51</f>
        <v>0</v>
      </c>
      <c r="M267" s="362"/>
      <c r="N267" s="252">
        <f>'5ª'!$K51</f>
        <v>0</v>
      </c>
      <c r="O267" s="362"/>
      <c r="P267" s="253" t="s">
        <v>110</v>
      </c>
      <c r="Q267" s="415" t="s">
        <v>250</v>
      </c>
      <c r="R267" s="383">
        <f>'5ª'!$L51</f>
        <v>0</v>
      </c>
      <c r="S267" s="383">
        <f>'5ª'!$M51</f>
        <v>0</v>
      </c>
      <c r="T267" s="383">
        <f>'5ª'!$N51</f>
        <v>0</v>
      </c>
      <c r="U267" s="383">
        <f>'5ª'!$O51</f>
        <v>0</v>
      </c>
      <c r="V267" s="383">
        <f>'5ª'!$P51</f>
        <v>0</v>
      </c>
      <c r="W267" s="383">
        <f>'5ª'!$Q51</f>
        <v>0</v>
      </c>
      <c r="X267" s="383">
        <f>'5ª'!$R51</f>
        <v>0</v>
      </c>
      <c r="Y267" s="383">
        <f>'5ª'!$S51</f>
        <v>0</v>
      </c>
      <c r="Z267" s="384">
        <f>'5ª'!$T51</f>
        <v>0</v>
      </c>
      <c r="AA267" s="384">
        <f>'5ª'!$U51</f>
        <v>0</v>
      </c>
      <c r="AB267" s="385" t="s">
        <v>325</v>
      </c>
      <c r="AC267" s="385"/>
      <c r="AD267" s="435" t="s">
        <v>466</v>
      </c>
    </row>
    <row r="268" spans="1:30" ht="15.75" x14ac:dyDescent="0.25">
      <c r="A268" s="416" t="str">
        <f>RIGHT('[1]5ª'!$A$5:$D$5,12)</f>
        <v>5ª SÉRIE E.F</v>
      </c>
      <c r="B268" s="451">
        <v>47</v>
      </c>
      <c r="C268" s="248">
        <f>'5ª'!$B52</f>
        <v>0</v>
      </c>
      <c r="D268" s="362">
        <f>'5ª'!$C52</f>
        <v>0</v>
      </c>
      <c r="E268" s="249">
        <f>'5ª'!$D52</f>
        <v>0</v>
      </c>
      <c r="F268" s="249">
        <f>'5ª'!$E52</f>
        <v>0</v>
      </c>
      <c r="G268" s="250">
        <f>'5ª'!$F52</f>
        <v>0</v>
      </c>
      <c r="H268" s="362">
        <f>'5ª'!$G52</f>
        <v>0</v>
      </c>
      <c r="I268" s="251">
        <f>'5ª'!$H52</f>
        <v>0</v>
      </c>
      <c r="J268" s="362"/>
      <c r="K268" s="362">
        <f>'5ª'!$I52</f>
        <v>0</v>
      </c>
      <c r="L268" s="250">
        <f>'5ª'!$J52</f>
        <v>0</v>
      </c>
      <c r="M268" s="362"/>
      <c r="N268" s="252">
        <f>'5ª'!$K52</f>
        <v>0</v>
      </c>
      <c r="O268" s="362"/>
      <c r="P268" s="253" t="s">
        <v>110</v>
      </c>
      <c r="Q268" s="415" t="s">
        <v>250</v>
      </c>
      <c r="R268" s="383">
        <f>'5ª'!$L52</f>
        <v>0</v>
      </c>
      <c r="S268" s="383">
        <f>'5ª'!$M52</f>
        <v>0</v>
      </c>
      <c r="T268" s="383">
        <f>'5ª'!$N52</f>
        <v>0</v>
      </c>
      <c r="U268" s="383">
        <f>'5ª'!$O52</f>
        <v>0</v>
      </c>
      <c r="V268" s="383">
        <f>'5ª'!$P52</f>
        <v>0</v>
      </c>
      <c r="W268" s="383">
        <f>'5ª'!$Q52</f>
        <v>0</v>
      </c>
      <c r="X268" s="383">
        <f>'5ª'!$R52</f>
        <v>0</v>
      </c>
      <c r="Y268" s="383">
        <f>'5ª'!$S52</f>
        <v>0</v>
      </c>
      <c r="Z268" s="384">
        <f>'5ª'!$T52</f>
        <v>0</v>
      </c>
      <c r="AA268" s="384">
        <f>'5ª'!$U52</f>
        <v>0</v>
      </c>
      <c r="AB268" s="385" t="s">
        <v>325</v>
      </c>
      <c r="AC268" s="385"/>
      <c r="AD268" s="435" t="s">
        <v>466</v>
      </c>
    </row>
    <row r="269" spans="1:30" ht="15.75" x14ac:dyDescent="0.25">
      <c r="A269" s="416" t="str">
        <f>RIGHT('[1]5ª'!$A$5:$D$5,12)</f>
        <v>5ª SÉRIE E.F</v>
      </c>
      <c r="B269" s="451">
        <v>48</v>
      </c>
      <c r="C269" s="248">
        <f>'5ª'!$B53</f>
        <v>0</v>
      </c>
      <c r="D269" s="362">
        <f>'5ª'!$C53</f>
        <v>0</v>
      </c>
      <c r="E269" s="249">
        <f>'5ª'!$D53</f>
        <v>0</v>
      </c>
      <c r="F269" s="249">
        <f>'5ª'!$E53</f>
        <v>0</v>
      </c>
      <c r="G269" s="250">
        <f>'5ª'!$F53</f>
        <v>0</v>
      </c>
      <c r="H269" s="362">
        <f>'5ª'!$G53</f>
        <v>0</v>
      </c>
      <c r="I269" s="251">
        <f>'5ª'!$H53</f>
        <v>0</v>
      </c>
      <c r="J269" s="362"/>
      <c r="K269" s="362">
        <f>'5ª'!$I53</f>
        <v>0</v>
      </c>
      <c r="L269" s="250">
        <f>'5ª'!$J53</f>
        <v>0</v>
      </c>
      <c r="M269" s="362"/>
      <c r="N269" s="252">
        <f>'5ª'!$K53</f>
        <v>0</v>
      </c>
      <c r="O269" s="362"/>
      <c r="P269" s="253" t="s">
        <v>110</v>
      </c>
      <c r="Q269" s="415" t="s">
        <v>250</v>
      </c>
      <c r="R269" s="383">
        <f>'5ª'!$L53</f>
        <v>0</v>
      </c>
      <c r="S269" s="383">
        <f>'5ª'!$M53</f>
        <v>0</v>
      </c>
      <c r="T269" s="383">
        <f>'5ª'!$N53</f>
        <v>0</v>
      </c>
      <c r="U269" s="383">
        <f>'5ª'!$O53</f>
        <v>0</v>
      </c>
      <c r="V269" s="383">
        <f>'5ª'!$P53</f>
        <v>0</v>
      </c>
      <c r="W269" s="383">
        <f>'5ª'!$Q53</f>
        <v>0</v>
      </c>
      <c r="X269" s="383">
        <f>'5ª'!$R53</f>
        <v>0</v>
      </c>
      <c r="Y269" s="383">
        <f>'5ª'!$S53</f>
        <v>0</v>
      </c>
      <c r="Z269" s="384">
        <f>'5ª'!$T53</f>
        <v>0</v>
      </c>
      <c r="AA269" s="384">
        <f>'5ª'!$U53</f>
        <v>0</v>
      </c>
      <c r="AB269" s="385" t="s">
        <v>325</v>
      </c>
      <c r="AC269" s="385"/>
      <c r="AD269" s="435" t="s">
        <v>466</v>
      </c>
    </row>
    <row r="270" spans="1:30" ht="15.75" x14ac:dyDescent="0.25">
      <c r="A270" s="416" t="str">
        <f>RIGHT('[1]5ª'!$A$5:$D$5,12)</f>
        <v>5ª SÉRIE E.F</v>
      </c>
      <c r="B270" s="451">
        <v>49</v>
      </c>
      <c r="C270" s="248">
        <f>'5ª'!$B54</f>
        <v>0</v>
      </c>
      <c r="D270" s="362">
        <f>'5ª'!$C54</f>
        <v>0</v>
      </c>
      <c r="E270" s="249">
        <f>'5ª'!$D54</f>
        <v>0</v>
      </c>
      <c r="F270" s="249">
        <f>'5ª'!$E54</f>
        <v>0</v>
      </c>
      <c r="G270" s="250">
        <f>'5ª'!$F54</f>
        <v>0</v>
      </c>
      <c r="H270" s="362">
        <f>'5ª'!$G54</f>
        <v>0</v>
      </c>
      <c r="I270" s="251">
        <f>'5ª'!$H54</f>
        <v>0</v>
      </c>
      <c r="J270" s="362"/>
      <c r="K270" s="362">
        <f>'5ª'!$I54</f>
        <v>0</v>
      </c>
      <c r="L270" s="250">
        <f>'5ª'!$J54</f>
        <v>0</v>
      </c>
      <c r="M270" s="362"/>
      <c r="N270" s="252">
        <f>'5ª'!$K54</f>
        <v>0</v>
      </c>
      <c r="O270" s="362"/>
      <c r="P270" s="253" t="s">
        <v>110</v>
      </c>
      <c r="Q270" s="415" t="s">
        <v>250</v>
      </c>
      <c r="R270" s="383">
        <f>'5ª'!$L54</f>
        <v>0</v>
      </c>
      <c r="S270" s="383">
        <f>'5ª'!$M54</f>
        <v>0</v>
      </c>
      <c r="T270" s="383">
        <f>'5ª'!$N54</f>
        <v>0</v>
      </c>
      <c r="U270" s="383">
        <f>'5ª'!$O54</f>
        <v>0</v>
      </c>
      <c r="V270" s="383">
        <f>'5ª'!$P54</f>
        <v>0</v>
      </c>
      <c r="W270" s="383">
        <f>'5ª'!$Q54</f>
        <v>0</v>
      </c>
      <c r="X270" s="383">
        <f>'5ª'!$R54</f>
        <v>0</v>
      </c>
      <c r="Y270" s="383">
        <f>'5ª'!$S54</f>
        <v>0</v>
      </c>
      <c r="Z270" s="384">
        <f>'5ª'!$T54</f>
        <v>0</v>
      </c>
      <c r="AA270" s="384">
        <f>'5ª'!$U54</f>
        <v>0</v>
      </c>
      <c r="AB270" s="385" t="s">
        <v>325</v>
      </c>
      <c r="AC270" s="385"/>
      <c r="AD270" s="435" t="s">
        <v>466</v>
      </c>
    </row>
    <row r="271" spans="1:30" ht="15.75" x14ac:dyDescent="0.25">
      <c r="A271" s="416" t="str">
        <f>RIGHT('[1]5ª'!$A$5:$D$5,12)</f>
        <v>5ª SÉRIE E.F</v>
      </c>
      <c r="B271" s="451">
        <v>50</v>
      </c>
      <c r="C271" s="248">
        <f>'5ª'!$B55</f>
        <v>0</v>
      </c>
      <c r="D271" s="362">
        <f>'5ª'!$C55</f>
        <v>0</v>
      </c>
      <c r="E271" s="249">
        <f>'5ª'!$D55</f>
        <v>0</v>
      </c>
      <c r="F271" s="249">
        <f>'5ª'!$E55</f>
        <v>0</v>
      </c>
      <c r="G271" s="250">
        <f>'5ª'!$F55</f>
        <v>0</v>
      </c>
      <c r="H271" s="362">
        <f>'5ª'!$G55</f>
        <v>0</v>
      </c>
      <c r="I271" s="251">
        <f>'5ª'!$H55</f>
        <v>0</v>
      </c>
      <c r="J271" s="362"/>
      <c r="K271" s="362">
        <f>'5ª'!$I55</f>
        <v>0</v>
      </c>
      <c r="L271" s="250">
        <f>'5ª'!$J55</f>
        <v>0</v>
      </c>
      <c r="M271" s="362"/>
      <c r="N271" s="252">
        <f>'5ª'!$K55</f>
        <v>0</v>
      </c>
      <c r="O271" s="362"/>
      <c r="P271" s="253" t="s">
        <v>110</v>
      </c>
      <c r="Q271" s="415" t="s">
        <v>250</v>
      </c>
      <c r="R271" s="383">
        <f>'5ª'!$L55</f>
        <v>0</v>
      </c>
      <c r="S271" s="383">
        <f>'5ª'!$M55</f>
        <v>0</v>
      </c>
      <c r="T271" s="383">
        <f>'5ª'!$N55</f>
        <v>0</v>
      </c>
      <c r="U271" s="383">
        <f>'5ª'!$O55</f>
        <v>0</v>
      </c>
      <c r="V271" s="383">
        <f>'5ª'!$P55</f>
        <v>0</v>
      </c>
      <c r="W271" s="383">
        <f>'5ª'!$Q55</f>
        <v>0</v>
      </c>
      <c r="X271" s="383">
        <f>'5ª'!$R55</f>
        <v>0</v>
      </c>
      <c r="Y271" s="383">
        <f>'5ª'!$S55</f>
        <v>0</v>
      </c>
      <c r="Z271" s="384">
        <f>'5ª'!$T55</f>
        <v>0</v>
      </c>
      <c r="AA271" s="384">
        <f>'5ª'!$U55</f>
        <v>0</v>
      </c>
      <c r="AB271" s="385" t="s">
        <v>325</v>
      </c>
      <c r="AC271" s="385"/>
      <c r="AD271" s="435" t="s">
        <v>466</v>
      </c>
    </row>
    <row r="272" spans="1:30" ht="15.75" x14ac:dyDescent="0.25">
      <c r="A272" s="416" t="str">
        <f>RIGHT('[1]5ª'!$A$5:$D$5,12)</f>
        <v>5ª SÉRIE E.F</v>
      </c>
      <c r="B272" s="451">
        <v>51</v>
      </c>
      <c r="C272" s="248">
        <f>'5ª'!$B56</f>
        <v>0</v>
      </c>
      <c r="D272" s="362">
        <f>'5ª'!$C56</f>
        <v>0</v>
      </c>
      <c r="E272" s="249">
        <f>'5ª'!$D56</f>
        <v>0</v>
      </c>
      <c r="F272" s="249">
        <f>'5ª'!$E56</f>
        <v>0</v>
      </c>
      <c r="G272" s="250">
        <f>'5ª'!$F56</f>
        <v>0</v>
      </c>
      <c r="H272" s="362">
        <f>'5ª'!$G56</f>
        <v>0</v>
      </c>
      <c r="I272" s="251">
        <f>'5ª'!$H56</f>
        <v>0</v>
      </c>
      <c r="J272" s="362"/>
      <c r="K272" s="362">
        <f>'5ª'!$I56</f>
        <v>0</v>
      </c>
      <c r="L272" s="250">
        <f>'5ª'!$J56</f>
        <v>0</v>
      </c>
      <c r="M272" s="362"/>
      <c r="N272" s="252">
        <f>'5ª'!$K56</f>
        <v>0</v>
      </c>
      <c r="O272" s="362"/>
      <c r="P272" s="253" t="s">
        <v>110</v>
      </c>
      <c r="Q272" s="415" t="s">
        <v>250</v>
      </c>
      <c r="R272" s="383">
        <f>'5ª'!$L56</f>
        <v>0</v>
      </c>
      <c r="S272" s="383">
        <f>'5ª'!$M56</f>
        <v>0</v>
      </c>
      <c r="T272" s="383">
        <f>'5ª'!$N56</f>
        <v>0</v>
      </c>
      <c r="U272" s="383">
        <f>'5ª'!$O56</f>
        <v>0</v>
      </c>
      <c r="V272" s="383">
        <f>'5ª'!$P56</f>
        <v>0</v>
      </c>
      <c r="W272" s="383">
        <f>'5ª'!$Q56</f>
        <v>0</v>
      </c>
      <c r="X272" s="383">
        <f>'5ª'!$R56</f>
        <v>0</v>
      </c>
      <c r="Y272" s="383">
        <f>'5ª'!$S56</f>
        <v>0</v>
      </c>
      <c r="Z272" s="384">
        <f>'5ª'!$T56</f>
        <v>0</v>
      </c>
      <c r="AA272" s="384">
        <f>'5ª'!$U56</f>
        <v>0</v>
      </c>
      <c r="AB272" s="385" t="s">
        <v>325</v>
      </c>
      <c r="AC272" s="385"/>
      <c r="AD272" s="435" t="s">
        <v>466</v>
      </c>
    </row>
    <row r="273" spans="1:30" ht="15.75" x14ac:dyDescent="0.25">
      <c r="A273" s="416" t="str">
        <f>RIGHT('[1]5ª'!$A$5:$D$5,12)</f>
        <v>5ª SÉRIE E.F</v>
      </c>
      <c r="B273" s="451">
        <v>52</v>
      </c>
      <c r="C273" s="248">
        <f>'5ª'!$B57</f>
        <v>0</v>
      </c>
      <c r="D273" s="362">
        <f>'5ª'!$C57</f>
        <v>0</v>
      </c>
      <c r="E273" s="249">
        <f>'5ª'!$D57</f>
        <v>0</v>
      </c>
      <c r="F273" s="249">
        <f>'5ª'!$E57</f>
        <v>0</v>
      </c>
      <c r="G273" s="250">
        <f>'5ª'!$F57</f>
        <v>0</v>
      </c>
      <c r="H273" s="362">
        <f>'5ª'!$G57</f>
        <v>0</v>
      </c>
      <c r="I273" s="251">
        <f>'5ª'!$H57</f>
        <v>0</v>
      </c>
      <c r="J273" s="362"/>
      <c r="K273" s="362">
        <f>'5ª'!$I57</f>
        <v>0</v>
      </c>
      <c r="L273" s="250">
        <f>'5ª'!$J57</f>
        <v>0</v>
      </c>
      <c r="M273" s="362"/>
      <c r="N273" s="252">
        <f>'5ª'!$K57</f>
        <v>0</v>
      </c>
      <c r="O273" s="362"/>
      <c r="P273" s="253" t="s">
        <v>110</v>
      </c>
      <c r="Q273" s="415" t="s">
        <v>250</v>
      </c>
      <c r="R273" s="383">
        <f>'5ª'!$L57</f>
        <v>0</v>
      </c>
      <c r="S273" s="383">
        <f>'5ª'!$M57</f>
        <v>0</v>
      </c>
      <c r="T273" s="383">
        <f>'5ª'!$N57</f>
        <v>0</v>
      </c>
      <c r="U273" s="383">
        <f>'5ª'!$O57</f>
        <v>0</v>
      </c>
      <c r="V273" s="383">
        <f>'5ª'!$P57</f>
        <v>0</v>
      </c>
      <c r="W273" s="383">
        <f>'5ª'!$Q57</f>
        <v>0</v>
      </c>
      <c r="X273" s="383">
        <f>'5ª'!$R57</f>
        <v>0</v>
      </c>
      <c r="Y273" s="383">
        <f>'5ª'!$S57</f>
        <v>0</v>
      </c>
      <c r="Z273" s="384">
        <f>'5ª'!$T57</f>
        <v>0</v>
      </c>
      <c r="AA273" s="384">
        <f>'5ª'!$U57</f>
        <v>0</v>
      </c>
      <c r="AB273" s="385" t="s">
        <v>325</v>
      </c>
      <c r="AC273" s="385"/>
      <c r="AD273" s="435" t="s">
        <v>466</v>
      </c>
    </row>
    <row r="274" spans="1:30" ht="15.75" x14ac:dyDescent="0.25">
      <c r="A274" s="416" t="str">
        <f>RIGHT('[1]5ª'!$A$5:$D$5,12)</f>
        <v>5ª SÉRIE E.F</v>
      </c>
      <c r="B274" s="451">
        <v>53</v>
      </c>
      <c r="C274" s="248">
        <f>'5ª'!$B58</f>
        <v>0</v>
      </c>
      <c r="D274" s="362">
        <f>'5ª'!$C58</f>
        <v>0</v>
      </c>
      <c r="E274" s="249">
        <f>'5ª'!$D58</f>
        <v>0</v>
      </c>
      <c r="F274" s="249">
        <f>'5ª'!$E58</f>
        <v>0</v>
      </c>
      <c r="G274" s="250">
        <f>'5ª'!$F58</f>
        <v>0</v>
      </c>
      <c r="H274" s="362">
        <f>'5ª'!$G58</f>
        <v>0</v>
      </c>
      <c r="I274" s="251">
        <f>'5ª'!$H58</f>
        <v>0</v>
      </c>
      <c r="J274" s="362"/>
      <c r="K274" s="362">
        <f>'5ª'!$I58</f>
        <v>0</v>
      </c>
      <c r="L274" s="250">
        <f>'5ª'!$J58</f>
        <v>0</v>
      </c>
      <c r="M274" s="362"/>
      <c r="N274" s="252">
        <f>'5ª'!$K58</f>
        <v>0</v>
      </c>
      <c r="O274" s="362"/>
      <c r="P274" s="253" t="s">
        <v>110</v>
      </c>
      <c r="Q274" s="415" t="s">
        <v>250</v>
      </c>
      <c r="R274" s="383">
        <f>'5ª'!$L58</f>
        <v>0</v>
      </c>
      <c r="S274" s="383">
        <f>'5ª'!$M58</f>
        <v>0</v>
      </c>
      <c r="T274" s="383">
        <f>'5ª'!$N58</f>
        <v>0</v>
      </c>
      <c r="U274" s="383">
        <f>'5ª'!$O58</f>
        <v>0</v>
      </c>
      <c r="V274" s="383">
        <f>'5ª'!$P58</f>
        <v>0</v>
      </c>
      <c r="W274" s="383">
        <f>'5ª'!$Q58</f>
        <v>0</v>
      </c>
      <c r="X274" s="383">
        <f>'5ª'!$R58</f>
        <v>0</v>
      </c>
      <c r="Y274" s="383">
        <f>'5ª'!$S58</f>
        <v>0</v>
      </c>
      <c r="Z274" s="384">
        <f>'5ª'!$T58</f>
        <v>0</v>
      </c>
      <c r="AA274" s="384">
        <f>'5ª'!$U58</f>
        <v>0</v>
      </c>
      <c r="AB274" s="385" t="s">
        <v>325</v>
      </c>
      <c r="AC274" s="385"/>
      <c r="AD274" s="435" t="s">
        <v>466</v>
      </c>
    </row>
    <row r="275" spans="1:30" ht="15.75" x14ac:dyDescent="0.25">
      <c r="A275" s="416" t="str">
        <f>RIGHT('[1]5ª'!$A$5:$D$5,12)</f>
        <v>5ª SÉRIE E.F</v>
      </c>
      <c r="B275" s="451">
        <v>54</v>
      </c>
      <c r="C275" s="248">
        <f>'5ª'!$B59</f>
        <v>0</v>
      </c>
      <c r="D275" s="362">
        <f>'5ª'!$C59</f>
        <v>0</v>
      </c>
      <c r="E275" s="249">
        <f>'5ª'!$D59</f>
        <v>0</v>
      </c>
      <c r="F275" s="249">
        <f>'5ª'!$E59</f>
        <v>0</v>
      </c>
      <c r="G275" s="250">
        <f>'5ª'!$F59</f>
        <v>0</v>
      </c>
      <c r="H275" s="362">
        <f>'5ª'!$G59</f>
        <v>0</v>
      </c>
      <c r="I275" s="251">
        <f>'5ª'!$H59</f>
        <v>0</v>
      </c>
      <c r="J275" s="362"/>
      <c r="K275" s="362">
        <f>'5ª'!$I59</f>
        <v>0</v>
      </c>
      <c r="L275" s="250">
        <f>'5ª'!$J59</f>
        <v>0</v>
      </c>
      <c r="M275" s="362"/>
      <c r="N275" s="252">
        <f>'5ª'!$K59</f>
        <v>0</v>
      </c>
      <c r="O275" s="362"/>
      <c r="P275" s="253" t="s">
        <v>110</v>
      </c>
      <c r="Q275" s="415" t="s">
        <v>250</v>
      </c>
      <c r="R275" s="383">
        <f>'5ª'!$L59</f>
        <v>0</v>
      </c>
      <c r="S275" s="383">
        <f>'5ª'!$M59</f>
        <v>0</v>
      </c>
      <c r="T275" s="383">
        <f>'5ª'!$N59</f>
        <v>0</v>
      </c>
      <c r="U275" s="383">
        <f>'5ª'!$O59</f>
        <v>0</v>
      </c>
      <c r="V275" s="383">
        <f>'5ª'!$P59</f>
        <v>0</v>
      </c>
      <c r="W275" s="383">
        <f>'5ª'!$Q59</f>
        <v>0</v>
      </c>
      <c r="X275" s="383">
        <f>'5ª'!$R59</f>
        <v>0</v>
      </c>
      <c r="Y275" s="383">
        <f>'5ª'!$S59</f>
        <v>0</v>
      </c>
      <c r="Z275" s="384">
        <f>'5ª'!$T59</f>
        <v>0</v>
      </c>
      <c r="AA275" s="384">
        <f>'5ª'!$U59</f>
        <v>0</v>
      </c>
      <c r="AB275" s="385" t="s">
        <v>325</v>
      </c>
      <c r="AC275" s="385"/>
      <c r="AD275" s="435" t="s">
        <v>466</v>
      </c>
    </row>
    <row r="276" spans="1:30" ht="15.75" x14ac:dyDescent="0.25">
      <c r="A276" s="416" t="str">
        <f>RIGHT('[1]5ª'!$A$5:$D$5,12)</f>
        <v>5ª SÉRIE E.F</v>
      </c>
      <c r="B276" s="451">
        <v>55</v>
      </c>
      <c r="C276" s="248">
        <f>'5ª'!$B60</f>
        <v>0</v>
      </c>
      <c r="D276" s="362">
        <f>'5ª'!$C60</f>
        <v>0</v>
      </c>
      <c r="E276" s="249">
        <f>'5ª'!$D60</f>
        <v>0</v>
      </c>
      <c r="F276" s="249">
        <f>'5ª'!$E60</f>
        <v>0</v>
      </c>
      <c r="G276" s="250">
        <f>'5ª'!$F60</f>
        <v>0</v>
      </c>
      <c r="H276" s="362">
        <f>'5ª'!$G60</f>
        <v>0</v>
      </c>
      <c r="I276" s="251">
        <f>'5ª'!$H60</f>
        <v>0</v>
      </c>
      <c r="J276" s="362"/>
      <c r="K276" s="362">
        <f>'5ª'!$I60</f>
        <v>0</v>
      </c>
      <c r="L276" s="250">
        <f>'5ª'!$J60</f>
        <v>0</v>
      </c>
      <c r="M276" s="362"/>
      <c r="N276" s="252">
        <f>'5ª'!$K60</f>
        <v>0</v>
      </c>
      <c r="O276" s="362"/>
      <c r="P276" s="253" t="s">
        <v>110</v>
      </c>
      <c r="Q276" s="415" t="s">
        <v>250</v>
      </c>
      <c r="R276" s="383">
        <f>'5ª'!$L60</f>
        <v>0</v>
      </c>
      <c r="S276" s="383">
        <f>'5ª'!$M60</f>
        <v>0</v>
      </c>
      <c r="T276" s="383">
        <f>'5ª'!$N60</f>
        <v>0</v>
      </c>
      <c r="U276" s="383">
        <f>'5ª'!$O60</f>
        <v>0</v>
      </c>
      <c r="V276" s="383">
        <f>'5ª'!$P60</f>
        <v>0</v>
      </c>
      <c r="W276" s="383">
        <f>'5ª'!$Q60</f>
        <v>0</v>
      </c>
      <c r="X276" s="383">
        <f>'5ª'!$R60</f>
        <v>0</v>
      </c>
      <c r="Y276" s="383">
        <f>'5ª'!$S60</f>
        <v>0</v>
      </c>
      <c r="Z276" s="384">
        <f>'5ª'!$T60</f>
        <v>0</v>
      </c>
      <c r="AA276" s="384">
        <f>'5ª'!$U60</f>
        <v>0</v>
      </c>
      <c r="AB276" s="385" t="s">
        <v>325</v>
      </c>
      <c r="AC276" s="385"/>
      <c r="AD276" s="435" t="s">
        <v>466</v>
      </c>
    </row>
    <row r="277" spans="1:30" s="446" customFormat="1" ht="15.75" x14ac:dyDescent="0.25">
      <c r="A277" s="387" t="str">
        <f>RIGHT('[1]6ª'!$A$5:$D$5,12)</f>
        <v>6ª SÉRIE E.F</v>
      </c>
      <c r="B277" s="388">
        <v>1</v>
      </c>
      <c r="C277" s="389">
        <f>'6ª'!$B7</f>
        <v>18929</v>
      </c>
      <c r="D277" s="390" t="str">
        <f>'6ª'!$C7</f>
        <v>DANIELA PEREIRA RODRIGUES</v>
      </c>
      <c r="E277" s="391" t="str">
        <f>'6ª'!$D7</f>
        <v>F</v>
      </c>
      <c r="F277" s="391" t="str">
        <f>'6ª'!$E7</f>
        <v>MA</v>
      </c>
      <c r="G277" s="392">
        <f>'6ª'!$F7</f>
        <v>32362</v>
      </c>
      <c r="H277" s="390">
        <f>'6ª'!$G7</f>
        <v>0</v>
      </c>
      <c r="I277" s="393">
        <f>'6ª'!$H7</f>
        <v>0</v>
      </c>
      <c r="J277" s="390"/>
      <c r="K277" s="390">
        <f>'6ª'!$I7</f>
        <v>0</v>
      </c>
      <c r="L277" s="392" t="str">
        <f ca="1">'6ª'!$J7</f>
        <v>DISP.IDADE</v>
      </c>
      <c r="M277" s="390"/>
      <c r="N277" s="394">
        <f ca="1">'6ª'!$K7</f>
        <v>37</v>
      </c>
      <c r="O277" s="390"/>
      <c r="P277" s="395" t="s">
        <v>110</v>
      </c>
      <c r="Q277" s="396" t="s">
        <v>250</v>
      </c>
      <c r="R277" s="397" t="str">
        <f>'6ª'!$L7</f>
        <v>Não</v>
      </c>
      <c r="S277" s="397" t="str">
        <f>'6ª'!$M7</f>
        <v>-</v>
      </c>
      <c r="T277" s="397" t="str">
        <f>'6ª'!$N7</f>
        <v>-</v>
      </c>
      <c r="U277" s="397" t="str">
        <f>'6ª'!$O7</f>
        <v>-</v>
      </c>
      <c r="V277" s="397" t="str">
        <f>'6ª'!$P7</f>
        <v>-</v>
      </c>
      <c r="W277" s="397" t="str">
        <f>'6ª'!$Q7</f>
        <v>-</v>
      </c>
      <c r="X277" s="397" t="str">
        <f>'6ª'!$R7</f>
        <v>-</v>
      </c>
      <c r="Y277" s="397" t="str">
        <f>'6ª'!$S7</f>
        <v>-</v>
      </c>
      <c r="Z277" s="398">
        <f>'6ª'!$T7</f>
        <v>0</v>
      </c>
      <c r="AA277" s="398">
        <f>'6ª'!$U7</f>
        <v>0</v>
      </c>
      <c r="AB277" s="399" t="s">
        <v>326</v>
      </c>
      <c r="AC277" s="399"/>
      <c r="AD277" s="435" t="s">
        <v>466</v>
      </c>
    </row>
    <row r="278" spans="1:30" ht="15.75" x14ac:dyDescent="0.25">
      <c r="A278" s="416" t="str">
        <f>RIGHT('[1]6ª'!$A$5:$D$5,12)</f>
        <v>6ª SÉRIE E.F</v>
      </c>
      <c r="B278" s="120">
        <v>2</v>
      </c>
      <c r="C278" s="248">
        <f>'6ª'!$B8</f>
        <v>15314</v>
      </c>
      <c r="D278" s="362" t="str">
        <f>'6ª'!$C8</f>
        <v>EDILSON CASSIANO DA SILVA</v>
      </c>
      <c r="E278" s="249" t="str">
        <f>'6ª'!$D8</f>
        <v>M</v>
      </c>
      <c r="F278" s="249" t="str">
        <f>'6ª'!$E8</f>
        <v>MA</v>
      </c>
      <c r="G278" s="250">
        <f>'6ª'!$F8</f>
        <v>22533</v>
      </c>
      <c r="H278" s="362">
        <f>'6ª'!$G8</f>
        <v>1167376237</v>
      </c>
      <c r="I278" s="363" t="str">
        <f>'6ª'!$H8</f>
        <v>54753179-5</v>
      </c>
      <c r="J278" s="362"/>
      <c r="K278" s="362">
        <f>'6ª'!$I8</f>
        <v>0</v>
      </c>
      <c r="L278" s="250" t="str">
        <f ca="1">'6ª'!$J8</f>
        <v>DISP.IDADE</v>
      </c>
      <c r="M278" s="362"/>
      <c r="N278" s="252">
        <f ca="1">'6ª'!$K8</f>
        <v>64</v>
      </c>
      <c r="O278" s="362"/>
      <c r="P278" s="253" t="s">
        <v>110</v>
      </c>
      <c r="Q278" s="415" t="s">
        <v>250</v>
      </c>
      <c r="R278" s="383" t="str">
        <f>'6ª'!$L8</f>
        <v>Não</v>
      </c>
      <c r="S278" s="383" t="str">
        <f>'6ª'!$M8</f>
        <v>-</v>
      </c>
      <c r="T278" s="383" t="str">
        <f>'6ª'!$N8</f>
        <v>-</v>
      </c>
      <c r="U278" s="383" t="str">
        <f>'6ª'!$O8</f>
        <v>-</v>
      </c>
      <c r="V278" s="383" t="str">
        <f>'6ª'!$P8</f>
        <v>-</v>
      </c>
      <c r="W278" s="383" t="str">
        <f>'6ª'!$Q8</f>
        <v>-</v>
      </c>
      <c r="X278" s="383" t="str">
        <f>'6ª'!$R8</f>
        <v>-</v>
      </c>
      <c r="Y278" s="383" t="str">
        <f>'6ª'!$S8</f>
        <v>-</v>
      </c>
      <c r="Z278" s="384">
        <f>'6ª'!$T8</f>
        <v>0</v>
      </c>
      <c r="AA278" s="384">
        <f>'6ª'!$U8</f>
        <v>0</v>
      </c>
      <c r="AB278" s="385" t="s">
        <v>326</v>
      </c>
      <c r="AC278" s="385"/>
      <c r="AD278" s="435" t="s">
        <v>466</v>
      </c>
    </row>
    <row r="279" spans="1:30" ht="15.75" x14ac:dyDescent="0.25">
      <c r="A279" s="416" t="str">
        <f>RIGHT('[1]6ª'!$A$5:$D$5,12)</f>
        <v>6ª SÉRIE E.F</v>
      </c>
      <c r="B279" s="120">
        <v>3</v>
      </c>
      <c r="C279" s="248">
        <f>'6ª'!$B9</f>
        <v>18787</v>
      </c>
      <c r="D279" s="362" t="str">
        <f>'6ª'!$C9</f>
        <v>ELIENIRA JOSE JERONIMO</v>
      </c>
      <c r="E279" s="249" t="str">
        <f>'6ª'!$D9</f>
        <v>F</v>
      </c>
      <c r="F279" s="249" t="str">
        <f>'6ª'!$E9</f>
        <v>MA</v>
      </c>
      <c r="G279" s="250">
        <f>'6ª'!$F9</f>
        <v>23146</v>
      </c>
      <c r="H279" s="362">
        <f>'6ª'!$G9</f>
        <v>1258152319</v>
      </c>
      <c r="I279" s="363" t="str">
        <f>'6ª'!$H9</f>
        <v>52277455-6</v>
      </c>
      <c r="J279" s="362"/>
      <c r="K279" s="362">
        <f>'6ª'!$I9</f>
        <v>0</v>
      </c>
      <c r="L279" s="250" t="str">
        <f ca="1">'6ª'!$J9</f>
        <v>DISP.IDADE</v>
      </c>
      <c r="M279" s="362"/>
      <c r="N279" s="252">
        <f ca="1">'6ª'!$K9</f>
        <v>62</v>
      </c>
      <c r="O279" s="362"/>
      <c r="P279" s="253" t="s">
        <v>110</v>
      </c>
      <c r="Q279" s="415" t="s">
        <v>250</v>
      </c>
      <c r="R279" s="383" t="str">
        <f>'6ª'!$L9</f>
        <v>Não</v>
      </c>
      <c r="S279" s="383" t="str">
        <f>'6ª'!$M9</f>
        <v>-</v>
      </c>
      <c r="T279" s="383" t="str">
        <f>'6ª'!$N9</f>
        <v>-</v>
      </c>
      <c r="U279" s="383" t="str">
        <f>'6ª'!$O9</f>
        <v>-</v>
      </c>
      <c r="V279" s="383" t="str">
        <f>'6ª'!$P9</f>
        <v>-</v>
      </c>
      <c r="W279" s="383" t="str">
        <f>'6ª'!$Q9</f>
        <v>-</v>
      </c>
      <c r="X279" s="383" t="str">
        <f>'6ª'!$R9</f>
        <v>-</v>
      </c>
      <c r="Y279" s="383" t="str">
        <f>'6ª'!$S9</f>
        <v>-</v>
      </c>
      <c r="Z279" s="384">
        <f>'6ª'!$T9</f>
        <v>0</v>
      </c>
      <c r="AA279" s="384">
        <f>'6ª'!$U9</f>
        <v>0</v>
      </c>
      <c r="AB279" s="385" t="s">
        <v>326</v>
      </c>
      <c r="AC279" s="385"/>
      <c r="AD279" s="435" t="s">
        <v>466</v>
      </c>
    </row>
    <row r="280" spans="1:30" ht="15.75" x14ac:dyDescent="0.25">
      <c r="A280" s="416" t="str">
        <f>RIGHT('[1]6ª'!$A$5:$D$5,12)</f>
        <v>6ª SÉRIE E.F</v>
      </c>
      <c r="B280" s="120">
        <v>4</v>
      </c>
      <c r="C280" s="248">
        <f>'6ª'!$B10</f>
        <v>18922</v>
      </c>
      <c r="D280" s="362" t="str">
        <f>'6ª'!$C10</f>
        <v>ERICA TAINA ARAUJO DOS SANTOS</v>
      </c>
      <c r="E280" s="249" t="str">
        <f>'6ª'!$D10</f>
        <v>F</v>
      </c>
      <c r="F280" s="249" t="str">
        <f>'6ª'!$E10</f>
        <v>MA</v>
      </c>
      <c r="G280" s="250">
        <f>'6ª'!$F10</f>
        <v>40044</v>
      </c>
      <c r="H280" s="362" t="str">
        <f>'6ª'!$G10</f>
        <v>112021466X</v>
      </c>
      <c r="I280" s="363">
        <f>'6ª'!$H10</f>
        <v>478251063</v>
      </c>
      <c r="J280" s="362"/>
      <c r="K280" s="362">
        <f>'6ª'!$I10</f>
        <v>0</v>
      </c>
      <c r="L280" s="250" t="str">
        <f ca="1">'6ª'!$J10</f>
        <v/>
      </c>
      <c r="M280" s="362"/>
      <c r="N280" s="252">
        <f ca="1">'6ª'!$K10</f>
        <v>16</v>
      </c>
      <c r="O280" s="362"/>
      <c r="P280" s="253" t="s">
        <v>110</v>
      </c>
      <c r="Q280" s="415" t="s">
        <v>250</v>
      </c>
      <c r="R280" s="383" t="str">
        <f>'6ª'!$L10</f>
        <v>Não</v>
      </c>
      <c r="S280" s="383" t="str">
        <f>'6ª'!$M10</f>
        <v>-</v>
      </c>
      <c r="T280" s="383" t="str">
        <f>'6ª'!$N10</f>
        <v>-</v>
      </c>
      <c r="U280" s="383" t="str">
        <f>'6ª'!$O10</f>
        <v>-</v>
      </c>
      <c r="V280" s="383" t="str">
        <f>'6ª'!$P10</f>
        <v>-</v>
      </c>
      <c r="W280" s="383" t="str">
        <f>'6ª'!$Q10</f>
        <v>-</v>
      </c>
      <c r="X280" s="383" t="str">
        <f>'6ª'!$R10</f>
        <v>-</v>
      </c>
      <c r="Y280" s="383" t="str">
        <f>'6ª'!$S10</f>
        <v>-</v>
      </c>
      <c r="Z280" s="384">
        <f>'6ª'!$T10</f>
        <v>0</v>
      </c>
      <c r="AA280" s="384">
        <f>'6ª'!$U10</f>
        <v>0</v>
      </c>
      <c r="AB280" s="385" t="s">
        <v>326</v>
      </c>
      <c r="AC280" s="385"/>
      <c r="AD280" s="435" t="s">
        <v>466</v>
      </c>
    </row>
    <row r="281" spans="1:30" ht="15.75" x14ac:dyDescent="0.25">
      <c r="A281" s="416" t="str">
        <f>RIGHT('[1]6ª'!$A$5:$D$5,12)</f>
        <v>6ª SÉRIE E.F</v>
      </c>
      <c r="B281" s="120">
        <v>5</v>
      </c>
      <c r="C281" s="248">
        <f>'6ª'!$B11</f>
        <v>18918</v>
      </c>
      <c r="D281" s="362" t="str">
        <f>'6ª'!$C11</f>
        <v>JOAO VICTOR SANTOS DE FREITAS</v>
      </c>
      <c r="E281" s="249" t="str">
        <f>'6ª'!$D11</f>
        <v>M</v>
      </c>
      <c r="F281" s="249" t="str">
        <f>'6ª'!$E11</f>
        <v>MA</v>
      </c>
      <c r="G281" s="250">
        <f>'6ª'!$F11</f>
        <v>38277</v>
      </c>
      <c r="H281" s="362">
        <f>'6ª'!$G11</f>
        <v>1036368257</v>
      </c>
      <c r="I281" s="363">
        <f>'6ª'!$H11</f>
        <v>0</v>
      </c>
      <c r="J281" s="362"/>
      <c r="K281" s="362">
        <f>'6ª'!$I11</f>
        <v>0</v>
      </c>
      <c r="L281" s="250" t="str">
        <f ca="1">'6ª'!$J11</f>
        <v/>
      </c>
      <c r="M281" s="362"/>
      <c r="N281" s="252">
        <f ca="1">'6ª'!$K11</f>
        <v>20</v>
      </c>
      <c r="O281" s="362"/>
      <c r="P281" s="253" t="s">
        <v>110</v>
      </c>
      <c r="Q281" s="415" t="s">
        <v>250</v>
      </c>
      <c r="R281" s="383" t="str">
        <f>'6ª'!$L11</f>
        <v>Não</v>
      </c>
      <c r="S281" s="383" t="str">
        <f>'6ª'!$M11</f>
        <v>-</v>
      </c>
      <c r="T281" s="383" t="str">
        <f>'6ª'!$N11</f>
        <v>-</v>
      </c>
      <c r="U281" s="383" t="str">
        <f>'6ª'!$O11</f>
        <v>-</v>
      </c>
      <c r="V281" s="383" t="str">
        <f>'6ª'!$P11</f>
        <v>-</v>
      </c>
      <c r="W281" s="383" t="str">
        <f>'6ª'!$Q11</f>
        <v>-</v>
      </c>
      <c r="X281" s="383" t="str">
        <f>'6ª'!$R11</f>
        <v>-</v>
      </c>
      <c r="Y281" s="383" t="str">
        <f>'6ª'!$S11</f>
        <v>-</v>
      </c>
      <c r="Z281" s="384">
        <f>'6ª'!$T11</f>
        <v>0</v>
      </c>
      <c r="AA281" s="384">
        <f>'6ª'!$U11</f>
        <v>0</v>
      </c>
      <c r="AB281" s="385" t="s">
        <v>326</v>
      </c>
      <c r="AC281" s="385"/>
      <c r="AD281" s="435" t="s">
        <v>466</v>
      </c>
    </row>
    <row r="282" spans="1:30" ht="15.75" x14ac:dyDescent="0.25">
      <c r="A282" s="416" t="str">
        <f>RIGHT('[1]6ª'!$A$5:$D$5,12)</f>
        <v>6ª SÉRIE E.F</v>
      </c>
      <c r="B282" s="120">
        <v>6</v>
      </c>
      <c r="C282" s="248">
        <f>'6ª'!$B12</f>
        <v>17640</v>
      </c>
      <c r="D282" s="362" t="str">
        <f>'6ª'!$C12</f>
        <v>MARIA NOEMIA DE JESUS REIS SANTOS</v>
      </c>
      <c r="E282" s="249" t="str">
        <f>'6ª'!$D12</f>
        <v>F</v>
      </c>
      <c r="F282" s="249" t="str">
        <f>'6ª'!$E12</f>
        <v>MA</v>
      </c>
      <c r="G282" s="250">
        <f>'6ª'!$F12</f>
        <v>24706</v>
      </c>
      <c r="H282" s="362" t="str">
        <f>'6ª'!$G12</f>
        <v>103572413-3</v>
      </c>
      <c r="I282" s="363" t="str">
        <f>'6ª'!$H12</f>
        <v>28852707-0</v>
      </c>
      <c r="J282" s="362"/>
      <c r="K282" s="362">
        <f>'6ª'!$I12</f>
        <v>0</v>
      </c>
      <c r="L282" s="250" t="str">
        <f ca="1">'6ª'!$J12</f>
        <v>DISP.IDADE</v>
      </c>
      <c r="M282" s="362"/>
      <c r="N282" s="252">
        <f ca="1">'6ª'!$K12</f>
        <v>58</v>
      </c>
      <c r="O282" s="362"/>
      <c r="P282" s="253" t="s">
        <v>110</v>
      </c>
      <c r="Q282" s="415" t="s">
        <v>250</v>
      </c>
      <c r="R282" s="383" t="str">
        <f>'6ª'!$L12</f>
        <v>Não</v>
      </c>
      <c r="S282" s="383" t="str">
        <f>'6ª'!$M12</f>
        <v>-</v>
      </c>
      <c r="T282" s="383" t="str">
        <f>'6ª'!$N12</f>
        <v>-</v>
      </c>
      <c r="U282" s="383" t="str">
        <f>'6ª'!$O12</f>
        <v>-</v>
      </c>
      <c r="V282" s="383" t="str">
        <f>'6ª'!$P12</f>
        <v>-</v>
      </c>
      <c r="W282" s="383" t="str">
        <f>'6ª'!$Q12</f>
        <v>-</v>
      </c>
      <c r="X282" s="383" t="str">
        <f>'6ª'!$R12</f>
        <v>-</v>
      </c>
      <c r="Y282" s="383" t="str">
        <f>'6ª'!$S12</f>
        <v>-</v>
      </c>
      <c r="Z282" s="384">
        <f>'6ª'!$T12</f>
        <v>0</v>
      </c>
      <c r="AA282" s="384">
        <f>'6ª'!$U12</f>
        <v>0</v>
      </c>
      <c r="AB282" s="385" t="s">
        <v>326</v>
      </c>
      <c r="AC282" s="385"/>
      <c r="AD282" s="435" t="s">
        <v>466</v>
      </c>
    </row>
    <row r="283" spans="1:30" ht="15.75" x14ac:dyDescent="0.25">
      <c r="A283" s="416" t="str">
        <f>RIGHT('[1]6ª'!$A$5:$D$5,12)</f>
        <v>6ª SÉRIE E.F</v>
      </c>
      <c r="B283" s="120">
        <v>7</v>
      </c>
      <c r="C283" s="248" t="e">
        <f>'6ª'!#REF!</f>
        <v>#REF!</v>
      </c>
      <c r="D283" s="362" t="e">
        <f>'6ª'!#REF!</f>
        <v>#REF!</v>
      </c>
      <c r="E283" s="249" t="e">
        <f>'6ª'!#REF!</f>
        <v>#REF!</v>
      </c>
      <c r="F283" s="249" t="e">
        <f>'6ª'!#REF!</f>
        <v>#REF!</v>
      </c>
      <c r="G283" s="250" t="e">
        <f>'6ª'!#REF!</f>
        <v>#REF!</v>
      </c>
      <c r="H283" s="362" t="e">
        <f>'6ª'!#REF!</f>
        <v>#REF!</v>
      </c>
      <c r="I283" s="363" t="e">
        <f>'6ª'!#REF!</f>
        <v>#REF!</v>
      </c>
      <c r="J283" s="362"/>
      <c r="K283" s="362" t="e">
        <f>'6ª'!#REF!</f>
        <v>#REF!</v>
      </c>
      <c r="L283" s="250" t="e">
        <f>'6ª'!#REF!</f>
        <v>#REF!</v>
      </c>
      <c r="M283" s="362"/>
      <c r="N283" s="252" t="e">
        <f>'6ª'!#REF!</f>
        <v>#REF!</v>
      </c>
      <c r="O283" s="362"/>
      <c r="P283" s="253" t="s">
        <v>110</v>
      </c>
      <c r="Q283" s="415" t="s">
        <v>250</v>
      </c>
      <c r="R283" s="383" t="e">
        <f>'6ª'!#REF!</f>
        <v>#REF!</v>
      </c>
      <c r="S283" s="383" t="e">
        <f>'6ª'!#REF!</f>
        <v>#REF!</v>
      </c>
      <c r="T283" s="383" t="e">
        <f>'6ª'!#REF!</f>
        <v>#REF!</v>
      </c>
      <c r="U283" s="383" t="e">
        <f>'6ª'!#REF!</f>
        <v>#REF!</v>
      </c>
      <c r="V283" s="383" t="e">
        <f>'6ª'!#REF!</f>
        <v>#REF!</v>
      </c>
      <c r="W283" s="383" t="e">
        <f>'6ª'!#REF!</f>
        <v>#REF!</v>
      </c>
      <c r="X283" s="383" t="e">
        <f>'6ª'!#REF!</f>
        <v>#REF!</v>
      </c>
      <c r="Y283" s="383" t="e">
        <f>'6ª'!#REF!</f>
        <v>#REF!</v>
      </c>
      <c r="Z283" s="384" t="e">
        <f>'6ª'!#REF!</f>
        <v>#REF!</v>
      </c>
      <c r="AA283" s="384" t="e">
        <f>'6ª'!#REF!</f>
        <v>#REF!</v>
      </c>
      <c r="AB283" s="385" t="s">
        <v>326</v>
      </c>
      <c r="AC283" s="385"/>
      <c r="AD283" s="435" t="s">
        <v>466</v>
      </c>
    </row>
    <row r="284" spans="1:30" ht="15.75" x14ac:dyDescent="0.25">
      <c r="A284" s="416" t="str">
        <f>RIGHT('[1]6ª'!$A$5:$D$5,12)</f>
        <v>6ª SÉRIE E.F</v>
      </c>
      <c r="B284" s="120">
        <v>8</v>
      </c>
      <c r="C284" s="248">
        <f>'6ª'!$B13</f>
        <v>18848</v>
      </c>
      <c r="D284" s="362" t="str">
        <f>'6ª'!$C13</f>
        <v>NIVALDO ALVES DA SILVA</v>
      </c>
      <c r="E284" s="249" t="str">
        <f>'6ª'!$D13</f>
        <v>M</v>
      </c>
      <c r="F284" s="249" t="str">
        <f>'6ª'!$E13</f>
        <v>MA</v>
      </c>
      <c r="G284" s="250">
        <f>'6ª'!$F13</f>
        <v>21952</v>
      </c>
      <c r="H284" s="362">
        <f>'6ª'!$G13</f>
        <v>1258774379</v>
      </c>
      <c r="I284" s="363" t="str">
        <f>'6ª'!$H13</f>
        <v>15954125-6</v>
      </c>
      <c r="J284" s="362"/>
      <c r="K284" s="362">
        <f>'6ª'!$I13</f>
        <v>0</v>
      </c>
      <c r="L284" s="250" t="str">
        <f ca="1">'6ª'!$J13</f>
        <v>DISP.IDADE</v>
      </c>
      <c r="M284" s="362"/>
      <c r="N284" s="252">
        <f ca="1">'6ª'!$K13</f>
        <v>65</v>
      </c>
      <c r="O284" s="362"/>
      <c r="P284" s="253" t="s">
        <v>110</v>
      </c>
      <c r="Q284" s="415" t="s">
        <v>250</v>
      </c>
      <c r="R284" s="383" t="str">
        <f>'6ª'!$L13</f>
        <v>Não</v>
      </c>
      <c r="S284" s="383" t="str">
        <f>'6ª'!$M13</f>
        <v>-</v>
      </c>
      <c r="T284" s="383" t="str">
        <f>'6ª'!$N13</f>
        <v>-</v>
      </c>
      <c r="U284" s="383" t="str">
        <f>'6ª'!$O13</f>
        <v>-</v>
      </c>
      <c r="V284" s="383" t="str">
        <f>'6ª'!$P13</f>
        <v>-</v>
      </c>
      <c r="W284" s="383" t="str">
        <f>'6ª'!$Q13</f>
        <v>-</v>
      </c>
      <c r="X284" s="383" t="str">
        <f>'6ª'!$R13</f>
        <v>-</v>
      </c>
      <c r="Y284" s="383" t="str">
        <f>'6ª'!$S13</f>
        <v>-</v>
      </c>
      <c r="Z284" s="384">
        <f>'6ª'!$T13</f>
        <v>0</v>
      </c>
      <c r="AA284" s="384">
        <f>'6ª'!$U13</f>
        <v>0</v>
      </c>
      <c r="AB284" s="385" t="s">
        <v>326</v>
      </c>
      <c r="AC284" s="385"/>
      <c r="AD284" s="435" t="s">
        <v>466</v>
      </c>
    </row>
    <row r="285" spans="1:30" ht="15.75" x14ac:dyDescent="0.25">
      <c r="A285" s="416" t="str">
        <f>RIGHT('[1]6ª'!$A$5:$D$5,12)</f>
        <v>6ª SÉRIE E.F</v>
      </c>
      <c r="B285" s="120">
        <v>9</v>
      </c>
      <c r="C285" s="248">
        <f>'6ª'!$B14</f>
        <v>18128</v>
      </c>
      <c r="D285" s="362" t="str">
        <f>'6ª'!$C14</f>
        <v>SERGIO EMIDIO DA SILVA</v>
      </c>
      <c r="E285" s="249" t="str">
        <f>'6ª'!$D14</f>
        <v>M</v>
      </c>
      <c r="F285" s="249" t="str">
        <f>'6ª'!$E14</f>
        <v>MA</v>
      </c>
      <c r="G285" s="250">
        <f>'6ª'!$F14</f>
        <v>26973</v>
      </c>
      <c r="H285" s="362">
        <f>'6ª'!$G14</f>
        <v>1246517358</v>
      </c>
      <c r="I285" s="363" t="str">
        <f>'6ª'!$H14</f>
        <v>27663883-9</v>
      </c>
      <c r="J285" s="362"/>
      <c r="K285" s="362">
        <f>'6ª'!$I14</f>
        <v>0</v>
      </c>
      <c r="L285" s="250" t="str">
        <f ca="1">'6ª'!$J14</f>
        <v>DISP.IDADE</v>
      </c>
      <c r="M285" s="362"/>
      <c r="N285" s="252">
        <f ca="1">'6ª'!$K14</f>
        <v>51</v>
      </c>
      <c r="O285" s="362"/>
      <c r="P285" s="253" t="s">
        <v>110</v>
      </c>
      <c r="Q285" s="415" t="s">
        <v>250</v>
      </c>
      <c r="R285" s="383" t="str">
        <f>'6ª'!$L14</f>
        <v>Não</v>
      </c>
      <c r="S285" s="383" t="str">
        <f>'6ª'!$M14</f>
        <v>-</v>
      </c>
      <c r="T285" s="383" t="str">
        <f>'6ª'!$N14</f>
        <v>-</v>
      </c>
      <c r="U285" s="383" t="str">
        <f>'6ª'!$O14</f>
        <v>-</v>
      </c>
      <c r="V285" s="383" t="str">
        <f>'6ª'!$P14</f>
        <v>-</v>
      </c>
      <c r="W285" s="383" t="str">
        <f>'6ª'!$Q14</f>
        <v>-</v>
      </c>
      <c r="X285" s="383" t="str">
        <f>'6ª'!$R14</f>
        <v>-</v>
      </c>
      <c r="Y285" s="383" t="str">
        <f>'6ª'!$S14</f>
        <v>-</v>
      </c>
      <c r="Z285" s="384">
        <f>'6ª'!$T14</f>
        <v>0</v>
      </c>
      <c r="AA285" s="384">
        <f>'6ª'!$U14</f>
        <v>0</v>
      </c>
      <c r="AB285" s="385" t="s">
        <v>326</v>
      </c>
      <c r="AC285" s="385"/>
      <c r="AD285" s="435" t="s">
        <v>466</v>
      </c>
    </row>
    <row r="286" spans="1:30" ht="15.75" x14ac:dyDescent="0.25">
      <c r="A286" s="416" t="str">
        <f>RIGHT('[1]6ª'!$A$5:$D$5,12)</f>
        <v>6ª SÉRIE E.F</v>
      </c>
      <c r="B286" s="120">
        <v>10</v>
      </c>
      <c r="C286" s="248">
        <f>'6ª'!$B15</f>
        <v>18482</v>
      </c>
      <c r="D286" s="362" t="str">
        <f>'6ª'!$C15</f>
        <v>WANESSA LUIZA DOMINGUES GAJDO</v>
      </c>
      <c r="E286" s="249" t="str">
        <f>'6ª'!$D15</f>
        <v>F</v>
      </c>
      <c r="F286" s="249" t="str">
        <f>'6ª'!$E15</f>
        <v>MC</v>
      </c>
      <c r="G286" s="250">
        <f>'6ª'!$F15</f>
        <v>28420</v>
      </c>
      <c r="H286" s="362" t="str">
        <f>'6ª'!$G15</f>
        <v>29043550-X</v>
      </c>
      <c r="I286" s="363" t="str">
        <f>'6ª'!$H15</f>
        <v>29043550-X</v>
      </c>
      <c r="J286" s="362"/>
      <c r="K286" s="362" t="str">
        <f>'6ª'!$I15</f>
        <v>MC 30/07/2025</v>
      </c>
      <c r="L286" s="250" t="str">
        <f ca="1">'6ª'!$J15</f>
        <v>DISP.IDADE</v>
      </c>
      <c r="M286" s="362"/>
      <c r="N286" s="252">
        <f ca="1">'6ª'!$K15</f>
        <v>47</v>
      </c>
      <c r="O286" s="362"/>
      <c r="P286" s="253" t="s">
        <v>110</v>
      </c>
      <c r="Q286" s="415" t="s">
        <v>250</v>
      </c>
      <c r="R286" s="383" t="str">
        <f>'6ª'!$L15</f>
        <v>Não</v>
      </c>
      <c r="S286" s="383" t="str">
        <f>'6ª'!$M15</f>
        <v>-</v>
      </c>
      <c r="T286" s="383" t="str">
        <f>'6ª'!$N15</f>
        <v>-</v>
      </c>
      <c r="U286" s="383" t="str">
        <f>'6ª'!$O15</f>
        <v>-</v>
      </c>
      <c r="V286" s="383" t="str">
        <f>'6ª'!$P15</f>
        <v>-</v>
      </c>
      <c r="W286" s="383" t="str">
        <f>'6ª'!$Q15</f>
        <v>-</v>
      </c>
      <c r="X286" s="383" t="str">
        <f>'6ª'!$R15</f>
        <v>-</v>
      </c>
      <c r="Y286" s="383" t="str">
        <f>'6ª'!$S15</f>
        <v>-</v>
      </c>
      <c r="Z286" s="384" t="str">
        <f>'6ª'!$T15</f>
        <v>Rede Estadual</v>
      </c>
      <c r="AA286" s="384" t="str">
        <f>'6ª'!$U15</f>
        <v>MAX DADA GALLIZZI</v>
      </c>
      <c r="AB286" s="385" t="s">
        <v>326</v>
      </c>
      <c r="AC286" s="385"/>
      <c r="AD286" s="435" t="s">
        <v>466</v>
      </c>
    </row>
    <row r="287" spans="1:30" ht="15.75" x14ac:dyDescent="0.25">
      <c r="A287" s="416" t="str">
        <f>RIGHT('[1]6ª'!$A$5:$D$5,12)</f>
        <v>6ª SÉRIE E.F</v>
      </c>
      <c r="B287" s="120">
        <v>11</v>
      </c>
      <c r="C287" s="248">
        <f>'6ª'!$B16</f>
        <v>18969</v>
      </c>
      <c r="D287" s="362" t="str">
        <f>'6ª'!$C16</f>
        <v>EDSON GONSALVES PEREIRA</v>
      </c>
      <c r="E287" s="249" t="str">
        <f>'6ª'!$D16</f>
        <v>M</v>
      </c>
      <c r="F287" s="249" t="str">
        <f>'6ª'!$E16</f>
        <v>MA</v>
      </c>
      <c r="G287" s="250">
        <f>'6ª'!$F16</f>
        <v>26157</v>
      </c>
      <c r="H287" s="362">
        <f>'6ª'!$G16</f>
        <v>0</v>
      </c>
      <c r="I287" s="363" t="str">
        <f>'6ª'!$H16</f>
        <v>20134080-X</v>
      </c>
      <c r="J287" s="362"/>
      <c r="K287" s="362" t="str">
        <f>'6ª'!$I16</f>
        <v>TR 22/08/2025</v>
      </c>
      <c r="L287" s="250" t="str">
        <f ca="1">'6ª'!$J16</f>
        <v>DISP.IDADE</v>
      </c>
      <c r="M287" s="362"/>
      <c r="N287" s="252">
        <f ca="1">'6ª'!$K16</f>
        <v>54</v>
      </c>
      <c r="O287" s="362"/>
      <c r="P287" s="253" t="s">
        <v>110</v>
      </c>
      <c r="Q287" s="415" t="s">
        <v>250</v>
      </c>
      <c r="R287" s="383" t="str">
        <f>'6ª'!$L16</f>
        <v>Não</v>
      </c>
      <c r="S287" s="383" t="str">
        <f>'6ª'!$M16</f>
        <v>-</v>
      </c>
      <c r="T287" s="383" t="str">
        <f>'6ª'!$N16</f>
        <v>-</v>
      </c>
      <c r="U287" s="383" t="str">
        <f>'6ª'!$O16</f>
        <v>-</v>
      </c>
      <c r="V287" s="383" t="str">
        <f>'6ª'!$P16</f>
        <v>-</v>
      </c>
      <c r="W287" s="383" t="str">
        <f>'6ª'!$Q16</f>
        <v>-</v>
      </c>
      <c r="X287" s="383" t="str">
        <f>'6ª'!$R16</f>
        <v>-</v>
      </c>
      <c r="Y287" s="383" t="str">
        <f>'6ª'!$S16</f>
        <v>-</v>
      </c>
      <c r="Z287" s="384">
        <f>'6ª'!$T16</f>
        <v>0</v>
      </c>
      <c r="AA287" s="384">
        <f>'6ª'!$U16</f>
        <v>0</v>
      </c>
      <c r="AB287" s="385" t="s">
        <v>326</v>
      </c>
      <c r="AC287" s="385"/>
      <c r="AD287" s="435" t="s">
        <v>466</v>
      </c>
    </row>
    <row r="288" spans="1:30" ht="15.75" x14ac:dyDescent="0.25">
      <c r="A288" s="416" t="str">
        <f>RIGHT('[1]6ª'!$A$5:$D$5,12)</f>
        <v>6ª SÉRIE E.F</v>
      </c>
      <c r="B288" s="120">
        <v>12</v>
      </c>
      <c r="C288" s="248">
        <f>'6ª'!$B17</f>
        <v>0</v>
      </c>
      <c r="D288" s="362">
        <f>'6ª'!$C17</f>
        <v>0</v>
      </c>
      <c r="E288" s="249">
        <f>'6ª'!$D17</f>
        <v>0</v>
      </c>
      <c r="F288" s="249" t="str">
        <f>'6ª'!$E17</f>
        <v/>
      </c>
      <c r="G288" s="250">
        <f>'6ª'!$F17</f>
        <v>0</v>
      </c>
      <c r="H288" s="362">
        <f>'6ª'!$G17</f>
        <v>0</v>
      </c>
      <c r="I288" s="363">
        <f>'6ª'!$H17</f>
        <v>0</v>
      </c>
      <c r="J288" s="362"/>
      <c r="K288" s="362">
        <f>'6ª'!$I17</f>
        <v>0</v>
      </c>
      <c r="L288" s="250" t="str">
        <f ca="1">'6ª'!$J17</f>
        <v/>
      </c>
      <c r="M288" s="362"/>
      <c r="N288" s="252" t="str">
        <f ca="1">'6ª'!$K17</f>
        <v/>
      </c>
      <c r="O288" s="362"/>
      <c r="P288" s="253" t="s">
        <v>110</v>
      </c>
      <c r="Q288" s="415" t="s">
        <v>250</v>
      </c>
      <c r="R288" s="383" t="str">
        <f>'6ª'!$L17</f>
        <v>Não</v>
      </c>
      <c r="S288" s="383" t="str">
        <f>'6ª'!$M17</f>
        <v>-</v>
      </c>
      <c r="T288" s="383" t="str">
        <f>'6ª'!$N17</f>
        <v>-</v>
      </c>
      <c r="U288" s="383" t="str">
        <f>'6ª'!$O17</f>
        <v>-</v>
      </c>
      <c r="V288" s="383" t="str">
        <f>'6ª'!$P17</f>
        <v>-</v>
      </c>
      <c r="W288" s="383" t="str">
        <f>'6ª'!$Q17</f>
        <v>-</v>
      </c>
      <c r="X288" s="383" t="str">
        <f>'6ª'!$R17</f>
        <v>-</v>
      </c>
      <c r="Y288" s="383" t="str">
        <f>'6ª'!$S17</f>
        <v>-</v>
      </c>
      <c r="Z288" s="384">
        <f>'6ª'!$T17</f>
        <v>0</v>
      </c>
      <c r="AA288" s="384">
        <f>'6ª'!$U17</f>
        <v>0</v>
      </c>
      <c r="AB288" s="385" t="s">
        <v>326</v>
      </c>
      <c r="AC288" s="385"/>
      <c r="AD288" s="435" t="s">
        <v>466</v>
      </c>
    </row>
    <row r="289" spans="1:30" ht="15.75" x14ac:dyDescent="0.25">
      <c r="A289" s="416" t="str">
        <f>RIGHT('[1]6ª'!$A$5:$D$5,12)</f>
        <v>6ª SÉRIE E.F</v>
      </c>
      <c r="B289" s="120">
        <v>13</v>
      </c>
      <c r="C289" s="248">
        <f>'6ª'!$B18</f>
        <v>0</v>
      </c>
      <c r="D289" s="362">
        <f>'6ª'!$C18</f>
        <v>0</v>
      </c>
      <c r="E289" s="249">
        <f>'6ª'!$D18</f>
        <v>0</v>
      </c>
      <c r="F289" s="249" t="str">
        <f>'6ª'!$E18</f>
        <v/>
      </c>
      <c r="G289" s="250">
        <f>'6ª'!$F18</f>
        <v>0</v>
      </c>
      <c r="H289" s="362">
        <f>'6ª'!$G18</f>
        <v>0</v>
      </c>
      <c r="I289" s="363">
        <f>'6ª'!$H18</f>
        <v>0</v>
      </c>
      <c r="J289" s="362"/>
      <c r="K289" s="362">
        <f>'6ª'!$I18</f>
        <v>0</v>
      </c>
      <c r="L289" s="250" t="str">
        <f ca="1">'6ª'!$J18</f>
        <v/>
      </c>
      <c r="M289" s="362"/>
      <c r="N289" s="252" t="str">
        <f ca="1">'6ª'!$K18</f>
        <v/>
      </c>
      <c r="O289" s="362"/>
      <c r="P289" s="253" t="s">
        <v>110</v>
      </c>
      <c r="Q289" s="415" t="s">
        <v>250</v>
      </c>
      <c r="R289" s="383" t="str">
        <f>'6ª'!$L18</f>
        <v>Não</v>
      </c>
      <c r="S289" s="383" t="str">
        <f>'6ª'!$M18</f>
        <v>-</v>
      </c>
      <c r="T289" s="383" t="str">
        <f>'6ª'!$N18</f>
        <v>-</v>
      </c>
      <c r="U289" s="383" t="str">
        <f>'6ª'!$O18</f>
        <v>-</v>
      </c>
      <c r="V289" s="383" t="str">
        <f>'6ª'!$P18</f>
        <v>-</v>
      </c>
      <c r="W289" s="383" t="str">
        <f>'6ª'!$Q18</f>
        <v>-</v>
      </c>
      <c r="X289" s="383" t="str">
        <f>'6ª'!$R18</f>
        <v>-</v>
      </c>
      <c r="Y289" s="383" t="str">
        <f>'6ª'!$S18</f>
        <v>-</v>
      </c>
      <c r="Z289" s="384">
        <f>'6ª'!$T18</f>
        <v>0</v>
      </c>
      <c r="AA289" s="384">
        <f>'6ª'!$U18</f>
        <v>0</v>
      </c>
      <c r="AB289" s="385" t="s">
        <v>326</v>
      </c>
      <c r="AC289" s="385"/>
      <c r="AD289" s="435" t="s">
        <v>466</v>
      </c>
    </row>
    <row r="290" spans="1:30" ht="15.75" x14ac:dyDescent="0.25">
      <c r="A290" s="416" t="str">
        <f>RIGHT('[1]6ª'!$A$5:$D$5,12)</f>
        <v>6ª SÉRIE E.F</v>
      </c>
      <c r="B290" s="120">
        <v>14</v>
      </c>
      <c r="C290" s="248">
        <f>'6ª'!$B19</f>
        <v>0</v>
      </c>
      <c r="D290" s="362">
        <f>'6ª'!$C19</f>
        <v>0</v>
      </c>
      <c r="E290" s="249">
        <f>'6ª'!$D19</f>
        <v>0</v>
      </c>
      <c r="F290" s="249" t="str">
        <f>'6ª'!$E19</f>
        <v/>
      </c>
      <c r="G290" s="250">
        <f>'6ª'!$F19</f>
        <v>0</v>
      </c>
      <c r="H290" s="362">
        <f>'6ª'!$G19</f>
        <v>0</v>
      </c>
      <c r="I290" s="363">
        <f>'6ª'!$H19</f>
        <v>0</v>
      </c>
      <c r="J290" s="362"/>
      <c r="K290" s="362">
        <f>'6ª'!$I19</f>
        <v>0</v>
      </c>
      <c r="L290" s="250" t="str">
        <f ca="1">'6ª'!$J19</f>
        <v/>
      </c>
      <c r="M290" s="362"/>
      <c r="N290" s="252" t="str">
        <f ca="1">'6ª'!$K19</f>
        <v/>
      </c>
      <c r="O290" s="362"/>
      <c r="P290" s="253" t="s">
        <v>110</v>
      </c>
      <c r="Q290" s="415" t="s">
        <v>250</v>
      </c>
      <c r="R290" s="383" t="str">
        <f>'6ª'!$L19</f>
        <v>Não</v>
      </c>
      <c r="S290" s="383" t="str">
        <f>'6ª'!$M19</f>
        <v>-</v>
      </c>
      <c r="T290" s="383" t="str">
        <f>'6ª'!$N19</f>
        <v>-</v>
      </c>
      <c r="U290" s="383" t="str">
        <f>'6ª'!$O19</f>
        <v>-</v>
      </c>
      <c r="V290" s="383" t="str">
        <f>'6ª'!$P19</f>
        <v>-</v>
      </c>
      <c r="W290" s="383" t="str">
        <f>'6ª'!$Q19</f>
        <v>-</v>
      </c>
      <c r="X290" s="383" t="str">
        <f>'6ª'!$R19</f>
        <v>-</v>
      </c>
      <c r="Y290" s="383" t="str">
        <f>'6ª'!$S19</f>
        <v>-</v>
      </c>
      <c r="Z290" s="384">
        <f>'6ª'!$T19</f>
        <v>0</v>
      </c>
      <c r="AA290" s="384">
        <f>'6ª'!$U19</f>
        <v>0</v>
      </c>
      <c r="AB290" s="385" t="s">
        <v>326</v>
      </c>
      <c r="AC290" s="385"/>
      <c r="AD290" s="435" t="s">
        <v>466</v>
      </c>
    </row>
    <row r="291" spans="1:30" ht="15.75" x14ac:dyDescent="0.25">
      <c r="A291" s="416" t="str">
        <f>RIGHT('[1]6ª'!$A$5:$D$5,12)</f>
        <v>6ª SÉRIE E.F</v>
      </c>
      <c r="B291" s="120">
        <v>15</v>
      </c>
      <c r="C291" s="248">
        <f>'6ª'!$B20</f>
        <v>0</v>
      </c>
      <c r="D291" s="362">
        <f>'6ª'!$C20</f>
        <v>0</v>
      </c>
      <c r="E291" s="249">
        <f>'6ª'!$D20</f>
        <v>0</v>
      </c>
      <c r="F291" s="249" t="str">
        <f>'6ª'!$E20</f>
        <v/>
      </c>
      <c r="G291" s="250">
        <f>'6ª'!$F20</f>
        <v>0</v>
      </c>
      <c r="H291" s="362">
        <f>'6ª'!$G20</f>
        <v>0</v>
      </c>
      <c r="I291" s="363">
        <f>'6ª'!$H20</f>
        <v>0</v>
      </c>
      <c r="J291" s="362"/>
      <c r="K291" s="362">
        <f>'6ª'!$I20</f>
        <v>0</v>
      </c>
      <c r="L291" s="250" t="str">
        <f ca="1">'6ª'!$J20</f>
        <v/>
      </c>
      <c r="M291" s="362"/>
      <c r="N291" s="252" t="str">
        <f ca="1">'6ª'!$K20</f>
        <v/>
      </c>
      <c r="O291" s="362"/>
      <c r="P291" s="253" t="s">
        <v>110</v>
      </c>
      <c r="Q291" s="415" t="s">
        <v>250</v>
      </c>
      <c r="R291" s="383" t="str">
        <f>'6ª'!$L20</f>
        <v>Não</v>
      </c>
      <c r="S291" s="383" t="str">
        <f>'6ª'!$M20</f>
        <v>-</v>
      </c>
      <c r="T291" s="383" t="str">
        <f>'6ª'!$N20</f>
        <v>-</v>
      </c>
      <c r="U291" s="383" t="str">
        <f>'6ª'!$O20</f>
        <v>-</v>
      </c>
      <c r="V291" s="383" t="str">
        <f>'6ª'!$P20</f>
        <v>-</v>
      </c>
      <c r="W291" s="383" t="str">
        <f>'6ª'!$Q20</f>
        <v>-</v>
      </c>
      <c r="X291" s="383" t="str">
        <f>'6ª'!$R20</f>
        <v>-</v>
      </c>
      <c r="Y291" s="383" t="str">
        <f>'6ª'!$S20</f>
        <v>-</v>
      </c>
      <c r="Z291" s="384">
        <f>'6ª'!$T20</f>
        <v>0</v>
      </c>
      <c r="AA291" s="384">
        <f>'6ª'!$U20</f>
        <v>0</v>
      </c>
      <c r="AB291" s="385" t="s">
        <v>326</v>
      </c>
      <c r="AC291" s="385"/>
      <c r="AD291" s="435" t="s">
        <v>466</v>
      </c>
    </row>
    <row r="292" spans="1:30" ht="15.75" x14ac:dyDescent="0.25">
      <c r="A292" s="416" t="str">
        <f>RIGHT('[1]6ª'!$A$5:$D$5,12)</f>
        <v>6ª SÉRIE E.F</v>
      </c>
      <c r="B292" s="120">
        <v>16</v>
      </c>
      <c r="C292" s="248">
        <f>'6ª'!$B21</f>
        <v>0</v>
      </c>
      <c r="D292" s="362">
        <f>'6ª'!$C21</f>
        <v>0</v>
      </c>
      <c r="E292" s="249">
        <f>'6ª'!$D21</f>
        <v>0</v>
      </c>
      <c r="F292" s="249" t="str">
        <f>'6ª'!$E21</f>
        <v/>
      </c>
      <c r="G292" s="250">
        <f>'6ª'!$F21</f>
        <v>0</v>
      </c>
      <c r="H292" s="362">
        <f>'6ª'!$G21</f>
        <v>0</v>
      </c>
      <c r="I292" s="363">
        <f>'6ª'!$H21</f>
        <v>0</v>
      </c>
      <c r="J292" s="362"/>
      <c r="K292" s="362">
        <f>'6ª'!$I21</f>
        <v>0</v>
      </c>
      <c r="L292" s="250" t="str">
        <f ca="1">'6ª'!$J21</f>
        <v/>
      </c>
      <c r="M292" s="362"/>
      <c r="N292" s="252" t="str">
        <f ca="1">'6ª'!$K21</f>
        <v/>
      </c>
      <c r="O292" s="362"/>
      <c r="P292" s="253" t="s">
        <v>110</v>
      </c>
      <c r="Q292" s="415" t="s">
        <v>250</v>
      </c>
      <c r="R292" s="383" t="str">
        <f>'6ª'!$L21</f>
        <v>Não</v>
      </c>
      <c r="S292" s="383" t="str">
        <f>'6ª'!$M21</f>
        <v>-</v>
      </c>
      <c r="T292" s="383" t="str">
        <f>'6ª'!$N21</f>
        <v>-</v>
      </c>
      <c r="U292" s="383" t="str">
        <f>'6ª'!$O21</f>
        <v>-</v>
      </c>
      <c r="V292" s="383" t="str">
        <f>'6ª'!$P21</f>
        <v>-</v>
      </c>
      <c r="W292" s="383" t="str">
        <f>'6ª'!$Q21</f>
        <v>-</v>
      </c>
      <c r="X292" s="383" t="str">
        <f>'6ª'!$R21</f>
        <v>-</v>
      </c>
      <c r="Y292" s="383" t="str">
        <f>'6ª'!$S21</f>
        <v>-</v>
      </c>
      <c r="Z292" s="384">
        <f>'6ª'!$T21</f>
        <v>0</v>
      </c>
      <c r="AA292" s="384">
        <f>'6ª'!$U21</f>
        <v>0</v>
      </c>
      <c r="AB292" s="385" t="s">
        <v>326</v>
      </c>
      <c r="AC292" s="385"/>
      <c r="AD292" s="435" t="s">
        <v>466</v>
      </c>
    </row>
    <row r="293" spans="1:30" ht="15.75" x14ac:dyDescent="0.25">
      <c r="A293" s="416" t="str">
        <f>RIGHT('[1]6ª'!$A$5:$D$5,12)</f>
        <v>6ª SÉRIE E.F</v>
      </c>
      <c r="B293" s="120">
        <v>17</v>
      </c>
      <c r="C293" s="248">
        <f>'6ª'!$B22</f>
        <v>0</v>
      </c>
      <c r="D293" s="362">
        <f>'6ª'!$C22</f>
        <v>0</v>
      </c>
      <c r="E293" s="249">
        <f>'6ª'!$D22</f>
        <v>0</v>
      </c>
      <c r="F293" s="249" t="str">
        <f>'6ª'!$E22</f>
        <v/>
      </c>
      <c r="G293" s="250">
        <f>'6ª'!$F22</f>
        <v>0</v>
      </c>
      <c r="H293" s="362">
        <f>'6ª'!$G22</f>
        <v>0</v>
      </c>
      <c r="I293" s="363">
        <f>'6ª'!$H22</f>
        <v>0</v>
      </c>
      <c r="J293" s="362"/>
      <c r="K293" s="362">
        <f>'6ª'!$I22</f>
        <v>0</v>
      </c>
      <c r="L293" s="250" t="str">
        <f ca="1">'6ª'!$J22</f>
        <v/>
      </c>
      <c r="M293" s="362"/>
      <c r="N293" s="252" t="str">
        <f ca="1">'6ª'!$K22</f>
        <v/>
      </c>
      <c r="O293" s="362"/>
      <c r="P293" s="253" t="s">
        <v>110</v>
      </c>
      <c r="Q293" s="415" t="s">
        <v>250</v>
      </c>
      <c r="R293" s="383" t="str">
        <f>'6ª'!$L22</f>
        <v>Não</v>
      </c>
      <c r="S293" s="383" t="str">
        <f>'6ª'!$M22</f>
        <v>-</v>
      </c>
      <c r="T293" s="383" t="str">
        <f>'6ª'!$N22</f>
        <v>-</v>
      </c>
      <c r="U293" s="383" t="str">
        <f>'6ª'!$O22</f>
        <v>-</v>
      </c>
      <c r="V293" s="383" t="str">
        <f>'6ª'!$P22</f>
        <v>-</v>
      </c>
      <c r="W293" s="383" t="str">
        <f>'6ª'!$Q22</f>
        <v>-</v>
      </c>
      <c r="X293" s="383" t="str">
        <f>'6ª'!$R22</f>
        <v>-</v>
      </c>
      <c r="Y293" s="383" t="str">
        <f>'6ª'!$S22</f>
        <v>-</v>
      </c>
      <c r="Z293" s="384">
        <f>'6ª'!$T22</f>
        <v>0</v>
      </c>
      <c r="AA293" s="384">
        <f>'6ª'!$U22</f>
        <v>0</v>
      </c>
      <c r="AB293" s="385" t="s">
        <v>326</v>
      </c>
      <c r="AC293" s="385"/>
      <c r="AD293" s="435" t="s">
        <v>466</v>
      </c>
    </row>
    <row r="294" spans="1:30" ht="15.75" x14ac:dyDescent="0.25">
      <c r="A294" s="416" t="str">
        <f>RIGHT('[1]6ª'!$A$5:$D$5,12)</f>
        <v>6ª SÉRIE E.F</v>
      </c>
      <c r="B294" s="120">
        <v>18</v>
      </c>
      <c r="C294" s="248">
        <f>'6ª'!$B23</f>
        <v>0</v>
      </c>
      <c r="D294" s="362">
        <f>'6ª'!$C23</f>
        <v>0</v>
      </c>
      <c r="E294" s="249">
        <f>'6ª'!$D23</f>
        <v>0</v>
      </c>
      <c r="F294" s="249" t="str">
        <f>'6ª'!$E23</f>
        <v/>
      </c>
      <c r="G294" s="250">
        <f>'6ª'!$F23</f>
        <v>0</v>
      </c>
      <c r="H294" s="362">
        <f>'6ª'!$G23</f>
        <v>0</v>
      </c>
      <c r="I294" s="363">
        <f>'6ª'!$H23</f>
        <v>0</v>
      </c>
      <c r="J294" s="362"/>
      <c r="K294" s="362">
        <f>'6ª'!$I23</f>
        <v>0</v>
      </c>
      <c r="L294" s="250" t="str">
        <f ca="1">'6ª'!$J23</f>
        <v/>
      </c>
      <c r="M294" s="362"/>
      <c r="N294" s="252" t="str">
        <f ca="1">'6ª'!$K23</f>
        <v/>
      </c>
      <c r="O294" s="362"/>
      <c r="P294" s="253" t="s">
        <v>110</v>
      </c>
      <c r="Q294" s="415" t="s">
        <v>250</v>
      </c>
      <c r="R294" s="383" t="str">
        <f>'6ª'!$L23</f>
        <v>Não</v>
      </c>
      <c r="S294" s="383" t="str">
        <f>'6ª'!$M23</f>
        <v>-</v>
      </c>
      <c r="T294" s="383" t="str">
        <f>'6ª'!$N23</f>
        <v>-</v>
      </c>
      <c r="U294" s="383" t="str">
        <f>'6ª'!$O23</f>
        <v>-</v>
      </c>
      <c r="V294" s="383" t="str">
        <f>'6ª'!$P23</f>
        <v>-</v>
      </c>
      <c r="W294" s="383" t="str">
        <f>'6ª'!$Q23</f>
        <v>-</v>
      </c>
      <c r="X294" s="383" t="str">
        <f>'6ª'!$R23</f>
        <v>-</v>
      </c>
      <c r="Y294" s="383" t="str">
        <f>'6ª'!$S23</f>
        <v>-</v>
      </c>
      <c r="Z294" s="384">
        <f>'6ª'!$T23</f>
        <v>0</v>
      </c>
      <c r="AA294" s="384">
        <f>'6ª'!$U23</f>
        <v>0</v>
      </c>
      <c r="AB294" s="385" t="s">
        <v>326</v>
      </c>
      <c r="AC294" s="385"/>
      <c r="AD294" s="435" t="s">
        <v>466</v>
      </c>
    </row>
    <row r="295" spans="1:30" ht="15.75" x14ac:dyDescent="0.25">
      <c r="A295" s="416" t="str">
        <f>RIGHT('[1]6ª'!$A$5:$D$5,12)</f>
        <v>6ª SÉRIE E.F</v>
      </c>
      <c r="B295" s="120">
        <v>19</v>
      </c>
      <c r="C295" s="248">
        <f>'6ª'!$B24</f>
        <v>0</v>
      </c>
      <c r="D295" s="362">
        <f>'6ª'!$C24</f>
        <v>0</v>
      </c>
      <c r="E295" s="249">
        <f>'6ª'!$D24</f>
        <v>0</v>
      </c>
      <c r="F295" s="249" t="str">
        <f>'6ª'!$E24</f>
        <v/>
      </c>
      <c r="G295" s="250">
        <f>'6ª'!$F24</f>
        <v>0</v>
      </c>
      <c r="H295" s="362">
        <f>'6ª'!$G24</f>
        <v>0</v>
      </c>
      <c r="I295" s="363">
        <f>'6ª'!$H24</f>
        <v>0</v>
      </c>
      <c r="J295" s="362"/>
      <c r="K295" s="362">
        <f>'6ª'!$I24</f>
        <v>0</v>
      </c>
      <c r="L295" s="250" t="str">
        <f ca="1">'6ª'!$J24</f>
        <v/>
      </c>
      <c r="M295" s="362"/>
      <c r="N295" s="252" t="str">
        <f ca="1">'6ª'!$K24</f>
        <v/>
      </c>
      <c r="O295" s="362"/>
      <c r="P295" s="253" t="s">
        <v>110</v>
      </c>
      <c r="Q295" s="415" t="s">
        <v>250</v>
      </c>
      <c r="R295" s="383" t="str">
        <f>'6ª'!$L24</f>
        <v>Não</v>
      </c>
      <c r="S295" s="383" t="str">
        <f>'6ª'!$M24</f>
        <v>-</v>
      </c>
      <c r="T295" s="383" t="str">
        <f>'6ª'!$N24</f>
        <v>-</v>
      </c>
      <c r="U295" s="383" t="str">
        <f>'6ª'!$O24</f>
        <v>-</v>
      </c>
      <c r="V295" s="383" t="str">
        <f>'6ª'!$P24</f>
        <v>-</v>
      </c>
      <c r="W295" s="383" t="str">
        <f>'6ª'!$Q24</f>
        <v>-</v>
      </c>
      <c r="X295" s="383" t="str">
        <f>'6ª'!$R24</f>
        <v>-</v>
      </c>
      <c r="Y295" s="383" t="str">
        <f>'6ª'!$S24</f>
        <v>-</v>
      </c>
      <c r="Z295" s="384">
        <f>'6ª'!$T24</f>
        <v>0</v>
      </c>
      <c r="AA295" s="384">
        <f>'6ª'!$U24</f>
        <v>0</v>
      </c>
      <c r="AB295" s="385" t="s">
        <v>326</v>
      </c>
      <c r="AC295" s="385"/>
      <c r="AD295" s="435" t="s">
        <v>466</v>
      </c>
    </row>
    <row r="296" spans="1:30" ht="15.75" x14ac:dyDescent="0.25">
      <c r="A296" s="416" t="str">
        <f>RIGHT('[1]6ª'!$A$5:$D$5,12)</f>
        <v>6ª SÉRIE E.F</v>
      </c>
      <c r="B296" s="120">
        <v>20</v>
      </c>
      <c r="C296" s="248">
        <f>'6ª'!$B25</f>
        <v>0</v>
      </c>
      <c r="D296" s="362">
        <f>'6ª'!$C25</f>
        <v>0</v>
      </c>
      <c r="E296" s="249">
        <f>'6ª'!$D25</f>
        <v>0</v>
      </c>
      <c r="F296" s="249" t="str">
        <f>'6ª'!$E25</f>
        <v/>
      </c>
      <c r="G296" s="250">
        <f>'6ª'!$F25</f>
        <v>0</v>
      </c>
      <c r="H296" s="362">
        <f>'6ª'!$G25</f>
        <v>0</v>
      </c>
      <c r="I296" s="363">
        <f>'6ª'!$H25</f>
        <v>0</v>
      </c>
      <c r="J296" s="362"/>
      <c r="K296" s="362">
        <f>'6ª'!$I25</f>
        <v>0</v>
      </c>
      <c r="L296" s="250" t="str">
        <f ca="1">'6ª'!$J25</f>
        <v/>
      </c>
      <c r="M296" s="362"/>
      <c r="N296" s="252" t="str">
        <f ca="1">'6ª'!$K25</f>
        <v/>
      </c>
      <c r="O296" s="362"/>
      <c r="P296" s="253" t="s">
        <v>110</v>
      </c>
      <c r="Q296" s="415" t="s">
        <v>250</v>
      </c>
      <c r="R296" s="383" t="str">
        <f>'6ª'!$L25</f>
        <v>Não</v>
      </c>
      <c r="S296" s="383" t="str">
        <f>'6ª'!$M25</f>
        <v>-</v>
      </c>
      <c r="T296" s="383" t="str">
        <f>'6ª'!$N25</f>
        <v>-</v>
      </c>
      <c r="U296" s="383" t="str">
        <f>'6ª'!$O25</f>
        <v>-</v>
      </c>
      <c r="V296" s="383" t="str">
        <f>'6ª'!$P25</f>
        <v>-</v>
      </c>
      <c r="W296" s="383" t="str">
        <f>'6ª'!$Q25</f>
        <v>-</v>
      </c>
      <c r="X296" s="383" t="str">
        <f>'6ª'!$R25</f>
        <v>-</v>
      </c>
      <c r="Y296" s="383" t="str">
        <f>'6ª'!$S25</f>
        <v>-</v>
      </c>
      <c r="Z296" s="384">
        <f>'6ª'!$T25</f>
        <v>0</v>
      </c>
      <c r="AA296" s="384">
        <f>'6ª'!$U25</f>
        <v>0</v>
      </c>
      <c r="AB296" s="385" t="s">
        <v>326</v>
      </c>
      <c r="AC296" s="385"/>
      <c r="AD296" s="435" t="s">
        <v>466</v>
      </c>
    </row>
    <row r="297" spans="1:30" ht="15.75" x14ac:dyDescent="0.25">
      <c r="A297" s="416" t="str">
        <f>RIGHT('[1]6ª'!$A$5:$D$5,12)</f>
        <v>6ª SÉRIE E.F</v>
      </c>
      <c r="B297" s="120">
        <v>21</v>
      </c>
      <c r="C297" s="248">
        <f>'6ª'!$B26</f>
        <v>0</v>
      </c>
      <c r="D297" s="362">
        <f>'6ª'!$C26</f>
        <v>0</v>
      </c>
      <c r="E297" s="249">
        <f>'6ª'!$D26</f>
        <v>0</v>
      </c>
      <c r="F297" s="249" t="str">
        <f>'6ª'!$E26</f>
        <v/>
      </c>
      <c r="G297" s="250">
        <f>'6ª'!$F26</f>
        <v>0</v>
      </c>
      <c r="H297" s="362">
        <f>'6ª'!$G26</f>
        <v>0</v>
      </c>
      <c r="I297" s="363">
        <f>'6ª'!$H26</f>
        <v>0</v>
      </c>
      <c r="J297" s="362"/>
      <c r="K297" s="362">
        <f>'6ª'!$I26</f>
        <v>0</v>
      </c>
      <c r="L297" s="250" t="str">
        <f ca="1">'6ª'!$J26</f>
        <v/>
      </c>
      <c r="M297" s="362"/>
      <c r="N297" s="252" t="str">
        <f ca="1">'6ª'!$K26</f>
        <v/>
      </c>
      <c r="O297" s="362"/>
      <c r="P297" s="253" t="s">
        <v>110</v>
      </c>
      <c r="Q297" s="415" t="s">
        <v>250</v>
      </c>
      <c r="R297" s="383" t="str">
        <f>'6ª'!$L26</f>
        <v>Não</v>
      </c>
      <c r="S297" s="383" t="str">
        <f>'6ª'!$M26</f>
        <v>-</v>
      </c>
      <c r="T297" s="383" t="str">
        <f>'6ª'!$N26</f>
        <v>-</v>
      </c>
      <c r="U297" s="383" t="str">
        <f>'6ª'!$O26</f>
        <v>-</v>
      </c>
      <c r="V297" s="383" t="str">
        <f>'6ª'!$P26</f>
        <v>-</v>
      </c>
      <c r="W297" s="383" t="str">
        <f>'6ª'!$Q26</f>
        <v>-</v>
      </c>
      <c r="X297" s="383" t="str">
        <f>'6ª'!$R26</f>
        <v>-</v>
      </c>
      <c r="Y297" s="383" t="str">
        <f>'6ª'!$S26</f>
        <v>-</v>
      </c>
      <c r="Z297" s="384">
        <f>'6ª'!$T26</f>
        <v>0</v>
      </c>
      <c r="AA297" s="384">
        <f>'6ª'!$U26</f>
        <v>0</v>
      </c>
      <c r="AB297" s="385" t="s">
        <v>326</v>
      </c>
      <c r="AC297" s="385"/>
      <c r="AD297" s="435" t="s">
        <v>466</v>
      </c>
    </row>
    <row r="298" spans="1:30" ht="15.75" x14ac:dyDescent="0.25">
      <c r="A298" s="416" t="str">
        <f>RIGHT('[1]6ª'!$A$5:$D$5,12)</f>
        <v>6ª SÉRIE E.F</v>
      </c>
      <c r="B298" s="120">
        <v>22</v>
      </c>
      <c r="C298" s="248">
        <f>'6ª'!$B27</f>
        <v>0</v>
      </c>
      <c r="D298" s="362">
        <f>'6ª'!$C27</f>
        <v>0</v>
      </c>
      <c r="E298" s="249">
        <f>'6ª'!$D27</f>
        <v>0</v>
      </c>
      <c r="F298" s="249" t="str">
        <f>'6ª'!$E27</f>
        <v/>
      </c>
      <c r="G298" s="250">
        <f>'6ª'!$F27</f>
        <v>0</v>
      </c>
      <c r="H298" s="362">
        <f>'6ª'!$G27</f>
        <v>0</v>
      </c>
      <c r="I298" s="363">
        <f>'6ª'!$H27</f>
        <v>0</v>
      </c>
      <c r="J298" s="362"/>
      <c r="K298" s="362">
        <f>'6ª'!$I27</f>
        <v>0</v>
      </c>
      <c r="L298" s="250" t="str">
        <f ca="1">'6ª'!$J27</f>
        <v/>
      </c>
      <c r="M298" s="362"/>
      <c r="N298" s="252" t="str">
        <f ca="1">'6ª'!$K27</f>
        <v/>
      </c>
      <c r="O298" s="362"/>
      <c r="P298" s="253" t="s">
        <v>110</v>
      </c>
      <c r="Q298" s="415" t="s">
        <v>250</v>
      </c>
      <c r="R298" s="383" t="str">
        <f>'6ª'!$L27</f>
        <v>Não</v>
      </c>
      <c r="S298" s="383" t="str">
        <f>'6ª'!$M27</f>
        <v>-</v>
      </c>
      <c r="T298" s="383" t="str">
        <f>'6ª'!$N27</f>
        <v>-</v>
      </c>
      <c r="U298" s="383" t="str">
        <f>'6ª'!$O27</f>
        <v>-</v>
      </c>
      <c r="V298" s="383" t="str">
        <f>'6ª'!$P27</f>
        <v>-</v>
      </c>
      <c r="W298" s="383" t="str">
        <f>'6ª'!$Q27</f>
        <v>-</v>
      </c>
      <c r="X298" s="383" t="str">
        <f>'6ª'!$R27</f>
        <v>-</v>
      </c>
      <c r="Y298" s="383" t="str">
        <f>'6ª'!$S27</f>
        <v>-</v>
      </c>
      <c r="Z298" s="384">
        <f>'6ª'!$T27</f>
        <v>0</v>
      </c>
      <c r="AA298" s="384">
        <f>'6ª'!$U27</f>
        <v>0</v>
      </c>
      <c r="AB298" s="385" t="s">
        <v>326</v>
      </c>
      <c r="AC298" s="385"/>
      <c r="AD298" s="435" t="s">
        <v>466</v>
      </c>
    </row>
    <row r="299" spans="1:30" ht="15.75" x14ac:dyDescent="0.25">
      <c r="A299" s="416" t="str">
        <f>RIGHT('[1]6ª'!$A$5:$D$5,12)</f>
        <v>6ª SÉRIE E.F</v>
      </c>
      <c r="B299" s="120">
        <v>23</v>
      </c>
      <c r="C299" s="248">
        <f>'6ª'!$B28</f>
        <v>0</v>
      </c>
      <c r="D299" s="362">
        <f>'6ª'!$C28</f>
        <v>0</v>
      </c>
      <c r="E299" s="249">
        <f>'6ª'!$D28</f>
        <v>0</v>
      </c>
      <c r="F299" s="249" t="str">
        <f>'6ª'!$E28</f>
        <v/>
      </c>
      <c r="G299" s="250">
        <f>'6ª'!$F28</f>
        <v>0</v>
      </c>
      <c r="H299" s="362">
        <f>'6ª'!$G28</f>
        <v>0</v>
      </c>
      <c r="I299" s="363">
        <f>'6ª'!$H28</f>
        <v>0</v>
      </c>
      <c r="J299" s="362"/>
      <c r="K299" s="362">
        <f>'6ª'!$I28</f>
        <v>0</v>
      </c>
      <c r="L299" s="250" t="str">
        <f ca="1">'6ª'!$J28</f>
        <v/>
      </c>
      <c r="M299" s="362"/>
      <c r="N299" s="252" t="str">
        <f ca="1">'6ª'!$K28</f>
        <v/>
      </c>
      <c r="O299" s="362"/>
      <c r="P299" s="253" t="s">
        <v>110</v>
      </c>
      <c r="Q299" s="415" t="s">
        <v>250</v>
      </c>
      <c r="R299" s="383" t="str">
        <f>'6ª'!$L28</f>
        <v>Não</v>
      </c>
      <c r="S299" s="383" t="str">
        <f>'6ª'!$M28</f>
        <v>-</v>
      </c>
      <c r="T299" s="383" t="str">
        <f>'6ª'!$N28</f>
        <v>-</v>
      </c>
      <c r="U299" s="383" t="str">
        <f>'6ª'!$O28</f>
        <v>-</v>
      </c>
      <c r="V299" s="383" t="str">
        <f>'6ª'!$P28</f>
        <v>-</v>
      </c>
      <c r="W299" s="383" t="str">
        <f>'6ª'!$Q28</f>
        <v>-</v>
      </c>
      <c r="X299" s="383" t="str">
        <f>'6ª'!$R28</f>
        <v>-</v>
      </c>
      <c r="Y299" s="383" t="str">
        <f>'6ª'!$S28</f>
        <v>-</v>
      </c>
      <c r="Z299" s="384">
        <f>'6ª'!$T28</f>
        <v>0</v>
      </c>
      <c r="AA299" s="384">
        <f>'6ª'!$U28</f>
        <v>0</v>
      </c>
      <c r="AB299" s="385" t="s">
        <v>326</v>
      </c>
      <c r="AC299" s="385"/>
      <c r="AD299" s="435" t="s">
        <v>466</v>
      </c>
    </row>
    <row r="300" spans="1:30" ht="15.75" x14ac:dyDescent="0.25">
      <c r="A300" s="416" t="str">
        <f>RIGHT('[1]6ª'!$A$5:$D$5,12)</f>
        <v>6ª SÉRIE E.F</v>
      </c>
      <c r="B300" s="120">
        <v>24</v>
      </c>
      <c r="C300" s="248">
        <f>'6ª'!$B29</f>
        <v>0</v>
      </c>
      <c r="D300" s="362">
        <f>'6ª'!$C29</f>
        <v>0</v>
      </c>
      <c r="E300" s="249">
        <f>'6ª'!$D29</f>
        <v>0</v>
      </c>
      <c r="F300" s="249" t="str">
        <f>'6ª'!$E29</f>
        <v/>
      </c>
      <c r="G300" s="250">
        <f>'6ª'!$F29</f>
        <v>0</v>
      </c>
      <c r="H300" s="362">
        <f>'6ª'!$G29</f>
        <v>0</v>
      </c>
      <c r="I300" s="363">
        <f>'6ª'!$H29</f>
        <v>0</v>
      </c>
      <c r="J300" s="362"/>
      <c r="K300" s="362">
        <f>'6ª'!$I29</f>
        <v>0</v>
      </c>
      <c r="L300" s="250" t="str">
        <f ca="1">'6ª'!$J29</f>
        <v/>
      </c>
      <c r="M300" s="362"/>
      <c r="N300" s="252" t="str">
        <f ca="1">'6ª'!$K29</f>
        <v/>
      </c>
      <c r="O300" s="362"/>
      <c r="P300" s="253" t="s">
        <v>110</v>
      </c>
      <c r="Q300" s="415" t="s">
        <v>250</v>
      </c>
      <c r="R300" s="383" t="str">
        <f>'6ª'!$L29</f>
        <v>Não</v>
      </c>
      <c r="S300" s="383" t="str">
        <f>'6ª'!$M29</f>
        <v>-</v>
      </c>
      <c r="T300" s="383" t="str">
        <f>'6ª'!$N29</f>
        <v>-</v>
      </c>
      <c r="U300" s="383" t="str">
        <f>'6ª'!$O29</f>
        <v>-</v>
      </c>
      <c r="V300" s="383" t="str">
        <f>'6ª'!$P29</f>
        <v>-</v>
      </c>
      <c r="W300" s="383" t="str">
        <f>'6ª'!$Q29</f>
        <v>-</v>
      </c>
      <c r="X300" s="383" t="str">
        <f>'6ª'!$R29</f>
        <v>-</v>
      </c>
      <c r="Y300" s="383" t="str">
        <f>'6ª'!$S29</f>
        <v>-</v>
      </c>
      <c r="Z300" s="384">
        <f>'6ª'!$T29</f>
        <v>0</v>
      </c>
      <c r="AA300" s="384">
        <f>'6ª'!$U29</f>
        <v>0</v>
      </c>
      <c r="AB300" s="385" t="s">
        <v>326</v>
      </c>
      <c r="AC300" s="385"/>
      <c r="AD300" s="435" t="s">
        <v>466</v>
      </c>
    </row>
    <row r="301" spans="1:30" ht="15.75" x14ac:dyDescent="0.25">
      <c r="A301" s="416" t="str">
        <f>RIGHT('[1]6ª'!$A$5:$D$5,12)</f>
        <v>6ª SÉRIE E.F</v>
      </c>
      <c r="B301" s="120">
        <v>25</v>
      </c>
      <c r="C301" s="248">
        <f>'6ª'!$B30</f>
        <v>0</v>
      </c>
      <c r="D301" s="362">
        <f>'6ª'!$C30</f>
        <v>0</v>
      </c>
      <c r="E301" s="249">
        <f>'6ª'!$D30</f>
        <v>0</v>
      </c>
      <c r="F301" s="249" t="str">
        <f>'6ª'!$E30</f>
        <v/>
      </c>
      <c r="G301" s="250">
        <f>'6ª'!$F30</f>
        <v>0</v>
      </c>
      <c r="H301" s="362">
        <f>'6ª'!$G30</f>
        <v>0</v>
      </c>
      <c r="I301" s="363">
        <f>'6ª'!$H30</f>
        <v>0</v>
      </c>
      <c r="J301" s="362"/>
      <c r="K301" s="362">
        <f>'6ª'!$I30</f>
        <v>0</v>
      </c>
      <c r="L301" s="250" t="str">
        <f ca="1">'6ª'!$J30</f>
        <v/>
      </c>
      <c r="M301" s="362"/>
      <c r="N301" s="252" t="str">
        <f ca="1">'6ª'!$K30</f>
        <v/>
      </c>
      <c r="O301" s="362"/>
      <c r="P301" s="253" t="s">
        <v>110</v>
      </c>
      <c r="Q301" s="415" t="s">
        <v>250</v>
      </c>
      <c r="R301" s="383" t="str">
        <f>'6ª'!$L30</f>
        <v>Não</v>
      </c>
      <c r="S301" s="383" t="str">
        <f>'6ª'!$M30</f>
        <v>-</v>
      </c>
      <c r="T301" s="383" t="str">
        <f>'6ª'!$N30</f>
        <v>-</v>
      </c>
      <c r="U301" s="383" t="str">
        <f>'6ª'!$O30</f>
        <v>-</v>
      </c>
      <c r="V301" s="383" t="str">
        <f>'6ª'!$P30</f>
        <v>-</v>
      </c>
      <c r="W301" s="383" t="str">
        <f>'6ª'!$Q30</f>
        <v>-</v>
      </c>
      <c r="X301" s="383" t="str">
        <f>'6ª'!$R30</f>
        <v>-</v>
      </c>
      <c r="Y301" s="383" t="str">
        <f>'6ª'!$S30</f>
        <v>-</v>
      </c>
      <c r="Z301" s="384">
        <f>'6ª'!$T30</f>
        <v>0</v>
      </c>
      <c r="AA301" s="384">
        <f>'6ª'!$U30</f>
        <v>0</v>
      </c>
      <c r="AB301" s="385" t="s">
        <v>326</v>
      </c>
      <c r="AC301" s="385"/>
      <c r="AD301" s="435" t="s">
        <v>466</v>
      </c>
    </row>
    <row r="302" spans="1:30" ht="15.75" x14ac:dyDescent="0.25">
      <c r="A302" s="416" t="str">
        <f>RIGHT('[1]6ª'!$A$5:$D$5,12)</f>
        <v>6ª SÉRIE E.F</v>
      </c>
      <c r="B302" s="120">
        <v>26</v>
      </c>
      <c r="C302" s="248">
        <f>'6ª'!$B31</f>
        <v>0</v>
      </c>
      <c r="D302" s="362">
        <f>'6ª'!$C31</f>
        <v>0</v>
      </c>
      <c r="E302" s="249">
        <f>'6ª'!$D31</f>
        <v>0</v>
      </c>
      <c r="F302" s="249" t="str">
        <f>'6ª'!$E31</f>
        <v/>
      </c>
      <c r="G302" s="250">
        <f>'6ª'!$F31</f>
        <v>0</v>
      </c>
      <c r="H302" s="362">
        <f>'6ª'!$G31</f>
        <v>0</v>
      </c>
      <c r="I302" s="363">
        <f>'6ª'!$H31</f>
        <v>0</v>
      </c>
      <c r="J302" s="362"/>
      <c r="K302" s="362">
        <f>'6ª'!$I31</f>
        <v>0</v>
      </c>
      <c r="L302" s="250" t="str">
        <f ca="1">'6ª'!$J31</f>
        <v/>
      </c>
      <c r="M302" s="362"/>
      <c r="N302" s="252" t="str">
        <f ca="1">'6ª'!$K31</f>
        <v/>
      </c>
      <c r="O302" s="362"/>
      <c r="P302" s="253" t="s">
        <v>110</v>
      </c>
      <c r="Q302" s="415" t="s">
        <v>250</v>
      </c>
      <c r="R302" s="383" t="str">
        <f>'6ª'!$L31</f>
        <v>Não</v>
      </c>
      <c r="S302" s="383" t="str">
        <f>'6ª'!$M31</f>
        <v>-</v>
      </c>
      <c r="T302" s="383" t="str">
        <f>'6ª'!$N31</f>
        <v>-</v>
      </c>
      <c r="U302" s="383" t="str">
        <f>'6ª'!$O31</f>
        <v>-</v>
      </c>
      <c r="V302" s="383" t="str">
        <f>'6ª'!$P31</f>
        <v>-</v>
      </c>
      <c r="W302" s="383" t="str">
        <f>'6ª'!$Q31</f>
        <v>-</v>
      </c>
      <c r="X302" s="383" t="str">
        <f>'6ª'!$R31</f>
        <v>-</v>
      </c>
      <c r="Y302" s="383" t="str">
        <f>'6ª'!$S31</f>
        <v>-</v>
      </c>
      <c r="Z302" s="384">
        <f>'6ª'!$T31</f>
        <v>0</v>
      </c>
      <c r="AA302" s="384">
        <f>'6ª'!$U31</f>
        <v>0</v>
      </c>
      <c r="AB302" s="385" t="s">
        <v>326</v>
      </c>
      <c r="AC302" s="385"/>
      <c r="AD302" s="435" t="s">
        <v>466</v>
      </c>
    </row>
    <row r="303" spans="1:30" ht="15.75" x14ac:dyDescent="0.25">
      <c r="A303" s="416" t="str">
        <f>RIGHT('[1]6ª'!$A$5:$D$5,12)</f>
        <v>6ª SÉRIE E.F</v>
      </c>
      <c r="B303" s="120">
        <v>27</v>
      </c>
      <c r="C303" s="248">
        <f>'6ª'!$B32</f>
        <v>0</v>
      </c>
      <c r="D303" s="362">
        <f>'6ª'!$C32</f>
        <v>0</v>
      </c>
      <c r="E303" s="249">
        <f>'6ª'!$D32</f>
        <v>0</v>
      </c>
      <c r="F303" s="249" t="str">
        <f>'6ª'!$E32</f>
        <v/>
      </c>
      <c r="G303" s="250">
        <f>'6ª'!$F32</f>
        <v>0</v>
      </c>
      <c r="H303" s="362">
        <f>'6ª'!$G32</f>
        <v>0</v>
      </c>
      <c r="I303" s="363">
        <f>'6ª'!$H32</f>
        <v>0</v>
      </c>
      <c r="J303" s="362"/>
      <c r="K303" s="362">
        <f>'6ª'!$I32</f>
        <v>0</v>
      </c>
      <c r="L303" s="250" t="str">
        <f ca="1">'6ª'!$J32</f>
        <v/>
      </c>
      <c r="M303" s="362"/>
      <c r="N303" s="252" t="str">
        <f ca="1">'6ª'!$K32</f>
        <v/>
      </c>
      <c r="O303" s="362"/>
      <c r="P303" s="253" t="s">
        <v>110</v>
      </c>
      <c r="Q303" s="415" t="s">
        <v>250</v>
      </c>
      <c r="R303" s="383" t="str">
        <f>'6ª'!$L32</f>
        <v>Não</v>
      </c>
      <c r="S303" s="383" t="str">
        <f>'6ª'!$M32</f>
        <v>-</v>
      </c>
      <c r="T303" s="383" t="str">
        <f>'6ª'!$N32</f>
        <v>-</v>
      </c>
      <c r="U303" s="383" t="str">
        <f>'6ª'!$O32</f>
        <v>-</v>
      </c>
      <c r="V303" s="383" t="str">
        <f>'6ª'!$P32</f>
        <v>-</v>
      </c>
      <c r="W303" s="383" t="str">
        <f>'6ª'!$Q32</f>
        <v>-</v>
      </c>
      <c r="X303" s="383" t="str">
        <f>'6ª'!$R32</f>
        <v>-</v>
      </c>
      <c r="Y303" s="383" t="str">
        <f>'6ª'!$S32</f>
        <v>-</v>
      </c>
      <c r="Z303" s="384">
        <f>'6ª'!$T32</f>
        <v>0</v>
      </c>
      <c r="AA303" s="384">
        <f>'6ª'!$U32</f>
        <v>0</v>
      </c>
      <c r="AB303" s="385" t="s">
        <v>326</v>
      </c>
      <c r="AC303" s="385"/>
      <c r="AD303" s="435" t="s">
        <v>466</v>
      </c>
    </row>
    <row r="304" spans="1:30" ht="15.75" x14ac:dyDescent="0.25">
      <c r="A304" s="416" t="str">
        <f>RIGHT('[1]6ª'!$A$5:$D$5,12)</f>
        <v>6ª SÉRIE E.F</v>
      </c>
      <c r="B304" s="120">
        <v>28</v>
      </c>
      <c r="C304" s="248">
        <f>'6ª'!$B33</f>
        <v>0</v>
      </c>
      <c r="D304" s="362">
        <f>'6ª'!$C33</f>
        <v>0</v>
      </c>
      <c r="E304" s="249">
        <f>'6ª'!$D33</f>
        <v>0</v>
      </c>
      <c r="F304" s="249" t="str">
        <f>'6ª'!$E33</f>
        <v/>
      </c>
      <c r="G304" s="250">
        <f>'6ª'!$F33</f>
        <v>0</v>
      </c>
      <c r="H304" s="362">
        <f>'6ª'!$G33</f>
        <v>0</v>
      </c>
      <c r="I304" s="363">
        <f>'6ª'!$H33</f>
        <v>0</v>
      </c>
      <c r="J304" s="362"/>
      <c r="K304" s="362">
        <f>'6ª'!$I33</f>
        <v>0</v>
      </c>
      <c r="L304" s="250" t="str">
        <f ca="1">'6ª'!$J33</f>
        <v/>
      </c>
      <c r="M304" s="362"/>
      <c r="N304" s="252" t="str">
        <f ca="1">'6ª'!$K33</f>
        <v/>
      </c>
      <c r="O304" s="362"/>
      <c r="P304" s="253" t="s">
        <v>110</v>
      </c>
      <c r="Q304" s="415" t="s">
        <v>250</v>
      </c>
      <c r="R304" s="383" t="str">
        <f>'6ª'!$L33</f>
        <v>Não</v>
      </c>
      <c r="S304" s="383" t="str">
        <f>'6ª'!$M33</f>
        <v>-</v>
      </c>
      <c r="T304" s="383" t="str">
        <f>'6ª'!$N33</f>
        <v>-</v>
      </c>
      <c r="U304" s="383" t="str">
        <f>'6ª'!$O33</f>
        <v>-</v>
      </c>
      <c r="V304" s="383" t="str">
        <f>'6ª'!$P33</f>
        <v>-</v>
      </c>
      <c r="W304" s="383" t="str">
        <f>'6ª'!$Q33</f>
        <v>-</v>
      </c>
      <c r="X304" s="383" t="str">
        <f>'6ª'!$R33</f>
        <v>-</v>
      </c>
      <c r="Y304" s="383" t="str">
        <f>'6ª'!$S33</f>
        <v>-</v>
      </c>
      <c r="Z304" s="384">
        <f>'6ª'!$T33</f>
        <v>0</v>
      </c>
      <c r="AA304" s="384">
        <f>'6ª'!$U33</f>
        <v>0</v>
      </c>
      <c r="AB304" s="385" t="s">
        <v>326</v>
      </c>
      <c r="AC304" s="385"/>
      <c r="AD304" s="435" t="s">
        <v>466</v>
      </c>
    </row>
    <row r="305" spans="1:30" ht="15.75" x14ac:dyDescent="0.25">
      <c r="A305" s="416" t="str">
        <f>RIGHT('[1]6ª'!$A$5:$D$5,12)</f>
        <v>6ª SÉRIE E.F</v>
      </c>
      <c r="B305" s="120">
        <v>29</v>
      </c>
      <c r="C305" s="248">
        <f>'6ª'!$B34</f>
        <v>0</v>
      </c>
      <c r="D305" s="362">
        <f>'6ª'!$C34</f>
        <v>0</v>
      </c>
      <c r="E305" s="249">
        <f>'6ª'!$D34</f>
        <v>0</v>
      </c>
      <c r="F305" s="249" t="str">
        <f>'6ª'!$E34</f>
        <v/>
      </c>
      <c r="G305" s="250">
        <f>'6ª'!$F34</f>
        <v>0</v>
      </c>
      <c r="H305" s="362">
        <f>'6ª'!$G34</f>
        <v>0</v>
      </c>
      <c r="I305" s="363">
        <f>'6ª'!$H34</f>
        <v>0</v>
      </c>
      <c r="J305" s="362"/>
      <c r="K305" s="362">
        <f>'6ª'!$I34</f>
        <v>0</v>
      </c>
      <c r="L305" s="250" t="str">
        <f ca="1">'6ª'!$J34</f>
        <v/>
      </c>
      <c r="M305" s="362"/>
      <c r="N305" s="252" t="str">
        <f ca="1">'6ª'!$K34</f>
        <v/>
      </c>
      <c r="O305" s="362"/>
      <c r="P305" s="253" t="s">
        <v>110</v>
      </c>
      <c r="Q305" s="415" t="s">
        <v>250</v>
      </c>
      <c r="R305" s="383" t="str">
        <f>'6ª'!$L34</f>
        <v>Não</v>
      </c>
      <c r="S305" s="383" t="str">
        <f>'6ª'!$M34</f>
        <v>-</v>
      </c>
      <c r="T305" s="383" t="str">
        <f>'6ª'!$N34</f>
        <v>-</v>
      </c>
      <c r="U305" s="383" t="str">
        <f>'6ª'!$O34</f>
        <v>-</v>
      </c>
      <c r="V305" s="383" t="str">
        <f>'6ª'!$P34</f>
        <v>-</v>
      </c>
      <c r="W305" s="383" t="str">
        <f>'6ª'!$Q34</f>
        <v>-</v>
      </c>
      <c r="X305" s="383" t="str">
        <f>'6ª'!$R34</f>
        <v>-</v>
      </c>
      <c r="Y305" s="383" t="str">
        <f>'6ª'!$S34</f>
        <v>-</v>
      </c>
      <c r="Z305" s="384">
        <f>'6ª'!$T34</f>
        <v>0</v>
      </c>
      <c r="AA305" s="384">
        <f>'6ª'!$U34</f>
        <v>0</v>
      </c>
      <c r="AB305" s="385" t="s">
        <v>326</v>
      </c>
      <c r="AC305" s="385"/>
      <c r="AD305" s="435" t="s">
        <v>466</v>
      </c>
    </row>
    <row r="306" spans="1:30" ht="15.75" x14ac:dyDescent="0.25">
      <c r="A306" s="416" t="str">
        <f>RIGHT('[1]6ª'!$A$5:$D$5,12)</f>
        <v>6ª SÉRIE E.F</v>
      </c>
      <c r="B306" s="120">
        <v>30</v>
      </c>
      <c r="C306" s="248">
        <f>'6ª'!$B35</f>
        <v>0</v>
      </c>
      <c r="D306" s="362">
        <f>'6ª'!$C35</f>
        <v>0</v>
      </c>
      <c r="E306" s="249">
        <f>'6ª'!$D35</f>
        <v>0</v>
      </c>
      <c r="F306" s="249" t="str">
        <f>'6ª'!$E35</f>
        <v/>
      </c>
      <c r="G306" s="250">
        <f>'6ª'!$F35</f>
        <v>0</v>
      </c>
      <c r="H306" s="362">
        <f>'6ª'!$G35</f>
        <v>0</v>
      </c>
      <c r="I306" s="363">
        <f>'6ª'!$H35</f>
        <v>0</v>
      </c>
      <c r="J306" s="362"/>
      <c r="K306" s="362">
        <f>'6ª'!$I35</f>
        <v>0</v>
      </c>
      <c r="L306" s="250" t="str">
        <f ca="1">'6ª'!$J35</f>
        <v/>
      </c>
      <c r="M306" s="362"/>
      <c r="N306" s="252" t="str">
        <f ca="1">'6ª'!$K35</f>
        <v/>
      </c>
      <c r="O306" s="362"/>
      <c r="P306" s="253" t="s">
        <v>110</v>
      </c>
      <c r="Q306" s="415" t="s">
        <v>250</v>
      </c>
      <c r="R306" s="383" t="str">
        <f>'6ª'!$L35</f>
        <v>Não</v>
      </c>
      <c r="S306" s="383" t="str">
        <f>'6ª'!$M35</f>
        <v>-</v>
      </c>
      <c r="T306" s="383" t="str">
        <f>'6ª'!$N35</f>
        <v>-</v>
      </c>
      <c r="U306" s="383" t="str">
        <f>'6ª'!$O35</f>
        <v>-</v>
      </c>
      <c r="V306" s="383" t="str">
        <f>'6ª'!$P35</f>
        <v>-</v>
      </c>
      <c r="W306" s="383" t="str">
        <f>'6ª'!$Q35</f>
        <v>-</v>
      </c>
      <c r="X306" s="383" t="str">
        <f>'6ª'!$R35</f>
        <v>-</v>
      </c>
      <c r="Y306" s="383" t="str">
        <f>'6ª'!$S35</f>
        <v>-</v>
      </c>
      <c r="Z306" s="384">
        <f>'6ª'!$T35</f>
        <v>0</v>
      </c>
      <c r="AA306" s="384">
        <f>'6ª'!$U35</f>
        <v>0</v>
      </c>
      <c r="AB306" s="385" t="s">
        <v>326</v>
      </c>
      <c r="AC306" s="385"/>
      <c r="AD306" s="435" t="s">
        <v>466</v>
      </c>
    </row>
    <row r="307" spans="1:30" ht="15.75" x14ac:dyDescent="0.25">
      <c r="A307" s="416" t="str">
        <f>RIGHT('[1]6ª'!$A$5:$D$5,12)</f>
        <v>6ª SÉRIE E.F</v>
      </c>
      <c r="B307" s="120">
        <v>31</v>
      </c>
      <c r="C307" s="248">
        <f>'6ª'!$B36</f>
        <v>0</v>
      </c>
      <c r="D307" s="362">
        <f>'6ª'!$C36</f>
        <v>0</v>
      </c>
      <c r="E307" s="249">
        <f>'6ª'!$D36</f>
        <v>0</v>
      </c>
      <c r="F307" s="249">
        <f>'6ª'!$E36</f>
        <v>0</v>
      </c>
      <c r="G307" s="250">
        <f>'6ª'!$F36</f>
        <v>0</v>
      </c>
      <c r="H307" s="362">
        <f>'6ª'!$G36</f>
        <v>0</v>
      </c>
      <c r="I307" s="363">
        <f>'6ª'!$H36</f>
        <v>0</v>
      </c>
      <c r="J307" s="362"/>
      <c r="K307" s="362">
        <f>'6ª'!$I36</f>
        <v>0</v>
      </c>
      <c r="L307" s="250">
        <f>'6ª'!$J36</f>
        <v>0</v>
      </c>
      <c r="M307" s="362"/>
      <c r="N307" s="252">
        <f>'6ª'!$K36</f>
        <v>0</v>
      </c>
      <c r="O307" s="362"/>
      <c r="P307" s="253" t="s">
        <v>110</v>
      </c>
      <c r="Q307" s="415" t="s">
        <v>250</v>
      </c>
      <c r="R307" s="383">
        <f>'6ª'!$L36</f>
        <v>0</v>
      </c>
      <c r="S307" s="383">
        <f>'6ª'!$M36</f>
        <v>0</v>
      </c>
      <c r="T307" s="383">
        <f>'6ª'!$N36</f>
        <v>0</v>
      </c>
      <c r="U307" s="383">
        <f>'6ª'!$O36</f>
        <v>0</v>
      </c>
      <c r="V307" s="383">
        <f>'6ª'!$P36</f>
        <v>0</v>
      </c>
      <c r="W307" s="383">
        <f>'6ª'!$Q36</f>
        <v>0</v>
      </c>
      <c r="X307" s="383">
        <f>'6ª'!$R36</f>
        <v>0</v>
      </c>
      <c r="Y307" s="383">
        <f>'6ª'!$S36</f>
        <v>0</v>
      </c>
      <c r="Z307" s="384">
        <f>'6ª'!$T36</f>
        <v>0</v>
      </c>
      <c r="AA307" s="384">
        <f>'6ª'!$U36</f>
        <v>0</v>
      </c>
      <c r="AB307" s="385" t="s">
        <v>326</v>
      </c>
      <c r="AC307" s="385"/>
      <c r="AD307" s="435" t="s">
        <v>466</v>
      </c>
    </row>
    <row r="308" spans="1:30" ht="15.75" x14ac:dyDescent="0.25">
      <c r="A308" s="416" t="str">
        <f>RIGHT('[1]6ª'!$A$5:$D$5,12)</f>
        <v>6ª SÉRIE E.F</v>
      </c>
      <c r="B308" s="120">
        <v>32</v>
      </c>
      <c r="C308" s="248">
        <f>'6ª'!$B37</f>
        <v>0</v>
      </c>
      <c r="D308" s="362">
        <f>'6ª'!$C37</f>
        <v>0</v>
      </c>
      <c r="E308" s="249">
        <f>'6ª'!$D37</f>
        <v>0</v>
      </c>
      <c r="F308" s="249">
        <f>'6ª'!$E37</f>
        <v>0</v>
      </c>
      <c r="G308" s="250">
        <f>'6ª'!$F37</f>
        <v>0</v>
      </c>
      <c r="H308" s="362">
        <f>'6ª'!$G37</f>
        <v>0</v>
      </c>
      <c r="I308" s="363">
        <f>'6ª'!$H37</f>
        <v>0</v>
      </c>
      <c r="J308" s="362"/>
      <c r="K308" s="362">
        <f>'6ª'!$I37</f>
        <v>0</v>
      </c>
      <c r="L308" s="250">
        <f>'6ª'!$J37</f>
        <v>0</v>
      </c>
      <c r="M308" s="362"/>
      <c r="N308" s="252">
        <f>'6ª'!$K37</f>
        <v>0</v>
      </c>
      <c r="O308" s="362"/>
      <c r="P308" s="253" t="s">
        <v>110</v>
      </c>
      <c r="Q308" s="415" t="s">
        <v>250</v>
      </c>
      <c r="R308" s="383">
        <f>'6ª'!$L37</f>
        <v>0</v>
      </c>
      <c r="S308" s="383">
        <f>'6ª'!$M37</f>
        <v>0</v>
      </c>
      <c r="T308" s="383">
        <f>'6ª'!$N37</f>
        <v>0</v>
      </c>
      <c r="U308" s="383">
        <f>'6ª'!$O37</f>
        <v>0</v>
      </c>
      <c r="V308" s="383">
        <f>'6ª'!$P37</f>
        <v>0</v>
      </c>
      <c r="W308" s="383">
        <f>'6ª'!$Q37</f>
        <v>0</v>
      </c>
      <c r="X308" s="383">
        <f>'6ª'!$R37</f>
        <v>0</v>
      </c>
      <c r="Y308" s="383">
        <f>'6ª'!$S37</f>
        <v>0</v>
      </c>
      <c r="Z308" s="384">
        <f>'6ª'!$T37</f>
        <v>0</v>
      </c>
      <c r="AA308" s="384">
        <f>'6ª'!$U37</f>
        <v>0</v>
      </c>
      <c r="AB308" s="385" t="s">
        <v>326</v>
      </c>
      <c r="AC308" s="385"/>
      <c r="AD308" s="435" t="s">
        <v>466</v>
      </c>
    </row>
    <row r="309" spans="1:30" ht="15.75" x14ac:dyDescent="0.25">
      <c r="A309" s="416" t="str">
        <f>RIGHT('[1]6ª'!$A$5:$D$5,12)</f>
        <v>6ª SÉRIE E.F</v>
      </c>
      <c r="B309" s="120">
        <v>33</v>
      </c>
      <c r="C309" s="248">
        <f>'6ª'!$B38</f>
        <v>0</v>
      </c>
      <c r="D309" s="362">
        <f>'6ª'!$C38</f>
        <v>0</v>
      </c>
      <c r="E309" s="249">
        <f>'6ª'!$D38</f>
        <v>0</v>
      </c>
      <c r="F309" s="249">
        <f>'6ª'!$E38</f>
        <v>0</v>
      </c>
      <c r="G309" s="250">
        <f>'6ª'!$F38</f>
        <v>0</v>
      </c>
      <c r="H309" s="362">
        <f>'6ª'!$G38</f>
        <v>0</v>
      </c>
      <c r="I309" s="363">
        <f>'6ª'!$H38</f>
        <v>0</v>
      </c>
      <c r="J309" s="362"/>
      <c r="K309" s="362">
        <f>'6ª'!$I38</f>
        <v>0</v>
      </c>
      <c r="L309" s="250">
        <f>'6ª'!$J38</f>
        <v>0</v>
      </c>
      <c r="M309" s="362"/>
      <c r="N309" s="252">
        <f>'6ª'!$K38</f>
        <v>0</v>
      </c>
      <c r="O309" s="362"/>
      <c r="P309" s="253" t="s">
        <v>110</v>
      </c>
      <c r="Q309" s="415" t="s">
        <v>250</v>
      </c>
      <c r="R309" s="383">
        <f>'6ª'!$L38</f>
        <v>0</v>
      </c>
      <c r="S309" s="383">
        <f>'6ª'!$M38</f>
        <v>0</v>
      </c>
      <c r="T309" s="383">
        <f>'6ª'!$N38</f>
        <v>0</v>
      </c>
      <c r="U309" s="383">
        <f>'6ª'!$O38</f>
        <v>0</v>
      </c>
      <c r="V309" s="383">
        <f>'6ª'!$P38</f>
        <v>0</v>
      </c>
      <c r="W309" s="383">
        <f>'6ª'!$Q38</f>
        <v>0</v>
      </c>
      <c r="X309" s="383">
        <f>'6ª'!$R38</f>
        <v>0</v>
      </c>
      <c r="Y309" s="383">
        <f>'6ª'!$S38</f>
        <v>0</v>
      </c>
      <c r="Z309" s="384">
        <f>'6ª'!$T38</f>
        <v>0</v>
      </c>
      <c r="AA309" s="384">
        <f>'6ª'!$U38</f>
        <v>0</v>
      </c>
      <c r="AB309" s="385" t="s">
        <v>326</v>
      </c>
      <c r="AC309" s="385"/>
      <c r="AD309" s="435" t="s">
        <v>466</v>
      </c>
    </row>
    <row r="310" spans="1:30" ht="15.75" x14ac:dyDescent="0.25">
      <c r="A310" s="416" t="str">
        <f>RIGHT('[1]6ª'!$A$5:$D$5,12)</f>
        <v>6ª SÉRIE E.F</v>
      </c>
      <c r="B310" s="120">
        <v>34</v>
      </c>
      <c r="C310" s="248">
        <f>'6ª'!$B39</f>
        <v>0</v>
      </c>
      <c r="D310" s="362">
        <f>'6ª'!$C39</f>
        <v>0</v>
      </c>
      <c r="E310" s="249">
        <f>'6ª'!$D39</f>
        <v>0</v>
      </c>
      <c r="F310" s="249">
        <f>'6ª'!$E39</f>
        <v>0</v>
      </c>
      <c r="G310" s="250">
        <f>'6ª'!$F39</f>
        <v>0</v>
      </c>
      <c r="H310" s="362">
        <f>'6ª'!$G39</f>
        <v>0</v>
      </c>
      <c r="I310" s="363">
        <f>'6ª'!$H39</f>
        <v>0</v>
      </c>
      <c r="J310" s="362"/>
      <c r="K310" s="362">
        <f>'6ª'!$I39</f>
        <v>0</v>
      </c>
      <c r="L310" s="250">
        <f>'6ª'!$J39</f>
        <v>0</v>
      </c>
      <c r="M310" s="362"/>
      <c r="N310" s="252">
        <f>'6ª'!$K39</f>
        <v>0</v>
      </c>
      <c r="O310" s="362"/>
      <c r="P310" s="253" t="s">
        <v>110</v>
      </c>
      <c r="Q310" s="415" t="s">
        <v>250</v>
      </c>
      <c r="R310" s="383">
        <f>'6ª'!$L39</f>
        <v>0</v>
      </c>
      <c r="S310" s="383">
        <f>'6ª'!$M39</f>
        <v>0</v>
      </c>
      <c r="T310" s="383">
        <f>'6ª'!$N39</f>
        <v>0</v>
      </c>
      <c r="U310" s="383">
        <f>'6ª'!$O39</f>
        <v>0</v>
      </c>
      <c r="V310" s="383">
        <f>'6ª'!$P39</f>
        <v>0</v>
      </c>
      <c r="W310" s="383">
        <f>'6ª'!$Q39</f>
        <v>0</v>
      </c>
      <c r="X310" s="383">
        <f>'6ª'!$R39</f>
        <v>0</v>
      </c>
      <c r="Y310" s="383">
        <f>'6ª'!$S39</f>
        <v>0</v>
      </c>
      <c r="Z310" s="384">
        <f>'6ª'!$T39</f>
        <v>0</v>
      </c>
      <c r="AA310" s="384">
        <f>'6ª'!$U39</f>
        <v>0</v>
      </c>
      <c r="AB310" s="385" t="s">
        <v>326</v>
      </c>
      <c r="AC310" s="385"/>
      <c r="AD310" s="435" t="s">
        <v>466</v>
      </c>
    </row>
    <row r="311" spans="1:30" ht="15.75" x14ac:dyDescent="0.25">
      <c r="A311" s="416" t="str">
        <f>RIGHT('[1]6ª'!$A$5:$D$5,12)</f>
        <v>6ª SÉRIE E.F</v>
      </c>
      <c r="B311" s="120">
        <v>35</v>
      </c>
      <c r="C311" s="248">
        <f>'6ª'!$B40</f>
        <v>0</v>
      </c>
      <c r="D311" s="362">
        <f>'6ª'!$C40</f>
        <v>0</v>
      </c>
      <c r="E311" s="249">
        <f>'6ª'!$D40</f>
        <v>0</v>
      </c>
      <c r="F311" s="249">
        <f>'6ª'!$E40</f>
        <v>0</v>
      </c>
      <c r="G311" s="250">
        <f>'6ª'!$F40</f>
        <v>0</v>
      </c>
      <c r="H311" s="362">
        <f>'6ª'!$G40</f>
        <v>0</v>
      </c>
      <c r="I311" s="363">
        <f>'6ª'!$H40</f>
        <v>0</v>
      </c>
      <c r="J311" s="362"/>
      <c r="K311" s="362">
        <f>'6ª'!$I40</f>
        <v>0</v>
      </c>
      <c r="L311" s="250">
        <f>'6ª'!$J40</f>
        <v>0</v>
      </c>
      <c r="M311" s="362"/>
      <c r="N311" s="252">
        <f>'6ª'!$K40</f>
        <v>0</v>
      </c>
      <c r="O311" s="362"/>
      <c r="P311" s="253" t="s">
        <v>110</v>
      </c>
      <c r="Q311" s="415" t="s">
        <v>250</v>
      </c>
      <c r="R311" s="383">
        <f>'6ª'!$L40</f>
        <v>0</v>
      </c>
      <c r="S311" s="383">
        <f>'6ª'!$M40</f>
        <v>0</v>
      </c>
      <c r="T311" s="383">
        <f>'6ª'!$N40</f>
        <v>0</v>
      </c>
      <c r="U311" s="383">
        <f>'6ª'!$O40</f>
        <v>0</v>
      </c>
      <c r="V311" s="383">
        <f>'6ª'!$P40</f>
        <v>0</v>
      </c>
      <c r="W311" s="383">
        <f>'6ª'!$Q40</f>
        <v>0</v>
      </c>
      <c r="X311" s="383">
        <f>'6ª'!$R40</f>
        <v>0</v>
      </c>
      <c r="Y311" s="383">
        <f>'6ª'!$S40</f>
        <v>0</v>
      </c>
      <c r="Z311" s="384">
        <f>'6ª'!$T40</f>
        <v>0</v>
      </c>
      <c r="AA311" s="384">
        <f>'6ª'!$U40</f>
        <v>0</v>
      </c>
      <c r="AB311" s="385" t="s">
        <v>326</v>
      </c>
      <c r="AC311" s="385"/>
      <c r="AD311" s="435" t="s">
        <v>466</v>
      </c>
    </row>
    <row r="312" spans="1:30" ht="15.75" x14ac:dyDescent="0.25">
      <c r="A312" s="416" t="str">
        <f>RIGHT('[1]6ª'!$A$5:$D$5,12)</f>
        <v>6ª SÉRIE E.F</v>
      </c>
      <c r="B312" s="120">
        <v>36</v>
      </c>
      <c r="C312" s="248">
        <f>'6ª'!$B41</f>
        <v>0</v>
      </c>
      <c r="D312" s="362">
        <f>'6ª'!$C41</f>
        <v>0</v>
      </c>
      <c r="E312" s="249">
        <f>'6ª'!$D41</f>
        <v>0</v>
      </c>
      <c r="F312" s="249">
        <f>'6ª'!$E41</f>
        <v>0</v>
      </c>
      <c r="G312" s="250">
        <f>'6ª'!$F41</f>
        <v>0</v>
      </c>
      <c r="H312" s="362">
        <f>'6ª'!$G41</f>
        <v>0</v>
      </c>
      <c r="I312" s="363">
        <f>'6ª'!$H41</f>
        <v>0</v>
      </c>
      <c r="J312" s="362"/>
      <c r="K312" s="362">
        <f>'6ª'!$I41</f>
        <v>0</v>
      </c>
      <c r="L312" s="250">
        <f>'6ª'!$J41</f>
        <v>0</v>
      </c>
      <c r="M312" s="362"/>
      <c r="N312" s="252">
        <f>'6ª'!$K41</f>
        <v>0</v>
      </c>
      <c r="O312" s="362"/>
      <c r="P312" s="253" t="s">
        <v>110</v>
      </c>
      <c r="Q312" s="415" t="s">
        <v>250</v>
      </c>
      <c r="R312" s="383">
        <f>'6ª'!$L41</f>
        <v>0</v>
      </c>
      <c r="S312" s="383">
        <f>'6ª'!$M41</f>
        <v>0</v>
      </c>
      <c r="T312" s="383">
        <f>'6ª'!$N41</f>
        <v>0</v>
      </c>
      <c r="U312" s="383">
        <f>'6ª'!$O41</f>
        <v>0</v>
      </c>
      <c r="V312" s="383">
        <f>'6ª'!$P41</f>
        <v>0</v>
      </c>
      <c r="W312" s="383">
        <f>'6ª'!$Q41</f>
        <v>0</v>
      </c>
      <c r="X312" s="383">
        <f>'6ª'!$R41</f>
        <v>0</v>
      </c>
      <c r="Y312" s="383">
        <f>'6ª'!$S41</f>
        <v>0</v>
      </c>
      <c r="Z312" s="384">
        <f>'6ª'!$T41</f>
        <v>0</v>
      </c>
      <c r="AA312" s="384">
        <f>'6ª'!$U41</f>
        <v>0</v>
      </c>
      <c r="AB312" s="385" t="s">
        <v>326</v>
      </c>
      <c r="AC312" s="385"/>
      <c r="AD312" s="435" t="s">
        <v>466</v>
      </c>
    </row>
    <row r="313" spans="1:30" ht="15.75" x14ac:dyDescent="0.25">
      <c r="A313" s="416" t="str">
        <f>RIGHT('[1]6ª'!$A$5:$D$5,12)</f>
        <v>6ª SÉRIE E.F</v>
      </c>
      <c r="B313" s="120">
        <v>37</v>
      </c>
      <c r="C313" s="248">
        <f>'6ª'!$B42</f>
        <v>0</v>
      </c>
      <c r="D313" s="362">
        <f>'6ª'!$C42</f>
        <v>0</v>
      </c>
      <c r="E313" s="249">
        <f>'6ª'!$D42</f>
        <v>0</v>
      </c>
      <c r="F313" s="249">
        <f>'6ª'!$E42</f>
        <v>0</v>
      </c>
      <c r="G313" s="250">
        <f>'6ª'!$F42</f>
        <v>0</v>
      </c>
      <c r="H313" s="362">
        <f>'6ª'!$G42</f>
        <v>0</v>
      </c>
      <c r="I313" s="363">
        <f>'6ª'!$H42</f>
        <v>0</v>
      </c>
      <c r="J313" s="362"/>
      <c r="K313" s="362">
        <f>'6ª'!$I42</f>
        <v>0</v>
      </c>
      <c r="L313" s="250">
        <f>'6ª'!$J42</f>
        <v>0</v>
      </c>
      <c r="M313" s="362"/>
      <c r="N313" s="252">
        <f>'6ª'!$K42</f>
        <v>0</v>
      </c>
      <c r="O313" s="362"/>
      <c r="P313" s="253" t="s">
        <v>110</v>
      </c>
      <c r="Q313" s="415" t="s">
        <v>250</v>
      </c>
      <c r="R313" s="383">
        <f>'6ª'!$L42</f>
        <v>0</v>
      </c>
      <c r="S313" s="383">
        <f>'6ª'!$M42</f>
        <v>0</v>
      </c>
      <c r="T313" s="383">
        <f>'6ª'!$N42</f>
        <v>0</v>
      </c>
      <c r="U313" s="383">
        <f>'6ª'!$O42</f>
        <v>0</v>
      </c>
      <c r="V313" s="383">
        <f>'6ª'!$P42</f>
        <v>0</v>
      </c>
      <c r="W313" s="383">
        <f>'6ª'!$Q42</f>
        <v>0</v>
      </c>
      <c r="X313" s="383">
        <f>'6ª'!$R42</f>
        <v>0</v>
      </c>
      <c r="Y313" s="383">
        <f>'6ª'!$S42</f>
        <v>0</v>
      </c>
      <c r="Z313" s="384">
        <f>'6ª'!$T42</f>
        <v>0</v>
      </c>
      <c r="AA313" s="384">
        <f>'6ª'!$U42</f>
        <v>0</v>
      </c>
      <c r="AB313" s="385" t="s">
        <v>326</v>
      </c>
      <c r="AC313" s="385"/>
      <c r="AD313" s="435" t="s">
        <v>466</v>
      </c>
    </row>
    <row r="314" spans="1:30" ht="15.75" x14ac:dyDescent="0.25">
      <c r="A314" s="416" t="str">
        <f>RIGHT('[1]6ª'!$A$5:$D$5,12)</f>
        <v>6ª SÉRIE E.F</v>
      </c>
      <c r="B314" s="120">
        <v>38</v>
      </c>
      <c r="C314" s="248">
        <f>'6ª'!$B43</f>
        <v>0</v>
      </c>
      <c r="D314" s="362">
        <f>'6ª'!$C43</f>
        <v>0</v>
      </c>
      <c r="E314" s="249">
        <f>'6ª'!$D43</f>
        <v>0</v>
      </c>
      <c r="F314" s="249">
        <f>'6ª'!$E43</f>
        <v>0</v>
      </c>
      <c r="G314" s="250">
        <f>'6ª'!$F43</f>
        <v>0</v>
      </c>
      <c r="H314" s="362">
        <f>'6ª'!$G43</f>
        <v>0</v>
      </c>
      <c r="I314" s="363">
        <f>'6ª'!$H43</f>
        <v>0</v>
      </c>
      <c r="J314" s="362"/>
      <c r="K314" s="362">
        <f>'6ª'!$I43</f>
        <v>0</v>
      </c>
      <c r="L314" s="250">
        <f>'6ª'!$J43</f>
        <v>0</v>
      </c>
      <c r="M314" s="362"/>
      <c r="N314" s="252">
        <f>'6ª'!$K43</f>
        <v>0</v>
      </c>
      <c r="O314" s="362"/>
      <c r="P314" s="253" t="s">
        <v>110</v>
      </c>
      <c r="Q314" s="415" t="s">
        <v>250</v>
      </c>
      <c r="R314" s="383">
        <f>'6ª'!$L43</f>
        <v>0</v>
      </c>
      <c r="S314" s="383">
        <f>'6ª'!$M43</f>
        <v>0</v>
      </c>
      <c r="T314" s="383">
        <f>'6ª'!$N43</f>
        <v>0</v>
      </c>
      <c r="U314" s="383">
        <f>'6ª'!$O43</f>
        <v>0</v>
      </c>
      <c r="V314" s="383">
        <f>'6ª'!$P43</f>
        <v>0</v>
      </c>
      <c r="W314" s="383">
        <f>'6ª'!$Q43</f>
        <v>0</v>
      </c>
      <c r="X314" s="383">
        <f>'6ª'!$R43</f>
        <v>0</v>
      </c>
      <c r="Y314" s="383">
        <f>'6ª'!$S43</f>
        <v>0</v>
      </c>
      <c r="Z314" s="384">
        <f>'6ª'!$T43</f>
        <v>0</v>
      </c>
      <c r="AA314" s="384">
        <f>'6ª'!$U43</f>
        <v>0</v>
      </c>
      <c r="AB314" s="385" t="s">
        <v>326</v>
      </c>
      <c r="AC314" s="385"/>
      <c r="AD314" s="435" t="s">
        <v>466</v>
      </c>
    </row>
    <row r="315" spans="1:30" ht="15.75" x14ac:dyDescent="0.25">
      <c r="A315" s="416" t="str">
        <f>RIGHT('[1]6ª'!$A$5:$D$5,12)</f>
        <v>6ª SÉRIE E.F</v>
      </c>
      <c r="B315" s="120">
        <v>39</v>
      </c>
      <c r="C315" s="248">
        <f>'6ª'!$B44</f>
        <v>0</v>
      </c>
      <c r="D315" s="362">
        <f>'6ª'!$C44</f>
        <v>0</v>
      </c>
      <c r="E315" s="249">
        <f>'6ª'!$D44</f>
        <v>0</v>
      </c>
      <c r="F315" s="249">
        <f>'6ª'!$E44</f>
        <v>0</v>
      </c>
      <c r="G315" s="250">
        <f>'6ª'!$F44</f>
        <v>0</v>
      </c>
      <c r="H315" s="362">
        <f>'6ª'!$G44</f>
        <v>0</v>
      </c>
      <c r="I315" s="363">
        <f>'6ª'!$H44</f>
        <v>0</v>
      </c>
      <c r="J315" s="362"/>
      <c r="K315" s="362">
        <f>'6ª'!$I44</f>
        <v>0</v>
      </c>
      <c r="L315" s="250">
        <f>'6ª'!$J44</f>
        <v>0</v>
      </c>
      <c r="M315" s="362"/>
      <c r="N315" s="252">
        <f>'6ª'!$K44</f>
        <v>0</v>
      </c>
      <c r="O315" s="362"/>
      <c r="P315" s="253" t="s">
        <v>110</v>
      </c>
      <c r="Q315" s="415" t="s">
        <v>250</v>
      </c>
      <c r="R315" s="383">
        <f>'6ª'!$L44</f>
        <v>0</v>
      </c>
      <c r="S315" s="383">
        <f>'6ª'!$M44</f>
        <v>0</v>
      </c>
      <c r="T315" s="383">
        <f>'6ª'!$N44</f>
        <v>0</v>
      </c>
      <c r="U315" s="383">
        <f>'6ª'!$O44</f>
        <v>0</v>
      </c>
      <c r="V315" s="383">
        <f>'6ª'!$P44</f>
        <v>0</v>
      </c>
      <c r="W315" s="383">
        <f>'6ª'!$Q44</f>
        <v>0</v>
      </c>
      <c r="X315" s="383">
        <f>'6ª'!$R44</f>
        <v>0</v>
      </c>
      <c r="Y315" s="383">
        <f>'6ª'!$S44</f>
        <v>0</v>
      </c>
      <c r="Z315" s="384">
        <f>'6ª'!$T44</f>
        <v>0</v>
      </c>
      <c r="AA315" s="384">
        <f>'6ª'!$U44</f>
        <v>0</v>
      </c>
      <c r="AB315" s="385" t="s">
        <v>326</v>
      </c>
      <c r="AC315" s="385"/>
      <c r="AD315" s="435" t="s">
        <v>466</v>
      </c>
    </row>
    <row r="316" spans="1:30" ht="15.75" x14ac:dyDescent="0.25">
      <c r="A316" s="416" t="str">
        <f>RIGHT('[1]6ª'!$A$5:$D$5,12)</f>
        <v>6ª SÉRIE E.F</v>
      </c>
      <c r="B316" s="120">
        <v>40</v>
      </c>
      <c r="C316" s="248">
        <f>'6ª'!$B45</f>
        <v>0</v>
      </c>
      <c r="D316" s="362">
        <f>'6ª'!$C45</f>
        <v>0</v>
      </c>
      <c r="E316" s="249">
        <f>'6ª'!$D45</f>
        <v>0</v>
      </c>
      <c r="F316" s="249">
        <f>'6ª'!$E45</f>
        <v>0</v>
      </c>
      <c r="G316" s="250">
        <f>'6ª'!$F45</f>
        <v>0</v>
      </c>
      <c r="H316" s="362">
        <f>'6ª'!$G45</f>
        <v>0</v>
      </c>
      <c r="I316" s="363">
        <f>'6ª'!$H45</f>
        <v>0</v>
      </c>
      <c r="J316" s="362"/>
      <c r="K316" s="362">
        <f>'6ª'!$I45</f>
        <v>0</v>
      </c>
      <c r="L316" s="250">
        <f>'6ª'!$J45</f>
        <v>0</v>
      </c>
      <c r="M316" s="362"/>
      <c r="N316" s="252">
        <f>'6ª'!$K45</f>
        <v>0</v>
      </c>
      <c r="O316" s="362"/>
      <c r="P316" s="253" t="s">
        <v>110</v>
      </c>
      <c r="Q316" s="415" t="s">
        <v>250</v>
      </c>
      <c r="R316" s="383">
        <f>'6ª'!$L45</f>
        <v>0</v>
      </c>
      <c r="S316" s="383">
        <f>'6ª'!$M45</f>
        <v>0</v>
      </c>
      <c r="T316" s="383">
        <f>'6ª'!$N45</f>
        <v>0</v>
      </c>
      <c r="U316" s="383">
        <f>'6ª'!$O45</f>
        <v>0</v>
      </c>
      <c r="V316" s="383">
        <f>'6ª'!$P45</f>
        <v>0</v>
      </c>
      <c r="W316" s="383">
        <f>'6ª'!$Q45</f>
        <v>0</v>
      </c>
      <c r="X316" s="383">
        <f>'6ª'!$R45</f>
        <v>0</v>
      </c>
      <c r="Y316" s="383">
        <f>'6ª'!$S45</f>
        <v>0</v>
      </c>
      <c r="Z316" s="384">
        <f>'6ª'!$T45</f>
        <v>0</v>
      </c>
      <c r="AA316" s="384">
        <f>'6ª'!$U45</f>
        <v>0</v>
      </c>
      <c r="AB316" s="385" t="s">
        <v>326</v>
      </c>
      <c r="AC316" s="385"/>
      <c r="AD316" s="435" t="s">
        <v>466</v>
      </c>
    </row>
    <row r="317" spans="1:30" ht="15.75" x14ac:dyDescent="0.25">
      <c r="A317" s="416" t="str">
        <f>RIGHT('[1]6ª'!$A$5:$D$5,12)</f>
        <v>6ª SÉRIE E.F</v>
      </c>
      <c r="B317" s="120">
        <v>41</v>
      </c>
      <c r="C317" s="248">
        <f>'6ª'!$B46</f>
        <v>0</v>
      </c>
      <c r="D317" s="362">
        <f>'6ª'!$C46</f>
        <v>0</v>
      </c>
      <c r="E317" s="249">
        <f>'6ª'!$D46</f>
        <v>0</v>
      </c>
      <c r="F317" s="249">
        <f>'6ª'!$E46</f>
        <v>0</v>
      </c>
      <c r="G317" s="250">
        <f>'6ª'!$F46</f>
        <v>0</v>
      </c>
      <c r="H317" s="362">
        <f>'6ª'!$G46</f>
        <v>0</v>
      </c>
      <c r="I317" s="363">
        <f>'6ª'!$H46</f>
        <v>0</v>
      </c>
      <c r="J317" s="362"/>
      <c r="K317" s="362">
        <f>'6ª'!$I46</f>
        <v>0</v>
      </c>
      <c r="L317" s="250">
        <f>'6ª'!$J46</f>
        <v>0</v>
      </c>
      <c r="M317" s="362"/>
      <c r="N317" s="252">
        <f>'6ª'!$K46</f>
        <v>0</v>
      </c>
      <c r="O317" s="362"/>
      <c r="P317" s="253" t="s">
        <v>110</v>
      </c>
      <c r="Q317" s="415" t="s">
        <v>250</v>
      </c>
      <c r="R317" s="383">
        <f>'6ª'!$L46</f>
        <v>0</v>
      </c>
      <c r="S317" s="383">
        <f>'6ª'!$M46</f>
        <v>0</v>
      </c>
      <c r="T317" s="383">
        <f>'6ª'!$N46</f>
        <v>0</v>
      </c>
      <c r="U317" s="383">
        <f>'6ª'!$O46</f>
        <v>0</v>
      </c>
      <c r="V317" s="383">
        <f>'6ª'!$P46</f>
        <v>0</v>
      </c>
      <c r="W317" s="383">
        <f>'6ª'!$Q46</f>
        <v>0</v>
      </c>
      <c r="X317" s="383">
        <f>'6ª'!$R46</f>
        <v>0</v>
      </c>
      <c r="Y317" s="383">
        <f>'6ª'!$S46</f>
        <v>0</v>
      </c>
      <c r="Z317" s="384">
        <f>'6ª'!$T46</f>
        <v>0</v>
      </c>
      <c r="AA317" s="384">
        <f>'6ª'!$U46</f>
        <v>0</v>
      </c>
      <c r="AB317" s="385" t="s">
        <v>326</v>
      </c>
      <c r="AC317" s="385"/>
      <c r="AD317" s="435" t="s">
        <v>466</v>
      </c>
    </row>
    <row r="318" spans="1:30" ht="15.75" x14ac:dyDescent="0.25">
      <c r="A318" s="416" t="str">
        <f>RIGHT('[1]6ª'!$A$5:$D$5,12)</f>
        <v>6ª SÉRIE E.F</v>
      </c>
      <c r="B318" s="120">
        <v>42</v>
      </c>
      <c r="C318" s="248">
        <f>'6ª'!$B47</f>
        <v>0</v>
      </c>
      <c r="D318" s="362">
        <f>'6ª'!$C47</f>
        <v>0</v>
      </c>
      <c r="E318" s="249">
        <f>'6ª'!$D47</f>
        <v>0</v>
      </c>
      <c r="F318" s="249">
        <f>'6ª'!$E47</f>
        <v>0</v>
      </c>
      <c r="G318" s="250">
        <f>'6ª'!$F47</f>
        <v>0</v>
      </c>
      <c r="H318" s="362">
        <f>'6ª'!$G47</f>
        <v>0</v>
      </c>
      <c r="I318" s="363">
        <f>'6ª'!$H47</f>
        <v>0</v>
      </c>
      <c r="J318" s="362"/>
      <c r="K318" s="362">
        <f>'6ª'!$I47</f>
        <v>0</v>
      </c>
      <c r="L318" s="250">
        <f>'6ª'!$J47</f>
        <v>0</v>
      </c>
      <c r="M318" s="362"/>
      <c r="N318" s="252">
        <f>'6ª'!$K47</f>
        <v>0</v>
      </c>
      <c r="O318" s="362"/>
      <c r="P318" s="253" t="s">
        <v>110</v>
      </c>
      <c r="Q318" s="415" t="s">
        <v>250</v>
      </c>
      <c r="R318" s="383">
        <f>'6ª'!$L47</f>
        <v>0</v>
      </c>
      <c r="S318" s="383">
        <f>'6ª'!$M47</f>
        <v>0</v>
      </c>
      <c r="T318" s="383">
        <f>'6ª'!$N47</f>
        <v>0</v>
      </c>
      <c r="U318" s="383">
        <f>'6ª'!$O47</f>
        <v>0</v>
      </c>
      <c r="V318" s="383">
        <f>'6ª'!$P47</f>
        <v>0</v>
      </c>
      <c r="W318" s="383">
        <f>'6ª'!$Q47</f>
        <v>0</v>
      </c>
      <c r="X318" s="383">
        <f>'6ª'!$R47</f>
        <v>0</v>
      </c>
      <c r="Y318" s="383">
        <f>'6ª'!$S47</f>
        <v>0</v>
      </c>
      <c r="Z318" s="384">
        <f>'6ª'!$T47</f>
        <v>0</v>
      </c>
      <c r="AA318" s="384">
        <f>'6ª'!$U47</f>
        <v>0</v>
      </c>
      <c r="AB318" s="385" t="s">
        <v>326</v>
      </c>
      <c r="AC318" s="385"/>
      <c r="AD318" s="435" t="s">
        <v>466</v>
      </c>
    </row>
    <row r="319" spans="1:30" ht="15.75" x14ac:dyDescent="0.25">
      <c r="A319" s="416" t="str">
        <f>RIGHT('[1]6ª'!$A$5:$D$5,12)</f>
        <v>6ª SÉRIE E.F</v>
      </c>
      <c r="B319" s="120">
        <v>43</v>
      </c>
      <c r="C319" s="248">
        <f>'6ª'!$B48</f>
        <v>0</v>
      </c>
      <c r="D319" s="362">
        <f>'6ª'!$C48</f>
        <v>0</v>
      </c>
      <c r="E319" s="249">
        <f>'6ª'!$D48</f>
        <v>0</v>
      </c>
      <c r="F319" s="249">
        <f>'6ª'!$E48</f>
        <v>0</v>
      </c>
      <c r="G319" s="250">
        <f>'6ª'!$F48</f>
        <v>0</v>
      </c>
      <c r="H319" s="362">
        <f>'6ª'!$G48</f>
        <v>0</v>
      </c>
      <c r="I319" s="363">
        <f>'6ª'!$H48</f>
        <v>0</v>
      </c>
      <c r="J319" s="362"/>
      <c r="K319" s="362">
        <f>'6ª'!$I48</f>
        <v>0</v>
      </c>
      <c r="L319" s="250">
        <f>'6ª'!$J48</f>
        <v>0</v>
      </c>
      <c r="M319" s="362"/>
      <c r="N319" s="252">
        <f>'6ª'!$K48</f>
        <v>0</v>
      </c>
      <c r="O319" s="362"/>
      <c r="P319" s="253" t="s">
        <v>110</v>
      </c>
      <c r="Q319" s="415" t="s">
        <v>250</v>
      </c>
      <c r="R319" s="383">
        <f>'6ª'!$L48</f>
        <v>0</v>
      </c>
      <c r="S319" s="383">
        <f>'6ª'!$M48</f>
        <v>0</v>
      </c>
      <c r="T319" s="383">
        <f>'6ª'!$N48</f>
        <v>0</v>
      </c>
      <c r="U319" s="383">
        <f>'6ª'!$O48</f>
        <v>0</v>
      </c>
      <c r="V319" s="383">
        <f>'6ª'!$P48</f>
        <v>0</v>
      </c>
      <c r="W319" s="383">
        <f>'6ª'!$Q48</f>
        <v>0</v>
      </c>
      <c r="X319" s="383">
        <f>'6ª'!$R48</f>
        <v>0</v>
      </c>
      <c r="Y319" s="383">
        <f>'6ª'!$S48</f>
        <v>0</v>
      </c>
      <c r="Z319" s="384">
        <f>'6ª'!$T48</f>
        <v>0</v>
      </c>
      <c r="AA319" s="384">
        <f>'6ª'!$U48</f>
        <v>0</v>
      </c>
      <c r="AB319" s="385" t="s">
        <v>326</v>
      </c>
      <c r="AC319" s="385"/>
      <c r="AD319" s="435" t="s">
        <v>466</v>
      </c>
    </row>
    <row r="320" spans="1:30" ht="15.75" x14ac:dyDescent="0.25">
      <c r="A320" s="416" t="str">
        <f>RIGHT('[1]6ª'!$A$5:$D$5,12)</f>
        <v>6ª SÉRIE E.F</v>
      </c>
      <c r="B320" s="120">
        <v>44</v>
      </c>
      <c r="C320" s="248">
        <f>'6ª'!$B49</f>
        <v>0</v>
      </c>
      <c r="D320" s="362">
        <f>'6ª'!$C49</f>
        <v>0</v>
      </c>
      <c r="E320" s="249">
        <f>'6ª'!$D49</f>
        <v>0</v>
      </c>
      <c r="F320" s="249">
        <f>'6ª'!$E49</f>
        <v>0</v>
      </c>
      <c r="G320" s="250">
        <f>'6ª'!$F49</f>
        <v>0</v>
      </c>
      <c r="H320" s="362">
        <f>'6ª'!$G49</f>
        <v>0</v>
      </c>
      <c r="I320" s="363">
        <f>'6ª'!$H49</f>
        <v>0</v>
      </c>
      <c r="J320" s="362"/>
      <c r="K320" s="362">
        <f>'6ª'!$I49</f>
        <v>0</v>
      </c>
      <c r="L320" s="250">
        <f>'6ª'!$J49</f>
        <v>0</v>
      </c>
      <c r="M320" s="362"/>
      <c r="N320" s="252">
        <f>'6ª'!$K49</f>
        <v>0</v>
      </c>
      <c r="O320" s="362"/>
      <c r="P320" s="253" t="s">
        <v>110</v>
      </c>
      <c r="Q320" s="415" t="s">
        <v>250</v>
      </c>
      <c r="R320" s="383">
        <f>'6ª'!$L49</f>
        <v>0</v>
      </c>
      <c r="S320" s="383">
        <f>'6ª'!$M49</f>
        <v>0</v>
      </c>
      <c r="T320" s="383">
        <f>'6ª'!$N49</f>
        <v>0</v>
      </c>
      <c r="U320" s="383">
        <f>'6ª'!$O49</f>
        <v>0</v>
      </c>
      <c r="V320" s="383">
        <f>'6ª'!$P49</f>
        <v>0</v>
      </c>
      <c r="W320" s="383">
        <f>'6ª'!$Q49</f>
        <v>0</v>
      </c>
      <c r="X320" s="383">
        <f>'6ª'!$R49</f>
        <v>0</v>
      </c>
      <c r="Y320" s="383">
        <f>'6ª'!$S49</f>
        <v>0</v>
      </c>
      <c r="Z320" s="384">
        <f>'6ª'!$T49</f>
        <v>0</v>
      </c>
      <c r="AA320" s="384">
        <f>'6ª'!$U49</f>
        <v>0</v>
      </c>
      <c r="AB320" s="385" t="s">
        <v>326</v>
      </c>
      <c r="AC320" s="385"/>
      <c r="AD320" s="435" t="s">
        <v>466</v>
      </c>
    </row>
    <row r="321" spans="1:30" ht="15.75" x14ac:dyDescent="0.25">
      <c r="A321" s="416" t="str">
        <f>RIGHT('[1]6ª'!$A$5:$D$5,12)</f>
        <v>6ª SÉRIE E.F</v>
      </c>
      <c r="B321" s="120">
        <v>45</v>
      </c>
      <c r="C321" s="248">
        <f>'6ª'!$B50</f>
        <v>0</v>
      </c>
      <c r="D321" s="362">
        <f>'6ª'!$C50</f>
        <v>0</v>
      </c>
      <c r="E321" s="249">
        <f>'6ª'!$D50</f>
        <v>0</v>
      </c>
      <c r="F321" s="249">
        <f>'6ª'!$E50</f>
        <v>0</v>
      </c>
      <c r="G321" s="250">
        <f>'6ª'!$F50</f>
        <v>0</v>
      </c>
      <c r="H321" s="362">
        <f>'6ª'!$G50</f>
        <v>0</v>
      </c>
      <c r="I321" s="363">
        <f>'6ª'!$H50</f>
        <v>0</v>
      </c>
      <c r="J321" s="362"/>
      <c r="K321" s="362">
        <f>'6ª'!$I50</f>
        <v>0</v>
      </c>
      <c r="L321" s="250">
        <f>'6ª'!$J50</f>
        <v>0</v>
      </c>
      <c r="M321" s="362"/>
      <c r="N321" s="252">
        <f>'6ª'!$K50</f>
        <v>0</v>
      </c>
      <c r="O321" s="362"/>
      <c r="P321" s="253" t="s">
        <v>110</v>
      </c>
      <c r="Q321" s="415" t="s">
        <v>250</v>
      </c>
      <c r="R321" s="383">
        <f>'6ª'!$L50</f>
        <v>0</v>
      </c>
      <c r="S321" s="383">
        <f>'6ª'!$M50</f>
        <v>0</v>
      </c>
      <c r="T321" s="383">
        <f>'6ª'!$N50</f>
        <v>0</v>
      </c>
      <c r="U321" s="383">
        <f>'6ª'!$O50</f>
        <v>0</v>
      </c>
      <c r="V321" s="383">
        <f>'6ª'!$P50</f>
        <v>0</v>
      </c>
      <c r="W321" s="383">
        <f>'6ª'!$Q50</f>
        <v>0</v>
      </c>
      <c r="X321" s="383">
        <f>'6ª'!$R50</f>
        <v>0</v>
      </c>
      <c r="Y321" s="383">
        <f>'6ª'!$S50</f>
        <v>0</v>
      </c>
      <c r="Z321" s="384">
        <f>'6ª'!$T50</f>
        <v>0</v>
      </c>
      <c r="AA321" s="384">
        <f>'6ª'!$U50</f>
        <v>0</v>
      </c>
      <c r="AB321" s="385" t="s">
        <v>326</v>
      </c>
      <c r="AC321" s="385"/>
      <c r="AD321" s="435" t="s">
        <v>466</v>
      </c>
    </row>
    <row r="322" spans="1:30" ht="15.75" x14ac:dyDescent="0.25">
      <c r="A322" s="416" t="str">
        <f>RIGHT('[1]6ª'!$A$5:$D$5,12)</f>
        <v>6ª SÉRIE E.F</v>
      </c>
      <c r="B322" s="120">
        <v>46</v>
      </c>
      <c r="C322" s="248">
        <f>'6ª'!$B51</f>
        <v>0</v>
      </c>
      <c r="D322" s="362">
        <f>'6ª'!$C51</f>
        <v>0</v>
      </c>
      <c r="E322" s="249">
        <f>'6ª'!$D51</f>
        <v>0</v>
      </c>
      <c r="F322" s="249">
        <f>'6ª'!$E51</f>
        <v>0</v>
      </c>
      <c r="G322" s="250">
        <f>'6ª'!$F51</f>
        <v>0</v>
      </c>
      <c r="H322" s="362">
        <f>'6ª'!$G51</f>
        <v>0</v>
      </c>
      <c r="I322" s="363">
        <f>'6ª'!$H51</f>
        <v>0</v>
      </c>
      <c r="J322" s="362"/>
      <c r="K322" s="362">
        <f>'6ª'!$I51</f>
        <v>0</v>
      </c>
      <c r="L322" s="250">
        <f>'6ª'!$J51</f>
        <v>0</v>
      </c>
      <c r="M322" s="362"/>
      <c r="N322" s="252">
        <f>'6ª'!$K51</f>
        <v>0</v>
      </c>
      <c r="O322" s="362"/>
      <c r="P322" s="253" t="s">
        <v>110</v>
      </c>
      <c r="Q322" s="415" t="s">
        <v>250</v>
      </c>
      <c r="R322" s="383">
        <f>'6ª'!$L51</f>
        <v>0</v>
      </c>
      <c r="S322" s="383">
        <f>'6ª'!$M51</f>
        <v>0</v>
      </c>
      <c r="T322" s="383">
        <f>'6ª'!$N51</f>
        <v>0</v>
      </c>
      <c r="U322" s="383">
        <f>'6ª'!$O51</f>
        <v>0</v>
      </c>
      <c r="V322" s="383">
        <f>'6ª'!$P51</f>
        <v>0</v>
      </c>
      <c r="W322" s="383">
        <f>'6ª'!$Q51</f>
        <v>0</v>
      </c>
      <c r="X322" s="383">
        <f>'6ª'!$R51</f>
        <v>0</v>
      </c>
      <c r="Y322" s="383">
        <f>'6ª'!$S51</f>
        <v>0</v>
      </c>
      <c r="Z322" s="384">
        <f>'6ª'!$T51</f>
        <v>0</v>
      </c>
      <c r="AA322" s="384">
        <f>'6ª'!$U51</f>
        <v>0</v>
      </c>
      <c r="AB322" s="385" t="s">
        <v>326</v>
      </c>
      <c r="AC322" s="385"/>
      <c r="AD322" s="435" t="s">
        <v>466</v>
      </c>
    </row>
    <row r="323" spans="1:30" ht="15.75" x14ac:dyDescent="0.25">
      <c r="A323" s="416" t="str">
        <f>RIGHT('[1]6ª'!$A$5:$D$5,12)</f>
        <v>6ª SÉRIE E.F</v>
      </c>
      <c r="B323" s="120">
        <v>47</v>
      </c>
      <c r="C323" s="248">
        <f>'6ª'!$B52</f>
        <v>0</v>
      </c>
      <c r="D323" s="362">
        <f>'6ª'!$C52</f>
        <v>0</v>
      </c>
      <c r="E323" s="249">
        <f>'6ª'!$D52</f>
        <v>0</v>
      </c>
      <c r="F323" s="249">
        <f>'6ª'!$E52</f>
        <v>0</v>
      </c>
      <c r="G323" s="250">
        <f>'6ª'!$F52</f>
        <v>0</v>
      </c>
      <c r="H323" s="362">
        <f>'6ª'!$G52</f>
        <v>0</v>
      </c>
      <c r="I323" s="363">
        <f>'6ª'!$H52</f>
        <v>0</v>
      </c>
      <c r="J323" s="362"/>
      <c r="K323" s="362">
        <f>'6ª'!$I52</f>
        <v>0</v>
      </c>
      <c r="L323" s="250">
        <f>'6ª'!$J52</f>
        <v>0</v>
      </c>
      <c r="M323" s="362"/>
      <c r="N323" s="252">
        <f>'6ª'!$K52</f>
        <v>0</v>
      </c>
      <c r="O323" s="362"/>
      <c r="P323" s="253" t="s">
        <v>110</v>
      </c>
      <c r="Q323" s="415" t="s">
        <v>250</v>
      </c>
      <c r="R323" s="383">
        <f>'6ª'!$L52</f>
        <v>0</v>
      </c>
      <c r="S323" s="383">
        <f>'6ª'!$M52</f>
        <v>0</v>
      </c>
      <c r="T323" s="383">
        <f>'6ª'!$N52</f>
        <v>0</v>
      </c>
      <c r="U323" s="383">
        <f>'6ª'!$O52</f>
        <v>0</v>
      </c>
      <c r="V323" s="383">
        <f>'6ª'!$P52</f>
        <v>0</v>
      </c>
      <c r="W323" s="383">
        <f>'6ª'!$Q52</f>
        <v>0</v>
      </c>
      <c r="X323" s="383">
        <f>'6ª'!$R52</f>
        <v>0</v>
      </c>
      <c r="Y323" s="383">
        <f>'6ª'!$S52</f>
        <v>0</v>
      </c>
      <c r="Z323" s="384">
        <f>'6ª'!$T52</f>
        <v>0</v>
      </c>
      <c r="AA323" s="384">
        <f>'6ª'!$U52</f>
        <v>0</v>
      </c>
      <c r="AB323" s="385" t="s">
        <v>326</v>
      </c>
      <c r="AC323" s="385"/>
      <c r="AD323" s="435" t="s">
        <v>466</v>
      </c>
    </row>
    <row r="324" spans="1:30" ht="15.75" x14ac:dyDescent="0.25">
      <c r="A324" s="416" t="str">
        <f>RIGHT('[1]6ª'!$A$5:$D$5,12)</f>
        <v>6ª SÉRIE E.F</v>
      </c>
      <c r="B324" s="120">
        <v>48</v>
      </c>
      <c r="C324" s="248">
        <f>'6ª'!$B53</f>
        <v>0</v>
      </c>
      <c r="D324" s="362">
        <f>'6ª'!$C53</f>
        <v>0</v>
      </c>
      <c r="E324" s="249">
        <f>'6ª'!$D53</f>
        <v>0</v>
      </c>
      <c r="F324" s="249">
        <f>'6ª'!$E53</f>
        <v>0</v>
      </c>
      <c r="G324" s="250">
        <f>'6ª'!$F53</f>
        <v>0</v>
      </c>
      <c r="H324" s="362">
        <f>'6ª'!$G53</f>
        <v>0</v>
      </c>
      <c r="I324" s="363">
        <f>'6ª'!$H53</f>
        <v>0</v>
      </c>
      <c r="J324" s="362"/>
      <c r="K324" s="362">
        <f>'6ª'!$I53</f>
        <v>0</v>
      </c>
      <c r="L324" s="250">
        <f>'6ª'!$J53</f>
        <v>0</v>
      </c>
      <c r="M324" s="362"/>
      <c r="N324" s="252">
        <f>'6ª'!$K53</f>
        <v>0</v>
      </c>
      <c r="O324" s="362"/>
      <c r="P324" s="253" t="s">
        <v>110</v>
      </c>
      <c r="Q324" s="415" t="s">
        <v>250</v>
      </c>
      <c r="R324" s="383">
        <f>'6ª'!$L53</f>
        <v>0</v>
      </c>
      <c r="S324" s="383">
        <f>'6ª'!$M53</f>
        <v>0</v>
      </c>
      <c r="T324" s="383">
        <f>'6ª'!$N53</f>
        <v>0</v>
      </c>
      <c r="U324" s="383">
        <f>'6ª'!$O53</f>
        <v>0</v>
      </c>
      <c r="V324" s="383">
        <f>'6ª'!$P53</f>
        <v>0</v>
      </c>
      <c r="W324" s="383">
        <f>'6ª'!$Q53</f>
        <v>0</v>
      </c>
      <c r="X324" s="383">
        <f>'6ª'!$R53</f>
        <v>0</v>
      </c>
      <c r="Y324" s="383">
        <f>'6ª'!$S53</f>
        <v>0</v>
      </c>
      <c r="Z324" s="384">
        <f>'6ª'!$T53</f>
        <v>0</v>
      </c>
      <c r="AA324" s="384">
        <f>'6ª'!$U53</f>
        <v>0</v>
      </c>
      <c r="AB324" s="385" t="s">
        <v>326</v>
      </c>
      <c r="AC324" s="385"/>
      <c r="AD324" s="435" t="s">
        <v>466</v>
      </c>
    </row>
    <row r="325" spans="1:30" ht="15.75" x14ac:dyDescent="0.25">
      <c r="A325" s="416" t="str">
        <f>RIGHT('[1]6ª'!$A$5:$D$5,12)</f>
        <v>6ª SÉRIE E.F</v>
      </c>
      <c r="B325" s="120">
        <v>49</v>
      </c>
      <c r="C325" s="248">
        <f>'6ª'!$B54</f>
        <v>0</v>
      </c>
      <c r="D325" s="362">
        <f>'6ª'!$C54</f>
        <v>0</v>
      </c>
      <c r="E325" s="249">
        <f>'6ª'!$D54</f>
        <v>0</v>
      </c>
      <c r="F325" s="249">
        <f>'6ª'!$E54</f>
        <v>0</v>
      </c>
      <c r="G325" s="250">
        <f>'6ª'!$F54</f>
        <v>0</v>
      </c>
      <c r="H325" s="362">
        <f>'6ª'!$G54</f>
        <v>0</v>
      </c>
      <c r="I325" s="363">
        <f>'6ª'!$H54</f>
        <v>0</v>
      </c>
      <c r="J325" s="362"/>
      <c r="K325" s="362">
        <f>'6ª'!$I54</f>
        <v>0</v>
      </c>
      <c r="L325" s="250">
        <f>'6ª'!$J54</f>
        <v>0</v>
      </c>
      <c r="M325" s="362"/>
      <c r="N325" s="252">
        <f>'6ª'!$K54</f>
        <v>0</v>
      </c>
      <c r="O325" s="362"/>
      <c r="P325" s="253" t="s">
        <v>110</v>
      </c>
      <c r="Q325" s="415" t="s">
        <v>250</v>
      </c>
      <c r="R325" s="383">
        <f>'6ª'!$L54</f>
        <v>0</v>
      </c>
      <c r="S325" s="383">
        <f>'6ª'!$M54</f>
        <v>0</v>
      </c>
      <c r="T325" s="383">
        <f>'6ª'!$N54</f>
        <v>0</v>
      </c>
      <c r="U325" s="383">
        <f>'6ª'!$O54</f>
        <v>0</v>
      </c>
      <c r="V325" s="383">
        <f>'6ª'!$P54</f>
        <v>0</v>
      </c>
      <c r="W325" s="383">
        <f>'6ª'!$Q54</f>
        <v>0</v>
      </c>
      <c r="X325" s="383">
        <f>'6ª'!$R54</f>
        <v>0</v>
      </c>
      <c r="Y325" s="383">
        <f>'6ª'!$S54</f>
        <v>0</v>
      </c>
      <c r="Z325" s="384">
        <f>'6ª'!$T54</f>
        <v>0</v>
      </c>
      <c r="AA325" s="384">
        <f>'6ª'!$U54</f>
        <v>0</v>
      </c>
      <c r="AB325" s="385" t="s">
        <v>326</v>
      </c>
      <c r="AC325" s="385"/>
      <c r="AD325" s="435" t="s">
        <v>466</v>
      </c>
    </row>
    <row r="326" spans="1:30" ht="15.75" x14ac:dyDescent="0.25">
      <c r="A326" s="416" t="str">
        <f>RIGHT('[1]6ª'!$A$5:$D$5,12)</f>
        <v>6ª SÉRIE E.F</v>
      </c>
      <c r="B326" s="120">
        <v>50</v>
      </c>
      <c r="C326" s="248">
        <f>'6ª'!$B55</f>
        <v>0</v>
      </c>
      <c r="D326" s="362">
        <f>'6ª'!$C55</f>
        <v>0</v>
      </c>
      <c r="E326" s="249">
        <f>'6ª'!$D55</f>
        <v>0</v>
      </c>
      <c r="F326" s="249">
        <f>'6ª'!$E55</f>
        <v>0</v>
      </c>
      <c r="G326" s="250">
        <f>'6ª'!$F55</f>
        <v>0</v>
      </c>
      <c r="H326" s="362">
        <f>'6ª'!$G55</f>
        <v>0</v>
      </c>
      <c r="I326" s="363">
        <f>'6ª'!$H55</f>
        <v>0</v>
      </c>
      <c r="J326" s="362"/>
      <c r="K326" s="362">
        <f>'6ª'!$I55</f>
        <v>0</v>
      </c>
      <c r="L326" s="250">
        <f>'6ª'!$J55</f>
        <v>0</v>
      </c>
      <c r="M326" s="362"/>
      <c r="N326" s="252">
        <f>'6ª'!$K55</f>
        <v>0</v>
      </c>
      <c r="O326" s="362"/>
      <c r="P326" s="253" t="s">
        <v>110</v>
      </c>
      <c r="Q326" s="415" t="s">
        <v>250</v>
      </c>
      <c r="R326" s="383">
        <f>'6ª'!$L55</f>
        <v>0</v>
      </c>
      <c r="S326" s="383">
        <f>'6ª'!$M55</f>
        <v>0</v>
      </c>
      <c r="T326" s="383">
        <f>'6ª'!$N55</f>
        <v>0</v>
      </c>
      <c r="U326" s="383">
        <f>'6ª'!$O55</f>
        <v>0</v>
      </c>
      <c r="V326" s="383">
        <f>'6ª'!$P55</f>
        <v>0</v>
      </c>
      <c r="W326" s="383">
        <f>'6ª'!$Q55</f>
        <v>0</v>
      </c>
      <c r="X326" s="383">
        <f>'6ª'!$R55</f>
        <v>0</v>
      </c>
      <c r="Y326" s="383">
        <f>'6ª'!$S55</f>
        <v>0</v>
      </c>
      <c r="Z326" s="384">
        <f>'6ª'!$T55</f>
        <v>0</v>
      </c>
      <c r="AA326" s="384">
        <f>'6ª'!$U55</f>
        <v>0</v>
      </c>
      <c r="AB326" s="385" t="s">
        <v>326</v>
      </c>
      <c r="AC326" s="385"/>
      <c r="AD326" s="435" t="s">
        <v>466</v>
      </c>
    </row>
    <row r="327" spans="1:30" ht="15.75" x14ac:dyDescent="0.25">
      <c r="A327" s="416" t="str">
        <f>RIGHT('[1]6ª'!$A$5:$D$5,12)</f>
        <v>6ª SÉRIE E.F</v>
      </c>
      <c r="B327" s="120">
        <v>51</v>
      </c>
      <c r="C327" s="248">
        <f>'6ª'!$B56</f>
        <v>0</v>
      </c>
      <c r="D327" s="362">
        <f>'6ª'!$C56</f>
        <v>0</v>
      </c>
      <c r="E327" s="249">
        <f>'6ª'!$D56</f>
        <v>0</v>
      </c>
      <c r="F327" s="249">
        <f>'6ª'!$E56</f>
        <v>0</v>
      </c>
      <c r="G327" s="250">
        <f>'6ª'!$F56</f>
        <v>0</v>
      </c>
      <c r="H327" s="362">
        <f>'6ª'!$G56</f>
        <v>0</v>
      </c>
      <c r="I327" s="363">
        <f>'6ª'!$H56</f>
        <v>0</v>
      </c>
      <c r="J327" s="362"/>
      <c r="K327" s="362">
        <f>'6ª'!$I56</f>
        <v>0</v>
      </c>
      <c r="L327" s="250">
        <f>'6ª'!$J56</f>
        <v>0</v>
      </c>
      <c r="M327" s="362"/>
      <c r="N327" s="252">
        <f>'6ª'!$K56</f>
        <v>0</v>
      </c>
      <c r="O327" s="362"/>
      <c r="P327" s="253" t="s">
        <v>110</v>
      </c>
      <c r="Q327" s="415" t="s">
        <v>250</v>
      </c>
      <c r="R327" s="383">
        <f>'6ª'!$L56</f>
        <v>0</v>
      </c>
      <c r="S327" s="383">
        <f>'6ª'!$M56</f>
        <v>0</v>
      </c>
      <c r="T327" s="383">
        <f>'6ª'!$N56</f>
        <v>0</v>
      </c>
      <c r="U327" s="383">
        <f>'6ª'!$O56</f>
        <v>0</v>
      </c>
      <c r="V327" s="383">
        <f>'6ª'!$P56</f>
        <v>0</v>
      </c>
      <c r="W327" s="383">
        <f>'6ª'!$Q56</f>
        <v>0</v>
      </c>
      <c r="X327" s="383">
        <f>'6ª'!$R56</f>
        <v>0</v>
      </c>
      <c r="Y327" s="383">
        <f>'6ª'!$S56</f>
        <v>0</v>
      </c>
      <c r="Z327" s="384">
        <f>'6ª'!$T56</f>
        <v>0</v>
      </c>
      <c r="AA327" s="384">
        <f>'6ª'!$U56</f>
        <v>0</v>
      </c>
      <c r="AB327" s="385" t="s">
        <v>326</v>
      </c>
      <c r="AC327" s="385"/>
      <c r="AD327" s="435" t="s">
        <v>466</v>
      </c>
    </row>
    <row r="328" spans="1:30" ht="15.75" x14ac:dyDescent="0.25">
      <c r="A328" s="416" t="str">
        <f>RIGHT('[1]6ª'!$A$5:$D$5,12)</f>
        <v>6ª SÉRIE E.F</v>
      </c>
      <c r="B328" s="120">
        <v>52</v>
      </c>
      <c r="C328" s="248">
        <f>'6ª'!$B57</f>
        <v>0</v>
      </c>
      <c r="D328" s="362">
        <f>'6ª'!$C57</f>
        <v>0</v>
      </c>
      <c r="E328" s="249">
        <f>'6ª'!$D57</f>
        <v>0</v>
      </c>
      <c r="F328" s="249">
        <f>'6ª'!$E57</f>
        <v>0</v>
      </c>
      <c r="G328" s="250">
        <f>'6ª'!$F57</f>
        <v>0</v>
      </c>
      <c r="H328" s="362">
        <f>'6ª'!$G57</f>
        <v>0</v>
      </c>
      <c r="I328" s="363">
        <f>'6ª'!$H57</f>
        <v>0</v>
      </c>
      <c r="J328" s="362"/>
      <c r="K328" s="362">
        <f>'6ª'!$I57</f>
        <v>0</v>
      </c>
      <c r="L328" s="250">
        <f>'6ª'!$J57</f>
        <v>0</v>
      </c>
      <c r="M328" s="362"/>
      <c r="N328" s="252">
        <f>'6ª'!$K57</f>
        <v>0</v>
      </c>
      <c r="O328" s="362"/>
      <c r="P328" s="253" t="s">
        <v>110</v>
      </c>
      <c r="Q328" s="415" t="s">
        <v>250</v>
      </c>
      <c r="R328" s="383">
        <f>'6ª'!$L57</f>
        <v>0</v>
      </c>
      <c r="S328" s="383">
        <f>'6ª'!$M57</f>
        <v>0</v>
      </c>
      <c r="T328" s="383">
        <f>'6ª'!$N57</f>
        <v>0</v>
      </c>
      <c r="U328" s="383">
        <f>'6ª'!$O57</f>
        <v>0</v>
      </c>
      <c r="V328" s="383">
        <f>'6ª'!$P57</f>
        <v>0</v>
      </c>
      <c r="W328" s="383">
        <f>'6ª'!$Q57</f>
        <v>0</v>
      </c>
      <c r="X328" s="383">
        <f>'6ª'!$R57</f>
        <v>0</v>
      </c>
      <c r="Y328" s="383">
        <f>'6ª'!$S57</f>
        <v>0</v>
      </c>
      <c r="Z328" s="384">
        <f>'6ª'!$T57</f>
        <v>0</v>
      </c>
      <c r="AA328" s="384">
        <f>'6ª'!$U57</f>
        <v>0</v>
      </c>
      <c r="AB328" s="385" t="s">
        <v>326</v>
      </c>
      <c r="AC328" s="385"/>
      <c r="AD328" s="435" t="s">
        <v>466</v>
      </c>
    </row>
    <row r="329" spans="1:30" ht="15.75" x14ac:dyDescent="0.25">
      <c r="A329" s="416" t="str">
        <f>RIGHT('[1]6ª'!$A$5:$D$5,12)</f>
        <v>6ª SÉRIE E.F</v>
      </c>
      <c r="B329" s="120">
        <v>53</v>
      </c>
      <c r="C329" s="248">
        <f>'6ª'!$B58</f>
        <v>0</v>
      </c>
      <c r="D329" s="362">
        <f>'6ª'!$C58</f>
        <v>0</v>
      </c>
      <c r="E329" s="249">
        <f>'6ª'!$D58</f>
        <v>0</v>
      </c>
      <c r="F329" s="249">
        <f>'6ª'!$E58</f>
        <v>0</v>
      </c>
      <c r="G329" s="250">
        <f>'6ª'!$F58</f>
        <v>0</v>
      </c>
      <c r="H329" s="362">
        <f>'6ª'!$G58</f>
        <v>0</v>
      </c>
      <c r="I329" s="363">
        <f>'6ª'!$H58</f>
        <v>0</v>
      </c>
      <c r="J329" s="362"/>
      <c r="K329" s="362">
        <f>'6ª'!$I58</f>
        <v>0</v>
      </c>
      <c r="L329" s="250">
        <f>'6ª'!$J58</f>
        <v>0</v>
      </c>
      <c r="M329" s="362"/>
      <c r="N329" s="252">
        <f>'6ª'!$K58</f>
        <v>0</v>
      </c>
      <c r="O329" s="362"/>
      <c r="P329" s="253" t="s">
        <v>110</v>
      </c>
      <c r="Q329" s="415" t="s">
        <v>250</v>
      </c>
      <c r="R329" s="383">
        <f>'6ª'!$L58</f>
        <v>0</v>
      </c>
      <c r="S329" s="383">
        <f>'6ª'!$M58</f>
        <v>0</v>
      </c>
      <c r="T329" s="383">
        <f>'6ª'!$N58</f>
        <v>0</v>
      </c>
      <c r="U329" s="383">
        <f>'6ª'!$O58</f>
        <v>0</v>
      </c>
      <c r="V329" s="383">
        <f>'6ª'!$P58</f>
        <v>0</v>
      </c>
      <c r="W329" s="383">
        <f>'6ª'!$Q58</f>
        <v>0</v>
      </c>
      <c r="X329" s="383">
        <f>'6ª'!$R58</f>
        <v>0</v>
      </c>
      <c r="Y329" s="383">
        <f>'6ª'!$S58</f>
        <v>0</v>
      </c>
      <c r="Z329" s="384">
        <f>'6ª'!$T58</f>
        <v>0</v>
      </c>
      <c r="AA329" s="384">
        <f>'6ª'!$U58</f>
        <v>0</v>
      </c>
      <c r="AB329" s="385" t="s">
        <v>326</v>
      </c>
      <c r="AC329" s="385"/>
      <c r="AD329" s="435" t="s">
        <v>466</v>
      </c>
    </row>
    <row r="330" spans="1:30" ht="15.75" x14ac:dyDescent="0.25">
      <c r="A330" s="416" t="str">
        <f>RIGHT('[1]6ª'!$A$5:$D$5,12)</f>
        <v>6ª SÉRIE E.F</v>
      </c>
      <c r="B330" s="120">
        <v>54</v>
      </c>
      <c r="C330" s="248">
        <f>'6ª'!$B59</f>
        <v>0</v>
      </c>
      <c r="D330" s="362">
        <f>'6ª'!$C59</f>
        <v>0</v>
      </c>
      <c r="E330" s="249">
        <f>'6ª'!$D59</f>
        <v>0</v>
      </c>
      <c r="F330" s="249">
        <f>'6ª'!$E59</f>
        <v>0</v>
      </c>
      <c r="G330" s="250">
        <f>'6ª'!$F59</f>
        <v>0</v>
      </c>
      <c r="H330" s="362">
        <f>'6ª'!$G59</f>
        <v>0</v>
      </c>
      <c r="I330" s="363">
        <f>'6ª'!$H59</f>
        <v>0</v>
      </c>
      <c r="J330" s="362"/>
      <c r="K330" s="362">
        <f>'6ª'!$I59</f>
        <v>0</v>
      </c>
      <c r="L330" s="250">
        <f>'6ª'!$J59</f>
        <v>0</v>
      </c>
      <c r="M330" s="362"/>
      <c r="N330" s="252">
        <f>'6ª'!$K59</f>
        <v>0</v>
      </c>
      <c r="O330" s="362"/>
      <c r="P330" s="253" t="s">
        <v>110</v>
      </c>
      <c r="Q330" s="415" t="s">
        <v>250</v>
      </c>
      <c r="R330" s="383">
        <f>'6ª'!$L59</f>
        <v>0</v>
      </c>
      <c r="S330" s="383">
        <f>'6ª'!$M59</f>
        <v>0</v>
      </c>
      <c r="T330" s="383">
        <f>'6ª'!$N59</f>
        <v>0</v>
      </c>
      <c r="U330" s="383">
        <f>'6ª'!$O59</f>
        <v>0</v>
      </c>
      <c r="V330" s="383">
        <f>'6ª'!$P59</f>
        <v>0</v>
      </c>
      <c r="W330" s="383">
        <f>'6ª'!$Q59</f>
        <v>0</v>
      </c>
      <c r="X330" s="383">
        <f>'6ª'!$R59</f>
        <v>0</v>
      </c>
      <c r="Y330" s="383">
        <f>'6ª'!$S59</f>
        <v>0</v>
      </c>
      <c r="Z330" s="384">
        <f>'6ª'!$T59</f>
        <v>0</v>
      </c>
      <c r="AA330" s="384">
        <f>'6ª'!$U59</f>
        <v>0</v>
      </c>
      <c r="AB330" s="385" t="s">
        <v>326</v>
      </c>
      <c r="AC330" s="385"/>
      <c r="AD330" s="435" t="s">
        <v>466</v>
      </c>
    </row>
    <row r="331" spans="1:30" ht="15.75" x14ac:dyDescent="0.25">
      <c r="A331" s="416" t="str">
        <f>RIGHT('[1]6ª'!$A$5:$D$5,12)</f>
        <v>6ª SÉRIE E.F</v>
      </c>
      <c r="B331" s="120">
        <v>55</v>
      </c>
      <c r="C331" s="248">
        <f>'6ª'!$B60</f>
        <v>0</v>
      </c>
      <c r="D331" s="362">
        <f>'6ª'!$C60</f>
        <v>0</v>
      </c>
      <c r="E331" s="249">
        <f>'6ª'!$D60</f>
        <v>0</v>
      </c>
      <c r="F331" s="249">
        <f>'6ª'!$E60</f>
        <v>0</v>
      </c>
      <c r="G331" s="250">
        <f>'6ª'!$F60</f>
        <v>0</v>
      </c>
      <c r="H331" s="362">
        <f>'6ª'!$G60</f>
        <v>0</v>
      </c>
      <c r="I331" s="363">
        <f>'6ª'!$H60</f>
        <v>0</v>
      </c>
      <c r="J331" s="362"/>
      <c r="K331" s="362">
        <f>'6ª'!$I60</f>
        <v>0</v>
      </c>
      <c r="L331" s="250">
        <f>'6ª'!$J60</f>
        <v>0</v>
      </c>
      <c r="M331" s="362"/>
      <c r="N331" s="252">
        <f>'6ª'!$K60</f>
        <v>0</v>
      </c>
      <c r="O331" s="362"/>
      <c r="P331" s="253" t="s">
        <v>110</v>
      </c>
      <c r="Q331" s="415" t="s">
        <v>250</v>
      </c>
      <c r="R331" s="383">
        <f>'6ª'!$L60</f>
        <v>0</v>
      </c>
      <c r="S331" s="383">
        <f>'6ª'!$M60</f>
        <v>0</v>
      </c>
      <c r="T331" s="383">
        <f>'6ª'!$N60</f>
        <v>0</v>
      </c>
      <c r="U331" s="383">
        <f>'6ª'!$O60</f>
        <v>0</v>
      </c>
      <c r="V331" s="383">
        <f>'6ª'!$P60</f>
        <v>0</v>
      </c>
      <c r="W331" s="383">
        <f>'6ª'!$Q60</f>
        <v>0</v>
      </c>
      <c r="X331" s="383">
        <f>'6ª'!$R60</f>
        <v>0</v>
      </c>
      <c r="Y331" s="383">
        <f>'6ª'!$S60</f>
        <v>0</v>
      </c>
      <c r="Z331" s="384">
        <f>'6ª'!$T60</f>
        <v>0</v>
      </c>
      <c r="AA331" s="384">
        <f>'6ª'!$U60</f>
        <v>0</v>
      </c>
      <c r="AB331" s="385" t="s">
        <v>326</v>
      </c>
      <c r="AC331" s="385"/>
      <c r="AD331" s="435" t="s">
        <v>466</v>
      </c>
    </row>
    <row r="332" spans="1:30" s="446" customFormat="1" ht="15.75" x14ac:dyDescent="0.25">
      <c r="A332" s="387" t="str">
        <f>RIGHT('[1]7ª'!$A$5:$D$5,12)</f>
        <v>7ª SÉRIE E.F</v>
      </c>
      <c r="B332" s="388">
        <v>1</v>
      </c>
      <c r="C332" s="389">
        <f>'7ª'!$B7</f>
        <v>17679</v>
      </c>
      <c r="D332" s="390" t="str">
        <f>'7ª'!$C7</f>
        <v>ANTONIO CARLOS PIRES DA SILVA</v>
      </c>
      <c r="E332" s="391" t="str">
        <f>'7ª'!$D7</f>
        <v>M</v>
      </c>
      <c r="F332" s="391" t="str">
        <f>'7ª'!$E7</f>
        <v>MA</v>
      </c>
      <c r="G332" s="392">
        <f>'7ª'!$F7</f>
        <v>26602</v>
      </c>
      <c r="H332" s="390" t="str">
        <f>'7ª'!$G7</f>
        <v>123862814-X</v>
      </c>
      <c r="I332" s="402" t="str">
        <f>'7ª'!$H7</f>
        <v>54320288-4</v>
      </c>
      <c r="J332" s="390"/>
      <c r="K332" s="390">
        <f>'7ª'!$I7</f>
        <v>0</v>
      </c>
      <c r="L332" s="392" t="str">
        <f ca="1">'7ª'!$J7</f>
        <v>DISP.IDADE</v>
      </c>
      <c r="M332" s="390"/>
      <c r="N332" s="394">
        <f ca="1">'7ª'!$K7</f>
        <v>52</v>
      </c>
      <c r="O332" s="390"/>
      <c r="P332" s="395" t="s">
        <v>110</v>
      </c>
      <c r="Q332" s="396" t="s">
        <v>250</v>
      </c>
      <c r="R332" s="397" t="str">
        <f>'7ª'!$L7</f>
        <v>Não</v>
      </c>
      <c r="S332" s="397" t="str">
        <f>'7ª'!$M7</f>
        <v>-</v>
      </c>
      <c r="T332" s="397" t="str">
        <f>'7ª'!$N7</f>
        <v>-</v>
      </c>
      <c r="U332" s="397" t="str">
        <f>'7ª'!$O7</f>
        <v>-</v>
      </c>
      <c r="V332" s="397" t="str">
        <f>'7ª'!$P7</f>
        <v>-</v>
      </c>
      <c r="W332" s="397" t="str">
        <f>'7ª'!$Q7</f>
        <v>-</v>
      </c>
      <c r="X332" s="397" t="str">
        <f>'7ª'!$R7</f>
        <v>-</v>
      </c>
      <c r="Y332" s="397" t="str">
        <f>'7ª'!$S7</f>
        <v>-</v>
      </c>
      <c r="Z332" s="398">
        <f>'7ª'!$T7</f>
        <v>0</v>
      </c>
      <c r="AA332" s="398">
        <f>'7ª'!$U7</f>
        <v>0</v>
      </c>
      <c r="AB332" s="399" t="s">
        <v>327</v>
      </c>
      <c r="AC332" s="399"/>
      <c r="AD332" s="435" t="s">
        <v>466</v>
      </c>
    </row>
    <row r="333" spans="1:30" ht="15.75" x14ac:dyDescent="0.25">
      <c r="A333" s="416" t="str">
        <f>RIGHT('[1]7ª'!$A$5:$D$5,12)</f>
        <v>7ª SÉRIE E.F</v>
      </c>
      <c r="B333" s="451">
        <v>2</v>
      </c>
      <c r="C333" s="248">
        <f>'7ª'!$B8</f>
        <v>10179</v>
      </c>
      <c r="D333" s="362" t="str">
        <f>'7ª'!$C8</f>
        <v>CAROLINA DE LIMA</v>
      </c>
      <c r="E333" s="249" t="str">
        <f>'7ª'!$D8</f>
        <v>F</v>
      </c>
      <c r="F333" s="249" t="str">
        <f>'7ª'!$E8</f>
        <v>MC</v>
      </c>
      <c r="G333" s="250">
        <f>'7ª'!$F8</f>
        <v>29930</v>
      </c>
      <c r="H333" s="362">
        <f>'7ª'!$G8</f>
        <v>0</v>
      </c>
      <c r="I333" s="364">
        <f>'7ª'!$H8</f>
        <v>36878914</v>
      </c>
      <c r="J333" s="362"/>
      <c r="K333" s="362" t="str">
        <f>'7ª'!$I8</f>
        <v>MC - 30/09</v>
      </c>
      <c r="L333" s="250" t="str">
        <f ca="1">'7ª'!$J8</f>
        <v>DISP.IDADE</v>
      </c>
      <c r="M333" s="362"/>
      <c r="N333" s="252">
        <f ca="1">'7ª'!$K8</f>
        <v>43</v>
      </c>
      <c r="O333" s="362"/>
      <c r="P333" s="253" t="s">
        <v>110</v>
      </c>
      <c r="Q333" s="415" t="s">
        <v>250</v>
      </c>
      <c r="R333" s="383" t="str">
        <f>'7ª'!$L8</f>
        <v>Não</v>
      </c>
      <c r="S333" s="383" t="str">
        <f>'7ª'!$M8</f>
        <v>-</v>
      </c>
      <c r="T333" s="383" t="str">
        <f>'7ª'!$N8</f>
        <v>-</v>
      </c>
      <c r="U333" s="383" t="str">
        <f>'7ª'!$O8</f>
        <v>-</v>
      </c>
      <c r="V333" s="383" t="str">
        <f>'7ª'!$P8</f>
        <v>-</v>
      </c>
      <c r="W333" s="383" t="str">
        <f>'7ª'!$Q8</f>
        <v>-</v>
      </c>
      <c r="X333" s="383" t="str">
        <f>'7ª'!$R8</f>
        <v>-</v>
      </c>
      <c r="Y333" s="383" t="str">
        <f>'7ª'!$S8</f>
        <v>-</v>
      </c>
      <c r="Z333" s="384">
        <f>'7ª'!$T8</f>
        <v>0</v>
      </c>
      <c r="AA333" s="384">
        <f>'7ª'!$U8</f>
        <v>0</v>
      </c>
      <c r="AB333" s="385" t="s">
        <v>327</v>
      </c>
      <c r="AC333" s="385"/>
      <c r="AD333" s="435" t="s">
        <v>466</v>
      </c>
    </row>
    <row r="334" spans="1:30" ht="15.75" x14ac:dyDescent="0.25">
      <c r="A334" s="416" t="str">
        <f>RIGHT('[1]7ª'!$A$5:$D$5,12)</f>
        <v>7ª SÉRIE E.F</v>
      </c>
      <c r="B334" s="451">
        <v>3</v>
      </c>
      <c r="C334" s="248">
        <f>'7ª'!$B9</f>
        <v>18847</v>
      </c>
      <c r="D334" s="362" t="str">
        <f>'7ª'!$C9</f>
        <v>DAIANE CRISTINA PEREIRA SANTOS</v>
      </c>
      <c r="E334" s="249" t="str">
        <f>'7ª'!$D9</f>
        <v>F</v>
      </c>
      <c r="F334" s="249" t="str">
        <f>'7ª'!$E9</f>
        <v>MA</v>
      </c>
      <c r="G334" s="250">
        <f>'7ª'!$F9</f>
        <v>34343</v>
      </c>
      <c r="H334" s="362">
        <f>'7ª'!$G9</f>
        <v>0</v>
      </c>
      <c r="I334" s="364" t="str">
        <f>'7ª'!$H9</f>
        <v>41678834-4</v>
      </c>
      <c r="J334" s="362"/>
      <c r="K334" s="362">
        <f>'7ª'!$I9</f>
        <v>0</v>
      </c>
      <c r="L334" s="250" t="str">
        <f ca="1">'7ª'!$J9</f>
        <v>DISP.IDADE</v>
      </c>
      <c r="M334" s="362"/>
      <c r="N334" s="252">
        <f ca="1">'7ª'!$K9</f>
        <v>31</v>
      </c>
      <c r="O334" s="362"/>
      <c r="P334" s="253" t="s">
        <v>110</v>
      </c>
      <c r="Q334" s="415" t="s">
        <v>250</v>
      </c>
      <c r="R334" s="383" t="str">
        <f>'7ª'!$L9</f>
        <v>Não</v>
      </c>
      <c r="S334" s="383" t="str">
        <f>'7ª'!$M9</f>
        <v>-</v>
      </c>
      <c r="T334" s="383" t="str">
        <f>'7ª'!$N9</f>
        <v>-</v>
      </c>
      <c r="U334" s="383" t="str">
        <f>'7ª'!$O9</f>
        <v>-</v>
      </c>
      <c r="V334" s="383" t="str">
        <f>'7ª'!$P9</f>
        <v>-</v>
      </c>
      <c r="W334" s="383" t="str">
        <f>'7ª'!$Q9</f>
        <v>-</v>
      </c>
      <c r="X334" s="383" t="str">
        <f>'7ª'!$R9</f>
        <v>-</v>
      </c>
      <c r="Y334" s="383" t="str">
        <f>'7ª'!$S9</f>
        <v>-</v>
      </c>
      <c r="Z334" s="384">
        <f>'7ª'!$T9</f>
        <v>0</v>
      </c>
      <c r="AA334" s="384">
        <f>'7ª'!$U9</f>
        <v>0</v>
      </c>
      <c r="AB334" s="385" t="s">
        <v>327</v>
      </c>
      <c r="AC334" s="385"/>
      <c r="AD334" s="435" t="s">
        <v>466</v>
      </c>
    </row>
    <row r="335" spans="1:30" ht="15.75" x14ac:dyDescent="0.25">
      <c r="A335" s="416" t="str">
        <f>RIGHT('[1]7ª'!$A$5:$D$5,12)</f>
        <v>7ª SÉRIE E.F</v>
      </c>
      <c r="B335" s="451">
        <v>4</v>
      </c>
      <c r="C335" s="248" t="e">
        <f>'7ª'!#REF!</f>
        <v>#REF!</v>
      </c>
      <c r="D335" s="362" t="e">
        <f>'7ª'!#REF!</f>
        <v>#REF!</v>
      </c>
      <c r="E335" s="249" t="e">
        <f>'7ª'!#REF!</f>
        <v>#REF!</v>
      </c>
      <c r="F335" s="249" t="e">
        <f>'7ª'!#REF!</f>
        <v>#REF!</v>
      </c>
      <c r="G335" s="250" t="e">
        <f>'7ª'!#REF!</f>
        <v>#REF!</v>
      </c>
      <c r="H335" s="362" t="e">
        <f>'7ª'!#REF!</f>
        <v>#REF!</v>
      </c>
      <c r="I335" s="364" t="e">
        <f>'7ª'!#REF!</f>
        <v>#REF!</v>
      </c>
      <c r="J335" s="362"/>
      <c r="K335" s="362" t="e">
        <f>'7ª'!#REF!</f>
        <v>#REF!</v>
      </c>
      <c r="L335" s="250" t="e">
        <f>'7ª'!#REF!</f>
        <v>#REF!</v>
      </c>
      <c r="M335" s="362"/>
      <c r="N335" s="252" t="e">
        <f>'7ª'!#REF!</f>
        <v>#REF!</v>
      </c>
      <c r="O335" s="362"/>
      <c r="P335" s="253" t="s">
        <v>110</v>
      </c>
      <c r="Q335" s="415" t="s">
        <v>250</v>
      </c>
      <c r="R335" s="383" t="e">
        <f>'7ª'!#REF!</f>
        <v>#REF!</v>
      </c>
      <c r="S335" s="383" t="e">
        <f>'7ª'!#REF!</f>
        <v>#REF!</v>
      </c>
      <c r="T335" s="383" t="e">
        <f>'7ª'!#REF!</f>
        <v>#REF!</v>
      </c>
      <c r="U335" s="383" t="e">
        <f>'7ª'!#REF!</f>
        <v>#REF!</v>
      </c>
      <c r="V335" s="383" t="e">
        <f>'7ª'!#REF!</f>
        <v>#REF!</v>
      </c>
      <c r="W335" s="383" t="e">
        <f>'7ª'!#REF!</f>
        <v>#REF!</v>
      </c>
      <c r="X335" s="383" t="e">
        <f>'7ª'!#REF!</f>
        <v>#REF!</v>
      </c>
      <c r="Y335" s="383" t="e">
        <f>'7ª'!#REF!</f>
        <v>#REF!</v>
      </c>
      <c r="Z335" s="384" t="e">
        <f>'7ª'!#REF!</f>
        <v>#REF!</v>
      </c>
      <c r="AA335" s="384" t="e">
        <f>'7ª'!#REF!</f>
        <v>#REF!</v>
      </c>
      <c r="AB335" s="385" t="s">
        <v>327</v>
      </c>
      <c r="AC335" s="385"/>
      <c r="AD335" s="435" t="s">
        <v>466</v>
      </c>
    </row>
    <row r="336" spans="1:30" ht="15.75" x14ac:dyDescent="0.25">
      <c r="A336" s="416" t="str">
        <f>RIGHT('[1]7ª'!$A$5:$D$5,12)</f>
        <v>7ª SÉRIE E.F</v>
      </c>
      <c r="B336" s="451">
        <v>5</v>
      </c>
      <c r="C336" s="248">
        <f>'7ª'!$B10</f>
        <v>18768</v>
      </c>
      <c r="D336" s="362" t="str">
        <f>'7ª'!$C10</f>
        <v>IRILENE MARIA DE MELO</v>
      </c>
      <c r="E336" s="249" t="str">
        <f>'7ª'!$D10</f>
        <v>F</v>
      </c>
      <c r="F336" s="249" t="str">
        <f>'7ª'!$E10</f>
        <v>MA</v>
      </c>
      <c r="G336" s="250">
        <f>'7ª'!$F10</f>
        <v>19771</v>
      </c>
      <c r="H336" s="362">
        <f>'7ª'!$G10</f>
        <v>1257974622</v>
      </c>
      <c r="I336" s="364" t="str">
        <f>'7ª'!$H10</f>
        <v>66914804-0</v>
      </c>
      <c r="J336" s="362"/>
      <c r="K336" s="362">
        <f>'7ª'!$I10</f>
        <v>0</v>
      </c>
      <c r="L336" s="250" t="str">
        <f ca="1">'7ª'!$J10</f>
        <v>DISP.IDADE</v>
      </c>
      <c r="M336" s="362"/>
      <c r="N336" s="252">
        <f ca="1">'7ª'!$K10</f>
        <v>71</v>
      </c>
      <c r="O336" s="362"/>
      <c r="P336" s="253" t="s">
        <v>110</v>
      </c>
      <c r="Q336" s="415" t="s">
        <v>250</v>
      </c>
      <c r="R336" s="383" t="str">
        <f>'7ª'!$L10</f>
        <v>Não</v>
      </c>
      <c r="S336" s="383" t="str">
        <f>'7ª'!$M10</f>
        <v>-</v>
      </c>
      <c r="T336" s="383" t="str">
        <f>'7ª'!$N10</f>
        <v>-</v>
      </c>
      <c r="U336" s="383" t="str">
        <f>'7ª'!$O10</f>
        <v>-</v>
      </c>
      <c r="V336" s="383" t="str">
        <f>'7ª'!$P10</f>
        <v>-</v>
      </c>
      <c r="W336" s="383" t="str">
        <f>'7ª'!$Q10</f>
        <v>-</v>
      </c>
      <c r="X336" s="383" t="str">
        <f>'7ª'!$R10</f>
        <v>-</v>
      </c>
      <c r="Y336" s="383" t="str">
        <f>'7ª'!$S10</f>
        <v>-</v>
      </c>
      <c r="Z336" s="384">
        <f>'7ª'!$T10</f>
        <v>0</v>
      </c>
      <c r="AA336" s="384">
        <f>'7ª'!$U10</f>
        <v>0</v>
      </c>
      <c r="AB336" s="385" t="s">
        <v>327</v>
      </c>
      <c r="AC336" s="385"/>
      <c r="AD336" s="435" t="s">
        <v>466</v>
      </c>
    </row>
    <row r="337" spans="1:30" ht="15.75" x14ac:dyDescent="0.25">
      <c r="A337" s="416" t="str">
        <f>RIGHT('[1]7ª'!$A$5:$D$5,12)</f>
        <v>7ª SÉRIE E.F</v>
      </c>
      <c r="B337" s="451">
        <v>6</v>
      </c>
      <c r="C337" s="248">
        <f>'7ª'!$B11</f>
        <v>17689</v>
      </c>
      <c r="D337" s="362" t="str">
        <f>'7ª'!$C11</f>
        <v>LUIS PAULO APARECIDO ALVES SOUZA</v>
      </c>
      <c r="E337" s="249" t="str">
        <f>'7ª'!$D11</f>
        <v>M</v>
      </c>
      <c r="F337" s="249" t="str">
        <f>'7ª'!$E11</f>
        <v>MA</v>
      </c>
      <c r="G337" s="250">
        <f>'7ª'!$F11</f>
        <v>38487</v>
      </c>
      <c r="H337" s="362">
        <f>'7ª'!$G11</f>
        <v>1084133830</v>
      </c>
      <c r="I337" s="364">
        <f>'7ª'!$H11</f>
        <v>0</v>
      </c>
      <c r="J337" s="362"/>
      <c r="K337" s="362">
        <f>'7ª'!$I11</f>
        <v>0</v>
      </c>
      <c r="L337" s="250" t="str">
        <f>'7ª'!$J11</f>
        <v>DISP. TRABALHO</v>
      </c>
      <c r="M337" s="362"/>
      <c r="N337" s="252">
        <f ca="1">'7ª'!$K11</f>
        <v>20</v>
      </c>
      <c r="O337" s="362"/>
      <c r="P337" s="253" t="s">
        <v>110</v>
      </c>
      <c r="Q337" s="415" t="s">
        <v>250</v>
      </c>
      <c r="R337" s="383" t="str">
        <f>'7ª'!$L11</f>
        <v>Não</v>
      </c>
      <c r="S337" s="383" t="str">
        <f>'7ª'!$M11</f>
        <v>-</v>
      </c>
      <c r="T337" s="383" t="str">
        <f>'7ª'!$N11</f>
        <v>-</v>
      </c>
      <c r="U337" s="383" t="str">
        <f>'7ª'!$O11</f>
        <v>-</v>
      </c>
      <c r="V337" s="383" t="str">
        <f>'7ª'!$P11</f>
        <v>-</v>
      </c>
      <c r="W337" s="383" t="str">
        <f>'7ª'!$Q11</f>
        <v>-</v>
      </c>
      <c r="X337" s="383" t="str">
        <f>'7ª'!$R11</f>
        <v>-</v>
      </c>
      <c r="Y337" s="383" t="str">
        <f>'7ª'!$S11</f>
        <v>-</v>
      </c>
      <c r="Z337" s="384">
        <f>'7ª'!$T11</f>
        <v>0</v>
      </c>
      <c r="AA337" s="384">
        <f>'7ª'!$U11</f>
        <v>0</v>
      </c>
      <c r="AB337" s="385" t="s">
        <v>327</v>
      </c>
      <c r="AC337" s="385"/>
      <c r="AD337" s="435" t="s">
        <v>466</v>
      </c>
    </row>
    <row r="338" spans="1:30" ht="15.75" x14ac:dyDescent="0.25">
      <c r="A338" s="416" t="str">
        <f>RIGHT('[1]7ª'!$A$5:$D$5,12)</f>
        <v>7ª SÉRIE E.F</v>
      </c>
      <c r="B338" s="451">
        <v>7</v>
      </c>
      <c r="C338" s="248">
        <f>'7ª'!$B12</f>
        <v>17188</v>
      </c>
      <c r="D338" s="362" t="str">
        <f>'7ª'!$C12</f>
        <v>RAFAEL ALVARES MARTINS</v>
      </c>
      <c r="E338" s="249" t="str">
        <f>'7ª'!$D12</f>
        <v>M</v>
      </c>
      <c r="F338" s="249" t="str">
        <f>'7ª'!$E12</f>
        <v>MA</v>
      </c>
      <c r="G338" s="250">
        <f>'7ª'!$F12</f>
        <v>39857</v>
      </c>
      <c r="H338" s="362">
        <f>'7ª'!$G12</f>
        <v>1119728599</v>
      </c>
      <c r="I338" s="364">
        <f>'7ª'!$H12</f>
        <v>353987025</v>
      </c>
      <c r="J338" s="362"/>
      <c r="K338" s="362">
        <f>'7ª'!$I12</f>
        <v>0</v>
      </c>
      <c r="L338" s="250" t="str">
        <f ca="1">'7ª'!$J12</f>
        <v/>
      </c>
      <c r="M338" s="362"/>
      <c r="N338" s="252">
        <f ca="1">'7ª'!$K12</f>
        <v>16</v>
      </c>
      <c r="O338" s="362"/>
      <c r="P338" s="253" t="s">
        <v>110</v>
      </c>
      <c r="Q338" s="415" t="s">
        <v>250</v>
      </c>
      <c r="R338" s="383" t="str">
        <f>'7ª'!$L12</f>
        <v>Não</v>
      </c>
      <c r="S338" s="383" t="str">
        <f>'7ª'!$M12</f>
        <v>-</v>
      </c>
      <c r="T338" s="383" t="str">
        <f>'7ª'!$N12</f>
        <v>-</v>
      </c>
      <c r="U338" s="383" t="str">
        <f>'7ª'!$O12</f>
        <v>-</v>
      </c>
      <c r="V338" s="383" t="str">
        <f>'7ª'!$P12</f>
        <v>-</v>
      </c>
      <c r="W338" s="383" t="str">
        <f>'7ª'!$Q12</f>
        <v>-</v>
      </c>
      <c r="X338" s="383" t="str">
        <f>'7ª'!$R12</f>
        <v>-</v>
      </c>
      <c r="Y338" s="383" t="str">
        <f>'7ª'!$S12</f>
        <v>-</v>
      </c>
      <c r="Z338" s="384">
        <f>'7ª'!$T12</f>
        <v>0</v>
      </c>
      <c r="AA338" s="384">
        <f>'7ª'!$U12</f>
        <v>0</v>
      </c>
      <c r="AB338" s="385" t="s">
        <v>327</v>
      </c>
      <c r="AC338" s="385"/>
      <c r="AD338" s="435" t="s">
        <v>466</v>
      </c>
    </row>
    <row r="339" spans="1:30" ht="15.75" x14ac:dyDescent="0.25">
      <c r="A339" s="416" t="str">
        <f>RIGHT('[1]7ª'!$A$5:$D$5,12)</f>
        <v>7ª SÉRIE E.F</v>
      </c>
      <c r="B339" s="451">
        <v>8</v>
      </c>
      <c r="C339" s="248">
        <f>'7ª'!$B13</f>
        <v>18708</v>
      </c>
      <c r="D339" s="362" t="str">
        <f>'7ª'!$C13</f>
        <v>KAMILLY VICTORIA MALTEZ DE OLIVEIRA</v>
      </c>
      <c r="E339" s="249" t="str">
        <f>'7ª'!$D13</f>
        <v>F</v>
      </c>
      <c r="F339" s="249" t="str">
        <f>'7ª'!$E13</f>
        <v>MA</v>
      </c>
      <c r="G339" s="250">
        <f>'7ª'!$F13</f>
        <v>39981</v>
      </c>
      <c r="H339" s="362" t="str">
        <f>'7ª'!$G13</f>
        <v>112506900-X</v>
      </c>
      <c r="I339" s="364" t="str">
        <f>'7ª'!$H13</f>
        <v>63746298-1</v>
      </c>
      <c r="J339" s="362"/>
      <c r="K339" s="362" t="str">
        <f>'7ª'!$I13</f>
        <v>TR 13/08</v>
      </c>
      <c r="L339" s="250" t="str">
        <f ca="1">'7ª'!$J13</f>
        <v/>
      </c>
      <c r="M339" s="362"/>
      <c r="N339" s="252">
        <f ca="1">'7ª'!$K13</f>
        <v>16</v>
      </c>
      <c r="O339" s="362"/>
      <c r="P339" s="253" t="s">
        <v>110</v>
      </c>
      <c r="Q339" s="415" t="s">
        <v>250</v>
      </c>
      <c r="R339" s="383" t="str">
        <f>'7ª'!$L13</f>
        <v>Não</v>
      </c>
      <c r="S339" s="383" t="str">
        <f>'7ª'!$M13</f>
        <v>-</v>
      </c>
      <c r="T339" s="383" t="str">
        <f>'7ª'!$N13</f>
        <v>-</v>
      </c>
      <c r="U339" s="383" t="str">
        <f>'7ª'!$O13</f>
        <v>-</v>
      </c>
      <c r="V339" s="383" t="str">
        <f>'7ª'!$P13</f>
        <v>-</v>
      </c>
      <c r="W339" s="383" t="str">
        <f>'7ª'!$Q13</f>
        <v>-</v>
      </c>
      <c r="X339" s="383" t="str">
        <f>'7ª'!$R13</f>
        <v>-</v>
      </c>
      <c r="Y339" s="383" t="str">
        <f>'7ª'!$S13</f>
        <v>-</v>
      </c>
      <c r="Z339" s="384">
        <f>'7ª'!$T13</f>
        <v>0</v>
      </c>
      <c r="AA339" s="384">
        <f>'7ª'!$U13</f>
        <v>0</v>
      </c>
      <c r="AB339" s="385" t="s">
        <v>327</v>
      </c>
      <c r="AC339" s="385"/>
      <c r="AD339" s="435" t="s">
        <v>466</v>
      </c>
    </row>
    <row r="340" spans="1:30" ht="15.75" x14ac:dyDescent="0.25">
      <c r="A340" s="416" t="str">
        <f>RIGHT('[1]7ª'!$A$5:$D$5,12)</f>
        <v>7ª SÉRIE E.F</v>
      </c>
      <c r="B340" s="451">
        <v>9</v>
      </c>
      <c r="C340" s="248">
        <f>'7ª'!$B14</f>
        <v>18953</v>
      </c>
      <c r="D340" s="362" t="str">
        <f>'7ª'!$C14</f>
        <v>LIVIA NOVAIS DA ROCHA</v>
      </c>
      <c r="E340" s="249" t="str">
        <f>'7ª'!$D14</f>
        <v>F</v>
      </c>
      <c r="F340" s="249" t="str">
        <f>'7ª'!$E14</f>
        <v>MA</v>
      </c>
      <c r="G340" s="250">
        <f>'7ª'!$F14</f>
        <v>39647</v>
      </c>
      <c r="H340" s="362">
        <f>'7ª'!$G14</f>
        <v>0</v>
      </c>
      <c r="I340" s="364">
        <f>'7ª'!$H14</f>
        <v>0</v>
      </c>
      <c r="J340" s="362"/>
      <c r="K340" s="362" t="str">
        <f>'7ª'!$I14</f>
        <v>TR 19/08</v>
      </c>
      <c r="L340" s="250" t="str">
        <f ca="1">'7ª'!$J14</f>
        <v/>
      </c>
      <c r="M340" s="362"/>
      <c r="N340" s="252">
        <f ca="1">'7ª'!$K14</f>
        <v>17</v>
      </c>
      <c r="O340" s="362"/>
      <c r="P340" s="253" t="s">
        <v>110</v>
      </c>
      <c r="Q340" s="415" t="s">
        <v>250</v>
      </c>
      <c r="R340" s="383" t="str">
        <f>'7ª'!$L14</f>
        <v>Não</v>
      </c>
      <c r="S340" s="383" t="str">
        <f>'7ª'!$M14</f>
        <v>-</v>
      </c>
      <c r="T340" s="383" t="str">
        <f>'7ª'!$N14</f>
        <v>-</v>
      </c>
      <c r="U340" s="383" t="str">
        <f>'7ª'!$O14</f>
        <v>-</v>
      </c>
      <c r="V340" s="383" t="str">
        <f>'7ª'!$P14</f>
        <v>-</v>
      </c>
      <c r="W340" s="383" t="str">
        <f>'7ª'!$Q14</f>
        <v>-</v>
      </c>
      <c r="X340" s="383" t="str">
        <f>'7ª'!$R14</f>
        <v>-</v>
      </c>
      <c r="Y340" s="383" t="str">
        <f>'7ª'!$S14</f>
        <v>-</v>
      </c>
      <c r="Z340" s="384">
        <f>'7ª'!$T14</f>
        <v>0</v>
      </c>
      <c r="AA340" s="384">
        <f>'7ª'!$U14</f>
        <v>0</v>
      </c>
      <c r="AB340" s="385" t="s">
        <v>327</v>
      </c>
      <c r="AC340" s="385"/>
      <c r="AD340" s="435" t="s">
        <v>466</v>
      </c>
    </row>
    <row r="341" spans="1:30" ht="15.75" x14ac:dyDescent="0.25">
      <c r="A341" s="416" t="str">
        <f>RIGHT('[1]7ª'!$A$5:$D$5,12)</f>
        <v>7ª SÉRIE E.F</v>
      </c>
      <c r="B341" s="451">
        <v>10</v>
      </c>
      <c r="C341" s="248" t="e">
        <f>'7ª'!#REF!</f>
        <v>#REF!</v>
      </c>
      <c r="D341" s="362" t="e">
        <f>'7ª'!#REF!</f>
        <v>#REF!</v>
      </c>
      <c r="E341" s="249" t="e">
        <f>'7ª'!#REF!</f>
        <v>#REF!</v>
      </c>
      <c r="F341" s="249" t="e">
        <f>'7ª'!#REF!</f>
        <v>#REF!</v>
      </c>
      <c r="G341" s="250" t="e">
        <f>'7ª'!#REF!</f>
        <v>#REF!</v>
      </c>
      <c r="H341" s="362" t="e">
        <f>'7ª'!#REF!</f>
        <v>#REF!</v>
      </c>
      <c r="I341" s="364" t="e">
        <f>'7ª'!#REF!</f>
        <v>#REF!</v>
      </c>
      <c r="J341" s="362"/>
      <c r="K341" s="362" t="e">
        <f>'7ª'!#REF!</f>
        <v>#REF!</v>
      </c>
      <c r="L341" s="250" t="e">
        <f>'7ª'!#REF!</f>
        <v>#REF!</v>
      </c>
      <c r="M341" s="362"/>
      <c r="N341" s="252" t="e">
        <f>'7ª'!#REF!</f>
        <v>#REF!</v>
      </c>
      <c r="O341" s="362"/>
      <c r="P341" s="253" t="s">
        <v>110</v>
      </c>
      <c r="Q341" s="415" t="s">
        <v>250</v>
      </c>
      <c r="R341" s="383" t="e">
        <f>'7ª'!#REF!</f>
        <v>#REF!</v>
      </c>
      <c r="S341" s="383" t="e">
        <f>'7ª'!#REF!</f>
        <v>#REF!</v>
      </c>
      <c r="T341" s="383" t="e">
        <f>'7ª'!#REF!</f>
        <v>#REF!</v>
      </c>
      <c r="U341" s="383" t="e">
        <f>'7ª'!#REF!</f>
        <v>#REF!</v>
      </c>
      <c r="V341" s="383" t="e">
        <f>'7ª'!#REF!</f>
        <v>#REF!</v>
      </c>
      <c r="W341" s="383" t="e">
        <f>'7ª'!#REF!</f>
        <v>#REF!</v>
      </c>
      <c r="X341" s="383" t="e">
        <f>'7ª'!#REF!</f>
        <v>#REF!</v>
      </c>
      <c r="Y341" s="383" t="e">
        <f>'7ª'!#REF!</f>
        <v>#REF!</v>
      </c>
      <c r="Z341" s="384" t="e">
        <f>'7ª'!#REF!</f>
        <v>#REF!</v>
      </c>
      <c r="AA341" s="384" t="e">
        <f>'7ª'!#REF!</f>
        <v>#REF!</v>
      </c>
      <c r="AB341" s="385" t="s">
        <v>327</v>
      </c>
      <c r="AC341" s="385"/>
      <c r="AD341" s="435" t="s">
        <v>466</v>
      </c>
    </row>
    <row r="342" spans="1:30" ht="15.75" x14ac:dyDescent="0.25">
      <c r="A342" s="416" t="str">
        <f>RIGHT('[1]7ª'!$A$5:$D$5,12)</f>
        <v>7ª SÉRIE E.F</v>
      </c>
      <c r="B342" s="451">
        <v>11</v>
      </c>
      <c r="C342" s="248" t="e">
        <f>'7ª'!#REF!</f>
        <v>#REF!</v>
      </c>
      <c r="D342" s="362" t="e">
        <f>'7ª'!#REF!</f>
        <v>#REF!</v>
      </c>
      <c r="E342" s="249" t="e">
        <f>'7ª'!#REF!</f>
        <v>#REF!</v>
      </c>
      <c r="F342" s="249" t="e">
        <f>'7ª'!#REF!</f>
        <v>#REF!</v>
      </c>
      <c r="G342" s="250" t="e">
        <f>'7ª'!#REF!</f>
        <v>#REF!</v>
      </c>
      <c r="H342" s="362" t="e">
        <f>'7ª'!#REF!</f>
        <v>#REF!</v>
      </c>
      <c r="I342" s="364" t="e">
        <f>'7ª'!#REF!</f>
        <v>#REF!</v>
      </c>
      <c r="J342" s="362"/>
      <c r="K342" s="362" t="e">
        <f>'7ª'!#REF!</f>
        <v>#REF!</v>
      </c>
      <c r="L342" s="250" t="e">
        <f>'7ª'!#REF!</f>
        <v>#REF!</v>
      </c>
      <c r="M342" s="362"/>
      <c r="N342" s="252">
        <f ca="1">'7ª'!$K15</f>
        <v>17</v>
      </c>
      <c r="O342" s="362"/>
      <c r="P342" s="253" t="s">
        <v>110</v>
      </c>
      <c r="Q342" s="415" t="s">
        <v>250</v>
      </c>
      <c r="R342" s="383" t="str">
        <f>'7ª'!$L15</f>
        <v>Não</v>
      </c>
      <c r="S342" s="383" t="str">
        <f>'7ª'!$M15</f>
        <v>-</v>
      </c>
      <c r="T342" s="383" t="str">
        <f>'7ª'!$N15</f>
        <v>-</v>
      </c>
      <c r="U342" s="383" t="str">
        <f>'7ª'!$O15</f>
        <v>-</v>
      </c>
      <c r="V342" s="383" t="str">
        <f>'7ª'!$P15</f>
        <v>-</v>
      </c>
      <c r="W342" s="383" t="str">
        <f>'7ª'!$Q15</f>
        <v>-</v>
      </c>
      <c r="X342" s="383" t="str">
        <f>'7ª'!$R15</f>
        <v>-</v>
      </c>
      <c r="Y342" s="383" t="str">
        <f>'7ª'!$S15</f>
        <v>-</v>
      </c>
      <c r="Z342" s="384">
        <f>'7ª'!$T15</f>
        <v>0</v>
      </c>
      <c r="AA342" s="384">
        <f>'7ª'!$U15</f>
        <v>0</v>
      </c>
      <c r="AB342" s="385" t="s">
        <v>327</v>
      </c>
      <c r="AC342" s="385"/>
      <c r="AD342" s="435" t="s">
        <v>466</v>
      </c>
    </row>
    <row r="343" spans="1:30" ht="15.75" x14ac:dyDescent="0.25">
      <c r="A343" s="416" t="str">
        <f>RIGHT('[1]7ª'!$A$5:$D$5,12)</f>
        <v>7ª SÉRIE E.F</v>
      </c>
      <c r="B343" s="451">
        <v>12</v>
      </c>
      <c r="C343" s="248">
        <f>'7ª'!$B15</f>
        <v>18954</v>
      </c>
      <c r="D343" s="362" t="str">
        <f>'7ª'!$C15</f>
        <v>LIVIA SANTOS MIGUEL</v>
      </c>
      <c r="E343" s="249" t="str">
        <f>'7ª'!$D15</f>
        <v>F</v>
      </c>
      <c r="F343" s="249" t="str">
        <f>'7ª'!$E15</f>
        <v>MA</v>
      </c>
      <c r="G343" s="250" t="str">
        <f>'7ª'!$G15</f>
        <v>112334811X</v>
      </c>
      <c r="H343" s="362" t="e">
        <f>'7ª'!#REF!</f>
        <v>#REF!</v>
      </c>
      <c r="I343" s="364">
        <f>'7ª'!$H15</f>
        <v>0</v>
      </c>
      <c r="J343" s="362"/>
      <c r="K343" s="362" t="str">
        <f>'7ª'!$I15</f>
        <v>TR 20/08</v>
      </c>
      <c r="L343" s="250" t="str">
        <f ca="1">'7ª'!$J15</f>
        <v/>
      </c>
      <c r="M343" s="362"/>
      <c r="N343" s="252">
        <f ca="1">'7ª'!$K16</f>
        <v>15</v>
      </c>
      <c r="O343" s="362"/>
      <c r="P343" s="253" t="s">
        <v>110</v>
      </c>
      <c r="Q343" s="415" t="s">
        <v>250</v>
      </c>
      <c r="R343" s="383" t="str">
        <f>'7ª'!$L16</f>
        <v>Não</v>
      </c>
      <c r="S343" s="383" t="str">
        <f>'7ª'!$M16</f>
        <v>-</v>
      </c>
      <c r="T343" s="383" t="str">
        <f>'7ª'!$N16</f>
        <v>-</v>
      </c>
      <c r="U343" s="383" t="str">
        <f>'7ª'!$O16</f>
        <v>-</v>
      </c>
      <c r="V343" s="383" t="str">
        <f>'7ª'!$P16</f>
        <v>-</v>
      </c>
      <c r="W343" s="383" t="str">
        <f>'7ª'!$Q16</f>
        <v>-</v>
      </c>
      <c r="X343" s="383" t="str">
        <f>'7ª'!$R16</f>
        <v>-</v>
      </c>
      <c r="Y343" s="383" t="str">
        <f>'7ª'!$S16</f>
        <v>-</v>
      </c>
      <c r="Z343" s="384">
        <f>'7ª'!$T16</f>
        <v>0</v>
      </c>
      <c r="AA343" s="384">
        <f>'7ª'!$U16</f>
        <v>0</v>
      </c>
      <c r="AB343" s="385" t="s">
        <v>327</v>
      </c>
      <c r="AC343" s="385"/>
      <c r="AD343" s="435" t="s">
        <v>466</v>
      </c>
    </row>
    <row r="344" spans="1:30" ht="15.75" x14ac:dyDescent="0.25">
      <c r="A344" s="416" t="str">
        <f>RIGHT('[1]7ª'!$A$5:$D$5,12)</f>
        <v>7ª SÉRIE E.F</v>
      </c>
      <c r="B344" s="451">
        <v>13</v>
      </c>
      <c r="C344" s="248">
        <f>'7ª'!$B17</f>
        <v>13490</v>
      </c>
      <c r="D344" s="362" t="str">
        <f>'7ª'!$C17</f>
        <v>STEVIE SIGAL GONÇALVES MONTEIRO</v>
      </c>
      <c r="E344" s="249" t="str">
        <f>'7ª'!$D17</f>
        <v>M</v>
      </c>
      <c r="F344" s="249" t="str">
        <f>'7ª'!$E17</f>
        <v>MA</v>
      </c>
      <c r="G344" s="250">
        <f>'7ª'!$F17</f>
        <v>35322</v>
      </c>
      <c r="H344" s="362" t="str">
        <f>'7ª'!$G17</f>
        <v>41298342-4</v>
      </c>
      <c r="I344" s="364" t="str">
        <f>'7ª'!$H17</f>
        <v>41298342-4</v>
      </c>
      <c r="J344" s="362"/>
      <c r="K344" s="362" t="str">
        <f>'7ª'!$I17</f>
        <v xml:space="preserve"> INCLUSÃO TR 21/08</v>
      </c>
      <c r="L344" s="250" t="str">
        <f ca="1">'7ª'!$J17</f>
        <v/>
      </c>
      <c r="M344" s="362"/>
      <c r="N344" s="252">
        <f ca="1">'7ª'!$K17</f>
        <v>29</v>
      </c>
      <c r="O344" s="362"/>
      <c r="P344" s="253" t="s">
        <v>110</v>
      </c>
      <c r="Q344" s="415" t="s">
        <v>250</v>
      </c>
      <c r="R344" s="383" t="str">
        <f>'7ª'!$L17</f>
        <v>Não</v>
      </c>
      <c r="S344" s="383" t="str">
        <f>'7ª'!$M17</f>
        <v>-</v>
      </c>
      <c r="T344" s="383" t="str">
        <f>'7ª'!$N17</f>
        <v>-</v>
      </c>
      <c r="U344" s="383" t="str">
        <f>'7ª'!$O17</f>
        <v>-</v>
      </c>
      <c r="V344" s="383" t="str">
        <f>'7ª'!$P17</f>
        <v>-</v>
      </c>
      <c r="W344" s="383" t="str">
        <f>'7ª'!$Q17</f>
        <v>-</v>
      </c>
      <c r="X344" s="383" t="str">
        <f>'7ª'!$R17</f>
        <v>-</v>
      </c>
      <c r="Y344" s="383" t="str">
        <f>'7ª'!$S17</f>
        <v>-</v>
      </c>
      <c r="Z344" s="384">
        <f>'7ª'!$T17</f>
        <v>0</v>
      </c>
      <c r="AA344" s="384">
        <f>'7ª'!$U17</f>
        <v>0</v>
      </c>
      <c r="AB344" s="385" t="s">
        <v>327</v>
      </c>
      <c r="AC344" s="385"/>
      <c r="AD344" s="435" t="s">
        <v>466</v>
      </c>
    </row>
    <row r="345" spans="1:30" ht="15.75" x14ac:dyDescent="0.25">
      <c r="A345" s="416" t="str">
        <f>RIGHT('[1]7ª'!$A$5:$D$5,12)</f>
        <v>7ª SÉRIE E.F</v>
      </c>
      <c r="B345" s="451">
        <v>14</v>
      </c>
      <c r="C345" s="248">
        <f>'7ª'!$B18</f>
        <v>18960</v>
      </c>
      <c r="D345" s="362" t="str">
        <f>'7ª'!$C18</f>
        <v>WASHINGTON ALVES MARQUES</v>
      </c>
      <c r="E345" s="249" t="str">
        <f>'7ª'!$D18</f>
        <v>M</v>
      </c>
      <c r="F345" s="249" t="str">
        <f>'7ª'!$E18</f>
        <v>MA</v>
      </c>
      <c r="G345" s="250">
        <f>'7ª'!$F18</f>
        <v>35506</v>
      </c>
      <c r="H345" s="362">
        <f>'7ª'!$G18</f>
        <v>0</v>
      </c>
      <c r="I345" s="364" t="str">
        <f>'7ª'!$H18</f>
        <v>49806518-2</v>
      </c>
      <c r="J345" s="362"/>
      <c r="K345" s="362" t="str">
        <f>'7ª'!$I18</f>
        <v>TR 21/08</v>
      </c>
      <c r="L345" s="250" t="str">
        <f ca="1">'7ª'!$J18</f>
        <v/>
      </c>
      <c r="M345" s="362"/>
      <c r="N345" s="252">
        <f ca="1">'7ª'!$K18</f>
        <v>28</v>
      </c>
      <c r="O345" s="362"/>
      <c r="P345" s="253" t="s">
        <v>110</v>
      </c>
      <c r="Q345" s="415" t="s">
        <v>250</v>
      </c>
      <c r="R345" s="383" t="str">
        <f>'7ª'!$L18</f>
        <v>Não</v>
      </c>
      <c r="S345" s="383" t="str">
        <f>'7ª'!$M18</f>
        <v>-</v>
      </c>
      <c r="T345" s="383" t="str">
        <f>'7ª'!$N18</f>
        <v>-</v>
      </c>
      <c r="U345" s="383" t="str">
        <f>'7ª'!$O18</f>
        <v>-</v>
      </c>
      <c r="V345" s="383" t="str">
        <f>'7ª'!$P18</f>
        <v>-</v>
      </c>
      <c r="W345" s="383" t="str">
        <f>'7ª'!$Q18</f>
        <v>-</v>
      </c>
      <c r="X345" s="383" t="str">
        <f>'7ª'!$R18</f>
        <v>-</v>
      </c>
      <c r="Y345" s="383" t="str">
        <f>'7ª'!$S18</f>
        <v>-</v>
      </c>
      <c r="Z345" s="384">
        <f>'7ª'!$T18</f>
        <v>0</v>
      </c>
      <c r="AA345" s="384">
        <f>'7ª'!$U18</f>
        <v>0</v>
      </c>
      <c r="AB345" s="385" t="s">
        <v>327</v>
      </c>
      <c r="AC345" s="385"/>
      <c r="AD345" s="435" t="s">
        <v>466</v>
      </c>
    </row>
    <row r="346" spans="1:30" ht="15.75" x14ac:dyDescent="0.25">
      <c r="A346" s="416" t="str">
        <f>RIGHT('[1]7ª'!$A$5:$D$5,12)</f>
        <v>7ª SÉRIE E.F</v>
      </c>
      <c r="B346" s="451">
        <v>15</v>
      </c>
      <c r="C346" s="248">
        <f>'7ª'!$B19</f>
        <v>18977</v>
      </c>
      <c r="D346" s="362" t="str">
        <f>'7ª'!$C19</f>
        <v>RYAN EDUARDO FERREIRA SILVA</v>
      </c>
      <c r="E346" s="249" t="str">
        <f>'7ª'!$D19</f>
        <v>M</v>
      </c>
      <c r="F346" s="249" t="str">
        <f>'7ª'!$E19</f>
        <v>MA</v>
      </c>
      <c r="G346" s="250">
        <f>'7ª'!$F19</f>
        <v>40067</v>
      </c>
      <c r="H346" s="362" t="str">
        <f>'7ª'!$G19</f>
        <v>110877963-3</v>
      </c>
      <c r="I346" s="364">
        <f>'7ª'!$H19</f>
        <v>0</v>
      </c>
      <c r="J346" s="362"/>
      <c r="K346" s="362" t="str">
        <f>'7ª'!$I19</f>
        <v>TR 09/09</v>
      </c>
      <c r="L346" s="250" t="str">
        <f ca="1">'7ª'!$J19</f>
        <v/>
      </c>
      <c r="M346" s="362"/>
      <c r="N346" s="252">
        <f ca="1">'7ª'!$K19</f>
        <v>16</v>
      </c>
      <c r="O346" s="362"/>
      <c r="P346" s="253" t="s">
        <v>110</v>
      </c>
      <c r="Q346" s="415" t="s">
        <v>250</v>
      </c>
      <c r="R346" s="383" t="str">
        <f>'7ª'!$L19</f>
        <v>Não</v>
      </c>
      <c r="S346" s="383" t="str">
        <f>'7ª'!$M19</f>
        <v>-</v>
      </c>
      <c r="T346" s="383" t="str">
        <f>'7ª'!$N19</f>
        <v>-</v>
      </c>
      <c r="U346" s="383" t="str">
        <f>'7ª'!$O19</f>
        <v>-</v>
      </c>
      <c r="V346" s="383" t="str">
        <f>'7ª'!$P19</f>
        <v>-</v>
      </c>
      <c r="W346" s="383" t="str">
        <f>'7ª'!$Q19</f>
        <v>-</v>
      </c>
      <c r="X346" s="383" t="str">
        <f>'7ª'!$R19</f>
        <v>-</v>
      </c>
      <c r="Y346" s="383" t="str">
        <f>'7ª'!$S19</f>
        <v>-</v>
      </c>
      <c r="Z346" s="384">
        <f>'7ª'!$T19</f>
        <v>0</v>
      </c>
      <c r="AA346" s="384">
        <f>'7ª'!$U19</f>
        <v>0</v>
      </c>
      <c r="AB346" s="385" t="s">
        <v>327</v>
      </c>
      <c r="AC346" s="385"/>
      <c r="AD346" s="435" t="s">
        <v>466</v>
      </c>
    </row>
    <row r="347" spans="1:30" ht="15.75" x14ac:dyDescent="0.25">
      <c r="A347" s="416" t="str">
        <f>RIGHT('[1]7ª'!$A$5:$D$5,12)</f>
        <v>7ª SÉRIE E.F</v>
      </c>
      <c r="B347" s="451">
        <v>16</v>
      </c>
      <c r="C347" s="248">
        <f>'7ª'!$B20</f>
        <v>0</v>
      </c>
      <c r="D347" s="362">
        <f>'7ª'!$C20</f>
        <v>0</v>
      </c>
      <c r="E347" s="249">
        <f>'7ª'!$D20</f>
        <v>0</v>
      </c>
      <c r="F347" s="249" t="str">
        <f>'7ª'!$E20</f>
        <v/>
      </c>
      <c r="G347" s="250">
        <f>'7ª'!$F20</f>
        <v>0</v>
      </c>
      <c r="H347" s="362">
        <f>'7ª'!$G20</f>
        <v>0</v>
      </c>
      <c r="I347" s="364">
        <f>'7ª'!$H20</f>
        <v>0</v>
      </c>
      <c r="J347" s="362"/>
      <c r="K347" s="362">
        <f>'7ª'!$I20</f>
        <v>0</v>
      </c>
      <c r="L347" s="250" t="str">
        <f ca="1">'7ª'!$J20</f>
        <v/>
      </c>
      <c r="M347" s="362"/>
      <c r="N347" s="252" t="str">
        <f ca="1">'7ª'!$K20</f>
        <v/>
      </c>
      <c r="O347" s="362"/>
      <c r="P347" s="253" t="s">
        <v>110</v>
      </c>
      <c r="Q347" s="415" t="s">
        <v>250</v>
      </c>
      <c r="R347" s="383" t="str">
        <f>'7ª'!$L20</f>
        <v>Não</v>
      </c>
      <c r="S347" s="383" t="str">
        <f>'7ª'!$M20</f>
        <v>-</v>
      </c>
      <c r="T347" s="383" t="str">
        <f>'7ª'!$N20</f>
        <v>-</v>
      </c>
      <c r="U347" s="383" t="str">
        <f>'7ª'!$O20</f>
        <v>-</v>
      </c>
      <c r="V347" s="383" t="str">
        <f>'7ª'!$P20</f>
        <v>-</v>
      </c>
      <c r="W347" s="383" t="str">
        <f>'7ª'!$Q20</f>
        <v>-</v>
      </c>
      <c r="X347" s="383" t="str">
        <f>'7ª'!$R20</f>
        <v>-</v>
      </c>
      <c r="Y347" s="383" t="str">
        <f>'7ª'!$S20</f>
        <v>-</v>
      </c>
      <c r="Z347" s="384">
        <f>'7ª'!$T20</f>
        <v>0</v>
      </c>
      <c r="AA347" s="384">
        <f>'7ª'!$U20</f>
        <v>0</v>
      </c>
      <c r="AB347" s="385" t="s">
        <v>327</v>
      </c>
      <c r="AC347" s="385"/>
      <c r="AD347" s="435" t="s">
        <v>466</v>
      </c>
    </row>
    <row r="348" spans="1:30" ht="15.75" x14ac:dyDescent="0.25">
      <c r="A348" s="416" t="str">
        <f>RIGHT('[1]7ª'!$A$5:$D$5,12)</f>
        <v>7ª SÉRIE E.F</v>
      </c>
      <c r="B348" s="451">
        <v>17</v>
      </c>
      <c r="C348" s="248">
        <f>'7ª'!$B21</f>
        <v>0</v>
      </c>
      <c r="D348" s="362">
        <f>'7ª'!$C21</f>
        <v>0</v>
      </c>
      <c r="E348" s="249">
        <f>'7ª'!$D21</f>
        <v>0</v>
      </c>
      <c r="F348" s="249" t="str">
        <f>'7ª'!$E21</f>
        <v/>
      </c>
      <c r="G348" s="250">
        <f>'7ª'!$F21</f>
        <v>0</v>
      </c>
      <c r="H348" s="362">
        <f>'7ª'!$G21</f>
        <v>0</v>
      </c>
      <c r="I348" s="364">
        <f>'7ª'!$H21</f>
        <v>0</v>
      </c>
      <c r="J348" s="362"/>
      <c r="K348" s="362">
        <f>'7ª'!$I21</f>
        <v>0</v>
      </c>
      <c r="L348" s="250" t="str">
        <f ca="1">'7ª'!$J21</f>
        <v/>
      </c>
      <c r="M348" s="362"/>
      <c r="N348" s="252" t="str">
        <f ca="1">'7ª'!$K21</f>
        <v/>
      </c>
      <c r="O348" s="362"/>
      <c r="P348" s="253" t="s">
        <v>110</v>
      </c>
      <c r="Q348" s="415" t="s">
        <v>250</v>
      </c>
      <c r="R348" s="383" t="str">
        <f>'7ª'!$L21</f>
        <v>Não</v>
      </c>
      <c r="S348" s="383" t="str">
        <f>'7ª'!$M21</f>
        <v>-</v>
      </c>
      <c r="T348" s="383" t="str">
        <f>'7ª'!$N21</f>
        <v>-</v>
      </c>
      <c r="U348" s="383" t="str">
        <f>'7ª'!$O21</f>
        <v>-</v>
      </c>
      <c r="V348" s="383" t="str">
        <f>'7ª'!$P21</f>
        <v>-</v>
      </c>
      <c r="W348" s="383" t="str">
        <f>'7ª'!$Q21</f>
        <v>-</v>
      </c>
      <c r="X348" s="383" t="str">
        <f>'7ª'!$R21</f>
        <v>-</v>
      </c>
      <c r="Y348" s="383" t="str">
        <f>'7ª'!$S21</f>
        <v>-</v>
      </c>
      <c r="Z348" s="384">
        <f>'7ª'!$T21</f>
        <v>0</v>
      </c>
      <c r="AA348" s="384">
        <f>'7ª'!$U21</f>
        <v>0</v>
      </c>
      <c r="AB348" s="385" t="s">
        <v>327</v>
      </c>
      <c r="AC348" s="385"/>
      <c r="AD348" s="435" t="s">
        <v>466</v>
      </c>
    </row>
    <row r="349" spans="1:30" ht="15.75" x14ac:dyDescent="0.25">
      <c r="A349" s="416" t="str">
        <f>RIGHT('[1]7ª'!$A$5:$D$5,12)</f>
        <v>7ª SÉRIE E.F</v>
      </c>
      <c r="B349" s="451">
        <v>18</v>
      </c>
      <c r="C349" s="248">
        <f>'7ª'!$B22</f>
        <v>0</v>
      </c>
      <c r="D349" s="362">
        <f>'7ª'!$C22</f>
        <v>0</v>
      </c>
      <c r="E349" s="249">
        <f>'7ª'!$D22</f>
        <v>0</v>
      </c>
      <c r="F349" s="249" t="str">
        <f>'7ª'!$E22</f>
        <v/>
      </c>
      <c r="G349" s="250">
        <f>'7ª'!$F22</f>
        <v>0</v>
      </c>
      <c r="H349" s="362">
        <f>'7ª'!$G22</f>
        <v>0</v>
      </c>
      <c r="I349" s="364">
        <f>'7ª'!$H22</f>
        <v>0</v>
      </c>
      <c r="J349" s="362"/>
      <c r="K349" s="362">
        <f>'7ª'!$I22</f>
        <v>0</v>
      </c>
      <c r="L349" s="250" t="str">
        <f ca="1">'7ª'!$J22</f>
        <v/>
      </c>
      <c r="M349" s="362"/>
      <c r="N349" s="252" t="str">
        <f ca="1">'7ª'!$K22</f>
        <v/>
      </c>
      <c r="O349" s="362"/>
      <c r="P349" s="253" t="s">
        <v>110</v>
      </c>
      <c r="Q349" s="415" t="s">
        <v>250</v>
      </c>
      <c r="R349" s="383" t="str">
        <f>'7ª'!$L22</f>
        <v>Não</v>
      </c>
      <c r="S349" s="383" t="str">
        <f>'7ª'!$M22</f>
        <v>-</v>
      </c>
      <c r="T349" s="383" t="str">
        <f>'7ª'!$N22</f>
        <v>-</v>
      </c>
      <c r="U349" s="383" t="str">
        <f>'7ª'!$O22</f>
        <v>-</v>
      </c>
      <c r="V349" s="383" t="str">
        <f>'7ª'!$P22</f>
        <v>-</v>
      </c>
      <c r="W349" s="383" t="str">
        <f>'7ª'!$Q22</f>
        <v>-</v>
      </c>
      <c r="X349" s="383" t="str">
        <f>'7ª'!$R22</f>
        <v>-</v>
      </c>
      <c r="Y349" s="383" t="str">
        <f>'7ª'!$S22</f>
        <v>-</v>
      </c>
      <c r="Z349" s="384">
        <f>'7ª'!$T22</f>
        <v>0</v>
      </c>
      <c r="AA349" s="384">
        <f>'7ª'!$U22</f>
        <v>0</v>
      </c>
      <c r="AB349" s="385" t="s">
        <v>327</v>
      </c>
      <c r="AC349" s="385"/>
      <c r="AD349" s="435" t="s">
        <v>466</v>
      </c>
    </row>
    <row r="350" spans="1:30" ht="15.75" x14ac:dyDescent="0.25">
      <c r="A350" s="416" t="str">
        <f>RIGHT('[1]7ª'!$A$5:$D$5,12)</f>
        <v>7ª SÉRIE E.F</v>
      </c>
      <c r="B350" s="451">
        <v>19</v>
      </c>
      <c r="C350" s="248">
        <f>'7ª'!$B23</f>
        <v>0</v>
      </c>
      <c r="D350" s="362">
        <f>'7ª'!$C23</f>
        <v>0</v>
      </c>
      <c r="E350" s="249">
        <f>'7ª'!$D23</f>
        <v>0</v>
      </c>
      <c r="F350" s="249" t="str">
        <f>'7ª'!$E23</f>
        <v/>
      </c>
      <c r="G350" s="250">
        <f>'7ª'!$F23</f>
        <v>0</v>
      </c>
      <c r="H350" s="362">
        <f>'7ª'!$G23</f>
        <v>0</v>
      </c>
      <c r="I350" s="364">
        <f>'7ª'!$H23</f>
        <v>0</v>
      </c>
      <c r="J350" s="362"/>
      <c r="K350" s="362">
        <f>'7ª'!$I23</f>
        <v>0</v>
      </c>
      <c r="L350" s="250" t="str">
        <f ca="1">'7ª'!$J23</f>
        <v/>
      </c>
      <c r="M350" s="362"/>
      <c r="N350" s="252" t="str">
        <f ca="1">'7ª'!$K23</f>
        <v/>
      </c>
      <c r="O350" s="362"/>
      <c r="P350" s="253" t="s">
        <v>110</v>
      </c>
      <c r="Q350" s="415" t="s">
        <v>250</v>
      </c>
      <c r="R350" s="383" t="str">
        <f>'7ª'!$L23</f>
        <v>Não</v>
      </c>
      <c r="S350" s="383" t="str">
        <f>'7ª'!$M23</f>
        <v>-</v>
      </c>
      <c r="T350" s="383" t="str">
        <f>'7ª'!$N23</f>
        <v>-</v>
      </c>
      <c r="U350" s="383" t="str">
        <f>'7ª'!$O23</f>
        <v>-</v>
      </c>
      <c r="V350" s="383" t="str">
        <f>'7ª'!$P23</f>
        <v>-</v>
      </c>
      <c r="W350" s="383" t="str">
        <f>'7ª'!$Q23</f>
        <v>-</v>
      </c>
      <c r="X350" s="383" t="str">
        <f>'7ª'!$R23</f>
        <v>-</v>
      </c>
      <c r="Y350" s="383" t="str">
        <f>'7ª'!$S23</f>
        <v>-</v>
      </c>
      <c r="Z350" s="384">
        <f>'7ª'!$T23</f>
        <v>0</v>
      </c>
      <c r="AA350" s="384">
        <f>'7ª'!$U23</f>
        <v>0</v>
      </c>
      <c r="AB350" s="385" t="s">
        <v>327</v>
      </c>
      <c r="AC350" s="385"/>
      <c r="AD350" s="435" t="s">
        <v>466</v>
      </c>
    </row>
    <row r="351" spans="1:30" ht="15.75" x14ac:dyDescent="0.25">
      <c r="A351" s="416" t="str">
        <f>RIGHT('[1]7ª'!$A$5:$D$5,12)</f>
        <v>7ª SÉRIE E.F</v>
      </c>
      <c r="B351" s="451">
        <v>20</v>
      </c>
      <c r="C351" s="248">
        <f>'7ª'!$B24</f>
        <v>0</v>
      </c>
      <c r="D351" s="362">
        <f>'7ª'!$C24</f>
        <v>0</v>
      </c>
      <c r="E351" s="249">
        <f>'7ª'!$D24</f>
        <v>0</v>
      </c>
      <c r="F351" s="249" t="str">
        <f>'7ª'!$E24</f>
        <v/>
      </c>
      <c r="G351" s="250">
        <f>'7ª'!$F24</f>
        <v>0</v>
      </c>
      <c r="H351" s="362">
        <f>'7ª'!$G24</f>
        <v>0</v>
      </c>
      <c r="I351" s="364">
        <f>'7ª'!$H24</f>
        <v>0</v>
      </c>
      <c r="J351" s="362"/>
      <c r="K351" s="362">
        <f>'7ª'!$I24</f>
        <v>0</v>
      </c>
      <c r="L351" s="250" t="str">
        <f ca="1">'7ª'!$J24</f>
        <v/>
      </c>
      <c r="M351" s="362"/>
      <c r="N351" s="252" t="str">
        <f ca="1">'7ª'!$K24</f>
        <v/>
      </c>
      <c r="O351" s="362"/>
      <c r="P351" s="253" t="s">
        <v>110</v>
      </c>
      <c r="Q351" s="415" t="s">
        <v>250</v>
      </c>
      <c r="R351" s="383" t="str">
        <f>'7ª'!$L24</f>
        <v>Não</v>
      </c>
      <c r="S351" s="383" t="str">
        <f>'7ª'!$M24</f>
        <v>-</v>
      </c>
      <c r="T351" s="383" t="str">
        <f>'7ª'!$N24</f>
        <v>-</v>
      </c>
      <c r="U351" s="383" t="str">
        <f>'7ª'!$O24</f>
        <v>-</v>
      </c>
      <c r="V351" s="383" t="str">
        <f>'7ª'!$P24</f>
        <v>-</v>
      </c>
      <c r="W351" s="383" t="str">
        <f>'7ª'!$Q24</f>
        <v>-</v>
      </c>
      <c r="X351" s="383" t="str">
        <f>'7ª'!$R24</f>
        <v>-</v>
      </c>
      <c r="Y351" s="383" t="str">
        <f>'7ª'!$S24</f>
        <v>-</v>
      </c>
      <c r="Z351" s="384">
        <f>'7ª'!$T24</f>
        <v>0</v>
      </c>
      <c r="AA351" s="384">
        <f>'7ª'!$U24</f>
        <v>0</v>
      </c>
      <c r="AB351" s="385" t="s">
        <v>327</v>
      </c>
      <c r="AC351" s="385"/>
      <c r="AD351" s="435" t="s">
        <v>466</v>
      </c>
    </row>
    <row r="352" spans="1:30" ht="15.75" x14ac:dyDescent="0.25">
      <c r="A352" s="416" t="str">
        <f>RIGHT('[1]7ª'!$A$5:$D$5,12)</f>
        <v>7ª SÉRIE E.F</v>
      </c>
      <c r="B352" s="451">
        <v>21</v>
      </c>
      <c r="C352" s="248">
        <f>'7ª'!$B25</f>
        <v>0</v>
      </c>
      <c r="D352" s="362">
        <f>'7ª'!$C25</f>
        <v>0</v>
      </c>
      <c r="E352" s="249">
        <f>'7ª'!$D25</f>
        <v>0</v>
      </c>
      <c r="F352" s="249" t="str">
        <f>'7ª'!$E25</f>
        <v/>
      </c>
      <c r="G352" s="250">
        <f>'7ª'!$F25</f>
        <v>0</v>
      </c>
      <c r="H352" s="362">
        <f>'7ª'!$G25</f>
        <v>0</v>
      </c>
      <c r="I352" s="364">
        <f>'7ª'!$H25</f>
        <v>0</v>
      </c>
      <c r="J352" s="362"/>
      <c r="K352" s="362">
        <f>'7ª'!$I25</f>
        <v>0</v>
      </c>
      <c r="L352" s="250" t="str">
        <f ca="1">'7ª'!$J25</f>
        <v/>
      </c>
      <c r="M352" s="362"/>
      <c r="N352" s="252" t="str">
        <f ca="1">'7ª'!$K25</f>
        <v/>
      </c>
      <c r="O352" s="362"/>
      <c r="P352" s="253" t="s">
        <v>110</v>
      </c>
      <c r="Q352" s="415" t="s">
        <v>250</v>
      </c>
      <c r="R352" s="383" t="str">
        <f>'7ª'!$L25</f>
        <v>Não</v>
      </c>
      <c r="S352" s="383" t="str">
        <f>'7ª'!$M25</f>
        <v>-</v>
      </c>
      <c r="T352" s="383" t="str">
        <f>'7ª'!$N25</f>
        <v>-</v>
      </c>
      <c r="U352" s="383" t="str">
        <f>'7ª'!$O25</f>
        <v>-</v>
      </c>
      <c r="V352" s="383" t="str">
        <f>'7ª'!$P25</f>
        <v>-</v>
      </c>
      <c r="W352" s="383" t="str">
        <f>'7ª'!$Q25</f>
        <v>-</v>
      </c>
      <c r="X352" s="383" t="str">
        <f>'7ª'!$R25</f>
        <v>-</v>
      </c>
      <c r="Y352" s="383" t="str">
        <f>'7ª'!$S25</f>
        <v>-</v>
      </c>
      <c r="Z352" s="384">
        <f>'7ª'!$T25</f>
        <v>0</v>
      </c>
      <c r="AA352" s="384">
        <f>'7ª'!$U25</f>
        <v>0</v>
      </c>
      <c r="AB352" s="385" t="s">
        <v>327</v>
      </c>
      <c r="AC352" s="385"/>
      <c r="AD352" s="435" t="s">
        <v>466</v>
      </c>
    </row>
    <row r="353" spans="1:30" ht="15.75" x14ac:dyDescent="0.25">
      <c r="A353" s="416" t="str">
        <f>RIGHT('[1]7ª'!$A$5:$D$5,12)</f>
        <v>7ª SÉRIE E.F</v>
      </c>
      <c r="B353" s="451">
        <v>22</v>
      </c>
      <c r="C353" s="248">
        <f>'7ª'!$B26</f>
        <v>0</v>
      </c>
      <c r="D353" s="362">
        <f>'7ª'!$C26</f>
        <v>0</v>
      </c>
      <c r="E353" s="249">
        <f>'7ª'!$D26</f>
        <v>0</v>
      </c>
      <c r="F353" s="249">
        <f>'7ª'!$E26</f>
        <v>0</v>
      </c>
      <c r="G353" s="250">
        <f>'7ª'!$F26</f>
        <v>0</v>
      </c>
      <c r="H353" s="362">
        <f>'7ª'!$G26</f>
        <v>0</v>
      </c>
      <c r="I353" s="364">
        <f>'7ª'!$H26</f>
        <v>0</v>
      </c>
      <c r="J353" s="362"/>
      <c r="K353" s="362">
        <f>'7ª'!$I26</f>
        <v>0</v>
      </c>
      <c r="L353" s="250" t="str">
        <f ca="1">'7ª'!$J26</f>
        <v/>
      </c>
      <c r="M353" s="362"/>
      <c r="N353" s="252" t="str">
        <f ca="1">'7ª'!$K26</f>
        <v/>
      </c>
      <c r="O353" s="362"/>
      <c r="P353" s="253" t="s">
        <v>110</v>
      </c>
      <c r="Q353" s="415" t="s">
        <v>250</v>
      </c>
      <c r="R353" s="383" t="str">
        <f>'7ª'!$L26</f>
        <v>Não</v>
      </c>
      <c r="S353" s="383" t="str">
        <f>'7ª'!$M26</f>
        <v>-</v>
      </c>
      <c r="T353" s="383" t="str">
        <f>'7ª'!$N26</f>
        <v>-</v>
      </c>
      <c r="U353" s="383" t="str">
        <f>'7ª'!$O26</f>
        <v>-</v>
      </c>
      <c r="V353" s="383" t="str">
        <f>'7ª'!$P26</f>
        <v>-</v>
      </c>
      <c r="W353" s="383" t="str">
        <f>'7ª'!$Q26</f>
        <v>-</v>
      </c>
      <c r="X353" s="383" t="str">
        <f>'7ª'!$R26</f>
        <v>-</v>
      </c>
      <c r="Y353" s="383" t="str">
        <f>'7ª'!$S26</f>
        <v>-</v>
      </c>
      <c r="Z353" s="384">
        <f>'7ª'!$T26</f>
        <v>0</v>
      </c>
      <c r="AA353" s="384">
        <f>'7ª'!$U26</f>
        <v>0</v>
      </c>
      <c r="AB353" s="385" t="s">
        <v>327</v>
      </c>
      <c r="AC353" s="385"/>
      <c r="AD353" s="435" t="s">
        <v>466</v>
      </c>
    </row>
    <row r="354" spans="1:30" ht="15.75" x14ac:dyDescent="0.25">
      <c r="A354" s="416" t="str">
        <f>RIGHT('[1]7ª'!$A$5:$D$5,12)</f>
        <v>7ª SÉRIE E.F</v>
      </c>
      <c r="B354" s="451">
        <v>23</v>
      </c>
      <c r="C354" s="248">
        <f>'7ª'!$B27</f>
        <v>0</v>
      </c>
      <c r="D354" s="362">
        <f>'7ª'!$C27</f>
        <v>0</v>
      </c>
      <c r="E354" s="249">
        <f>'7ª'!$D27</f>
        <v>0</v>
      </c>
      <c r="F354" s="249">
        <f>'7ª'!$E27</f>
        <v>0</v>
      </c>
      <c r="G354" s="250">
        <f>'7ª'!$F27</f>
        <v>0</v>
      </c>
      <c r="H354" s="362">
        <f>'7ª'!$G27</f>
        <v>0</v>
      </c>
      <c r="I354" s="364">
        <f>'7ª'!$H27</f>
        <v>0</v>
      </c>
      <c r="J354" s="362"/>
      <c r="K354" s="362">
        <f>'7ª'!$I27</f>
        <v>0</v>
      </c>
      <c r="L354" s="250" t="str">
        <f ca="1">'7ª'!$J27</f>
        <v/>
      </c>
      <c r="M354" s="362"/>
      <c r="N354" s="252" t="str">
        <f ca="1">'7ª'!$K27</f>
        <v/>
      </c>
      <c r="O354" s="362"/>
      <c r="P354" s="253" t="s">
        <v>110</v>
      </c>
      <c r="Q354" s="415" t="s">
        <v>250</v>
      </c>
      <c r="R354" s="383" t="str">
        <f>'7ª'!$L27</f>
        <v>Não</v>
      </c>
      <c r="S354" s="383" t="str">
        <f>'7ª'!$M27</f>
        <v>-</v>
      </c>
      <c r="T354" s="383" t="str">
        <f>'7ª'!$N27</f>
        <v>-</v>
      </c>
      <c r="U354" s="383" t="str">
        <f>'7ª'!$O27</f>
        <v>-</v>
      </c>
      <c r="V354" s="383" t="str">
        <f>'7ª'!$P27</f>
        <v>-</v>
      </c>
      <c r="W354" s="383" t="str">
        <f>'7ª'!$Q27</f>
        <v>-</v>
      </c>
      <c r="X354" s="383" t="str">
        <f>'7ª'!$R27</f>
        <v>-</v>
      </c>
      <c r="Y354" s="383" t="str">
        <f>'7ª'!$S27</f>
        <v>-</v>
      </c>
      <c r="Z354" s="384">
        <f>'7ª'!$T27</f>
        <v>0</v>
      </c>
      <c r="AA354" s="384">
        <f>'7ª'!$U27</f>
        <v>0</v>
      </c>
      <c r="AB354" s="385" t="s">
        <v>327</v>
      </c>
      <c r="AC354" s="385"/>
      <c r="AD354" s="435" t="s">
        <v>466</v>
      </c>
    </row>
    <row r="355" spans="1:30" ht="15.75" x14ac:dyDescent="0.25">
      <c r="A355" s="416" t="str">
        <f>RIGHT('[1]7ª'!$A$5:$D$5,12)</f>
        <v>7ª SÉRIE E.F</v>
      </c>
      <c r="B355" s="451">
        <v>24</v>
      </c>
      <c r="C355" s="248">
        <f>'7ª'!$B28</f>
        <v>0</v>
      </c>
      <c r="D355" s="362">
        <f>'7ª'!$C28</f>
        <v>0</v>
      </c>
      <c r="E355" s="249">
        <f>'7ª'!$D28</f>
        <v>0</v>
      </c>
      <c r="F355" s="249">
        <f>'7ª'!$E28</f>
        <v>0</v>
      </c>
      <c r="G355" s="250">
        <f>'7ª'!$F28</f>
        <v>0</v>
      </c>
      <c r="H355" s="362">
        <f>'7ª'!$G28</f>
        <v>0</v>
      </c>
      <c r="I355" s="364">
        <f>'7ª'!$H28</f>
        <v>0</v>
      </c>
      <c r="J355" s="362"/>
      <c r="K355" s="362">
        <f>'7ª'!$I28</f>
        <v>0</v>
      </c>
      <c r="L355" s="250" t="str">
        <f ca="1">'7ª'!$J28</f>
        <v/>
      </c>
      <c r="M355" s="362"/>
      <c r="N355" s="252" t="str">
        <f ca="1">'7ª'!$K28</f>
        <v/>
      </c>
      <c r="O355" s="362"/>
      <c r="P355" s="253" t="s">
        <v>110</v>
      </c>
      <c r="Q355" s="415" t="s">
        <v>250</v>
      </c>
      <c r="R355" s="383" t="str">
        <f>'7ª'!$L28</f>
        <v>Não</v>
      </c>
      <c r="S355" s="383" t="str">
        <f>'7ª'!$M28</f>
        <v>-</v>
      </c>
      <c r="T355" s="383" t="str">
        <f>'7ª'!$N28</f>
        <v>-</v>
      </c>
      <c r="U355" s="383" t="str">
        <f>'7ª'!$O28</f>
        <v>-</v>
      </c>
      <c r="V355" s="383" t="str">
        <f>'7ª'!$P28</f>
        <v>-</v>
      </c>
      <c r="W355" s="383" t="str">
        <f>'7ª'!$Q28</f>
        <v>-</v>
      </c>
      <c r="X355" s="383" t="str">
        <f>'7ª'!$R28</f>
        <v>-</v>
      </c>
      <c r="Y355" s="383" t="str">
        <f>'7ª'!$S28</f>
        <v>-</v>
      </c>
      <c r="Z355" s="384">
        <f>'7ª'!$T28</f>
        <v>0</v>
      </c>
      <c r="AA355" s="384">
        <f>'7ª'!$U28</f>
        <v>0</v>
      </c>
      <c r="AB355" s="385" t="s">
        <v>327</v>
      </c>
      <c r="AC355" s="385"/>
      <c r="AD355" s="435" t="s">
        <v>466</v>
      </c>
    </row>
    <row r="356" spans="1:30" ht="15.75" x14ac:dyDescent="0.25">
      <c r="A356" s="416" t="str">
        <f>RIGHT('[1]7ª'!$A$5:$D$5,12)</f>
        <v>7ª SÉRIE E.F</v>
      </c>
      <c r="B356" s="451">
        <v>25</v>
      </c>
      <c r="C356" s="248">
        <f>'7ª'!$B29</f>
        <v>0</v>
      </c>
      <c r="D356" s="362">
        <f>'7ª'!$C29</f>
        <v>0</v>
      </c>
      <c r="E356" s="249">
        <f>'7ª'!$D29</f>
        <v>0</v>
      </c>
      <c r="F356" s="249">
        <f>'7ª'!$E29</f>
        <v>0</v>
      </c>
      <c r="G356" s="250">
        <f>'7ª'!$F29</f>
        <v>0</v>
      </c>
      <c r="H356" s="362">
        <f>'7ª'!$G29</f>
        <v>0</v>
      </c>
      <c r="I356" s="364">
        <f>'7ª'!$H29</f>
        <v>0</v>
      </c>
      <c r="J356" s="362"/>
      <c r="K356" s="362">
        <f>'7ª'!$I29</f>
        <v>0</v>
      </c>
      <c r="L356" s="250" t="str">
        <f ca="1">'7ª'!$J29</f>
        <v/>
      </c>
      <c r="M356" s="362"/>
      <c r="N356" s="252" t="str">
        <f ca="1">'7ª'!$K29</f>
        <v/>
      </c>
      <c r="O356" s="362"/>
      <c r="P356" s="253" t="s">
        <v>110</v>
      </c>
      <c r="Q356" s="415" t="s">
        <v>250</v>
      </c>
      <c r="R356" s="383" t="str">
        <f>'7ª'!$L29</f>
        <v>Não</v>
      </c>
      <c r="S356" s="383" t="str">
        <f>'7ª'!$M29</f>
        <v>-</v>
      </c>
      <c r="T356" s="383" t="str">
        <f>'7ª'!$N29</f>
        <v>-</v>
      </c>
      <c r="U356" s="383" t="str">
        <f>'7ª'!$O29</f>
        <v>-</v>
      </c>
      <c r="V356" s="383" t="str">
        <f>'7ª'!$P29</f>
        <v>-</v>
      </c>
      <c r="W356" s="383" t="str">
        <f>'7ª'!$Q29</f>
        <v>-</v>
      </c>
      <c r="X356" s="383" t="str">
        <f>'7ª'!$R29</f>
        <v>-</v>
      </c>
      <c r="Y356" s="383" t="str">
        <f>'7ª'!$S29</f>
        <v>-</v>
      </c>
      <c r="Z356" s="384">
        <f>'7ª'!$T29</f>
        <v>0</v>
      </c>
      <c r="AA356" s="384">
        <f>'7ª'!$U29</f>
        <v>0</v>
      </c>
      <c r="AB356" s="385" t="s">
        <v>327</v>
      </c>
      <c r="AC356" s="385"/>
      <c r="AD356" s="435" t="s">
        <v>466</v>
      </c>
    </row>
    <row r="357" spans="1:30" ht="15.75" x14ac:dyDescent="0.25">
      <c r="A357" s="416" t="str">
        <f>RIGHT('[1]7ª'!$A$5:$D$5,12)</f>
        <v>7ª SÉRIE E.F</v>
      </c>
      <c r="B357" s="451">
        <v>26</v>
      </c>
      <c r="C357" s="248">
        <f>'7ª'!$B30</f>
        <v>0</v>
      </c>
      <c r="D357" s="362">
        <f>'7ª'!$C30</f>
        <v>0</v>
      </c>
      <c r="E357" s="249">
        <f>'7ª'!$D30</f>
        <v>0</v>
      </c>
      <c r="F357" s="249">
        <f>'7ª'!$E30</f>
        <v>0</v>
      </c>
      <c r="G357" s="250">
        <f>'7ª'!$F30</f>
        <v>0</v>
      </c>
      <c r="H357" s="362">
        <f>'7ª'!$G30</f>
        <v>0</v>
      </c>
      <c r="I357" s="364">
        <f>'7ª'!$H30</f>
        <v>0</v>
      </c>
      <c r="J357" s="362"/>
      <c r="K357" s="362">
        <f>'7ª'!$I30</f>
        <v>0</v>
      </c>
      <c r="L357" s="250" t="str">
        <f ca="1">'7ª'!$J30</f>
        <v/>
      </c>
      <c r="M357" s="362"/>
      <c r="N357" s="252" t="str">
        <f ca="1">'7ª'!$K30</f>
        <v/>
      </c>
      <c r="O357" s="362"/>
      <c r="P357" s="253" t="s">
        <v>110</v>
      </c>
      <c r="Q357" s="415" t="s">
        <v>250</v>
      </c>
      <c r="R357" s="383" t="str">
        <f>'7ª'!$L30</f>
        <v>Não</v>
      </c>
      <c r="S357" s="383" t="str">
        <f>'7ª'!$M30</f>
        <v>-</v>
      </c>
      <c r="T357" s="383" t="str">
        <f>'7ª'!$N30</f>
        <v>-</v>
      </c>
      <c r="U357" s="383" t="str">
        <f>'7ª'!$O30</f>
        <v>-</v>
      </c>
      <c r="V357" s="383" t="str">
        <f>'7ª'!$P30</f>
        <v>-</v>
      </c>
      <c r="W357" s="383" t="str">
        <f>'7ª'!$Q30</f>
        <v>-</v>
      </c>
      <c r="X357" s="383" t="str">
        <f>'7ª'!$R30</f>
        <v>-</v>
      </c>
      <c r="Y357" s="383" t="str">
        <f>'7ª'!$S30</f>
        <v>-</v>
      </c>
      <c r="Z357" s="384">
        <f>'7ª'!$T30</f>
        <v>0</v>
      </c>
      <c r="AA357" s="384">
        <f>'7ª'!$U30</f>
        <v>0</v>
      </c>
      <c r="AB357" s="385" t="s">
        <v>327</v>
      </c>
      <c r="AC357" s="385"/>
      <c r="AD357" s="435" t="s">
        <v>466</v>
      </c>
    </row>
    <row r="358" spans="1:30" ht="15.75" x14ac:dyDescent="0.25">
      <c r="A358" s="416" t="str">
        <f>RIGHT('[1]7ª'!$A$5:$D$5,12)</f>
        <v>7ª SÉRIE E.F</v>
      </c>
      <c r="B358" s="451">
        <v>27</v>
      </c>
      <c r="C358" s="248">
        <f>'7ª'!$B31</f>
        <v>0</v>
      </c>
      <c r="D358" s="362">
        <f>'7ª'!$C31</f>
        <v>0</v>
      </c>
      <c r="E358" s="249">
        <f>'7ª'!$D31</f>
        <v>0</v>
      </c>
      <c r="F358" s="249">
        <f>'7ª'!$E31</f>
        <v>0</v>
      </c>
      <c r="G358" s="250">
        <f>'7ª'!$F31</f>
        <v>0</v>
      </c>
      <c r="H358" s="362">
        <f>'7ª'!$G31</f>
        <v>0</v>
      </c>
      <c r="I358" s="364">
        <f>'7ª'!$H31</f>
        <v>0</v>
      </c>
      <c r="J358" s="362"/>
      <c r="K358" s="362">
        <f>'7ª'!$I31</f>
        <v>0</v>
      </c>
      <c r="L358" s="250" t="str">
        <f ca="1">'7ª'!$J31</f>
        <v/>
      </c>
      <c r="M358" s="362"/>
      <c r="N358" s="252" t="str">
        <f ca="1">'7ª'!$K31</f>
        <v/>
      </c>
      <c r="O358" s="362"/>
      <c r="P358" s="253" t="s">
        <v>110</v>
      </c>
      <c r="Q358" s="415" t="s">
        <v>250</v>
      </c>
      <c r="R358" s="383" t="str">
        <f>'7ª'!$L31</f>
        <v>Não</v>
      </c>
      <c r="S358" s="383" t="str">
        <f>'7ª'!$M31</f>
        <v>-</v>
      </c>
      <c r="T358" s="383" t="str">
        <f>'7ª'!$N31</f>
        <v>-</v>
      </c>
      <c r="U358" s="383" t="str">
        <f>'7ª'!$O31</f>
        <v>-</v>
      </c>
      <c r="V358" s="383" t="str">
        <f>'7ª'!$P31</f>
        <v>-</v>
      </c>
      <c r="W358" s="383" t="str">
        <f>'7ª'!$Q31</f>
        <v>-</v>
      </c>
      <c r="X358" s="383" t="str">
        <f>'7ª'!$R31</f>
        <v>-</v>
      </c>
      <c r="Y358" s="383" t="str">
        <f>'7ª'!$S31</f>
        <v>-</v>
      </c>
      <c r="Z358" s="384">
        <f>'7ª'!$T31</f>
        <v>0</v>
      </c>
      <c r="AA358" s="384">
        <f>'7ª'!$U31</f>
        <v>0</v>
      </c>
      <c r="AB358" s="385" t="s">
        <v>327</v>
      </c>
      <c r="AC358" s="385"/>
      <c r="AD358" s="435" t="s">
        <v>466</v>
      </c>
    </row>
    <row r="359" spans="1:30" ht="15.75" x14ac:dyDescent="0.25">
      <c r="A359" s="416" t="str">
        <f>RIGHT('[1]7ª'!$A$5:$D$5,12)</f>
        <v>7ª SÉRIE E.F</v>
      </c>
      <c r="B359" s="451">
        <v>28</v>
      </c>
      <c r="C359" s="248">
        <f>'7ª'!$B32</f>
        <v>0</v>
      </c>
      <c r="D359" s="362">
        <f>'7ª'!$C32</f>
        <v>0</v>
      </c>
      <c r="E359" s="249">
        <f>'7ª'!$D32</f>
        <v>0</v>
      </c>
      <c r="F359" s="249">
        <f>'7ª'!$E32</f>
        <v>0</v>
      </c>
      <c r="G359" s="250">
        <f>'7ª'!$F32</f>
        <v>0</v>
      </c>
      <c r="H359" s="362">
        <f>'7ª'!$G32</f>
        <v>0</v>
      </c>
      <c r="I359" s="364">
        <f>'7ª'!$H32</f>
        <v>0</v>
      </c>
      <c r="J359" s="362"/>
      <c r="K359" s="362">
        <f>'7ª'!$I32</f>
        <v>0</v>
      </c>
      <c r="L359" s="250" t="str">
        <f ca="1">'7ª'!$J32</f>
        <v/>
      </c>
      <c r="M359" s="362"/>
      <c r="N359" s="252" t="str">
        <f ca="1">'7ª'!$K32</f>
        <v/>
      </c>
      <c r="O359" s="362"/>
      <c r="P359" s="253" t="s">
        <v>110</v>
      </c>
      <c r="Q359" s="415" t="s">
        <v>250</v>
      </c>
      <c r="R359" s="383" t="str">
        <f>'7ª'!$L32</f>
        <v>Não</v>
      </c>
      <c r="S359" s="383" t="str">
        <f>'7ª'!$M32</f>
        <v>-</v>
      </c>
      <c r="T359" s="383" t="str">
        <f>'7ª'!$N32</f>
        <v>-</v>
      </c>
      <c r="U359" s="383" t="str">
        <f>'7ª'!$O32</f>
        <v>-</v>
      </c>
      <c r="V359" s="383" t="str">
        <f>'7ª'!$P32</f>
        <v>-</v>
      </c>
      <c r="W359" s="383" t="str">
        <f>'7ª'!$Q32</f>
        <v>-</v>
      </c>
      <c r="X359" s="383" t="str">
        <f>'7ª'!$R32</f>
        <v>-</v>
      </c>
      <c r="Y359" s="383" t="str">
        <f>'7ª'!$S32</f>
        <v>-</v>
      </c>
      <c r="Z359" s="384">
        <f>'7ª'!$T32</f>
        <v>0</v>
      </c>
      <c r="AA359" s="384">
        <f>'7ª'!$U32</f>
        <v>0</v>
      </c>
      <c r="AB359" s="385" t="s">
        <v>327</v>
      </c>
      <c r="AC359" s="385"/>
      <c r="AD359" s="435" t="s">
        <v>466</v>
      </c>
    </row>
    <row r="360" spans="1:30" ht="15.75" x14ac:dyDescent="0.25">
      <c r="A360" s="416" t="str">
        <f>RIGHT('[1]7ª'!$A$5:$D$5,12)</f>
        <v>7ª SÉRIE E.F</v>
      </c>
      <c r="B360" s="451">
        <v>29</v>
      </c>
      <c r="C360" s="248">
        <f>'7ª'!$B33</f>
        <v>0</v>
      </c>
      <c r="D360" s="362">
        <f>'7ª'!$C33</f>
        <v>0</v>
      </c>
      <c r="E360" s="249">
        <f>'7ª'!$D33</f>
        <v>0</v>
      </c>
      <c r="F360" s="249">
        <f>'7ª'!$E33</f>
        <v>0</v>
      </c>
      <c r="G360" s="250">
        <f>'7ª'!$F33</f>
        <v>0</v>
      </c>
      <c r="H360" s="362">
        <f>'7ª'!$G33</f>
        <v>0</v>
      </c>
      <c r="I360" s="364">
        <f>'7ª'!$H33</f>
        <v>0</v>
      </c>
      <c r="J360" s="362"/>
      <c r="K360" s="362">
        <f>'7ª'!$I33</f>
        <v>0</v>
      </c>
      <c r="L360" s="250" t="str">
        <f ca="1">'7ª'!$J33</f>
        <v/>
      </c>
      <c r="M360" s="362"/>
      <c r="N360" s="252" t="str">
        <f ca="1">'7ª'!$K33</f>
        <v/>
      </c>
      <c r="O360" s="362"/>
      <c r="P360" s="253" t="s">
        <v>110</v>
      </c>
      <c r="Q360" s="415" t="s">
        <v>250</v>
      </c>
      <c r="R360" s="383" t="str">
        <f>'7ª'!$L33</f>
        <v>Não</v>
      </c>
      <c r="S360" s="383" t="str">
        <f>'7ª'!$M33</f>
        <v>-</v>
      </c>
      <c r="T360" s="383" t="str">
        <f>'7ª'!$N33</f>
        <v>-</v>
      </c>
      <c r="U360" s="383" t="str">
        <f>'7ª'!$O33</f>
        <v>-</v>
      </c>
      <c r="V360" s="383" t="str">
        <f>'7ª'!$P33</f>
        <v>-</v>
      </c>
      <c r="W360" s="383" t="str">
        <f>'7ª'!$Q33</f>
        <v>-</v>
      </c>
      <c r="X360" s="383" t="str">
        <f>'7ª'!$R33</f>
        <v>-</v>
      </c>
      <c r="Y360" s="383" t="str">
        <f>'7ª'!$S33</f>
        <v>-</v>
      </c>
      <c r="Z360" s="384">
        <f>'7ª'!$T33</f>
        <v>0</v>
      </c>
      <c r="AA360" s="384">
        <f>'7ª'!$U33</f>
        <v>0</v>
      </c>
      <c r="AB360" s="385" t="s">
        <v>327</v>
      </c>
      <c r="AC360" s="385"/>
      <c r="AD360" s="435" t="s">
        <v>466</v>
      </c>
    </row>
    <row r="361" spans="1:30" ht="15.75" x14ac:dyDescent="0.25">
      <c r="A361" s="416" t="str">
        <f>RIGHT('[1]7ª'!$A$5:$D$5,12)</f>
        <v>7ª SÉRIE E.F</v>
      </c>
      <c r="B361" s="451">
        <v>30</v>
      </c>
      <c r="C361" s="248">
        <f>'7ª'!$B34</f>
        <v>0</v>
      </c>
      <c r="D361" s="362">
        <f>'7ª'!$C34</f>
        <v>0</v>
      </c>
      <c r="E361" s="249">
        <f>'7ª'!$D34</f>
        <v>0</v>
      </c>
      <c r="F361" s="249">
        <f>'7ª'!$E34</f>
        <v>0</v>
      </c>
      <c r="G361" s="250">
        <f>'7ª'!$F34</f>
        <v>0</v>
      </c>
      <c r="H361" s="362">
        <f>'7ª'!$G34</f>
        <v>0</v>
      </c>
      <c r="I361" s="364">
        <f>'7ª'!$H34</f>
        <v>0</v>
      </c>
      <c r="J361" s="362"/>
      <c r="K361" s="362">
        <f>'7ª'!$I34</f>
        <v>0</v>
      </c>
      <c r="L361" s="250" t="str">
        <f ca="1">'7ª'!$J34</f>
        <v/>
      </c>
      <c r="M361" s="362"/>
      <c r="N361" s="252" t="str">
        <f ca="1">'7ª'!$K34</f>
        <v/>
      </c>
      <c r="O361" s="362"/>
      <c r="P361" s="253" t="s">
        <v>110</v>
      </c>
      <c r="Q361" s="415" t="s">
        <v>250</v>
      </c>
      <c r="R361" s="383" t="str">
        <f>'7ª'!$L34</f>
        <v>Não</v>
      </c>
      <c r="S361" s="383" t="str">
        <f>'7ª'!$M34</f>
        <v>-</v>
      </c>
      <c r="T361" s="383" t="str">
        <f>'7ª'!$N34</f>
        <v>-</v>
      </c>
      <c r="U361" s="383" t="str">
        <f>'7ª'!$O34</f>
        <v>-</v>
      </c>
      <c r="V361" s="383" t="str">
        <f>'7ª'!$P34</f>
        <v>-</v>
      </c>
      <c r="W361" s="383" t="str">
        <f>'7ª'!$Q34</f>
        <v>-</v>
      </c>
      <c r="X361" s="383" t="str">
        <f>'7ª'!$R34</f>
        <v>-</v>
      </c>
      <c r="Y361" s="383" t="str">
        <f>'7ª'!$S34</f>
        <v>-</v>
      </c>
      <c r="Z361" s="384">
        <f>'7ª'!$T34</f>
        <v>0</v>
      </c>
      <c r="AA361" s="384">
        <f>'7ª'!$U34</f>
        <v>0</v>
      </c>
      <c r="AB361" s="385" t="s">
        <v>327</v>
      </c>
      <c r="AC361" s="385"/>
      <c r="AD361" s="435" t="s">
        <v>466</v>
      </c>
    </row>
    <row r="362" spans="1:30" ht="15.75" x14ac:dyDescent="0.25">
      <c r="A362" s="416" t="str">
        <f>RIGHT('[1]7ª'!$A$5:$D$5,12)</f>
        <v>7ª SÉRIE E.F</v>
      </c>
      <c r="B362" s="451">
        <v>31</v>
      </c>
      <c r="C362" s="248">
        <f>'7ª'!$B35</f>
        <v>0</v>
      </c>
      <c r="D362" s="362">
        <f>'7ª'!$C35</f>
        <v>0</v>
      </c>
      <c r="E362" s="249">
        <f>'7ª'!$D35</f>
        <v>0</v>
      </c>
      <c r="F362" s="249">
        <f>'7ª'!$E35</f>
        <v>0</v>
      </c>
      <c r="G362" s="250">
        <f>'7ª'!$F35</f>
        <v>0</v>
      </c>
      <c r="H362" s="362">
        <f>'7ª'!$G35</f>
        <v>0</v>
      </c>
      <c r="I362" s="364">
        <f>'7ª'!$H35</f>
        <v>0</v>
      </c>
      <c r="J362" s="362"/>
      <c r="K362" s="362">
        <f>'7ª'!$I35</f>
        <v>0</v>
      </c>
      <c r="L362" s="250">
        <f>'7ª'!$J35</f>
        <v>0</v>
      </c>
      <c r="M362" s="362"/>
      <c r="N362" s="252">
        <f>'7ª'!$K35</f>
        <v>0</v>
      </c>
      <c r="O362" s="362"/>
      <c r="P362" s="253" t="s">
        <v>110</v>
      </c>
      <c r="Q362" s="415" t="s">
        <v>250</v>
      </c>
      <c r="R362" s="383">
        <f>'7ª'!$L35</f>
        <v>0</v>
      </c>
      <c r="S362" s="383">
        <f>'7ª'!$M35</f>
        <v>0</v>
      </c>
      <c r="T362" s="383">
        <f>'7ª'!$N35</f>
        <v>0</v>
      </c>
      <c r="U362" s="383">
        <f>'7ª'!$O35</f>
        <v>0</v>
      </c>
      <c r="V362" s="383">
        <f>'7ª'!$P35</f>
        <v>0</v>
      </c>
      <c r="W362" s="383">
        <f>'7ª'!$Q35</f>
        <v>0</v>
      </c>
      <c r="X362" s="383">
        <f>'7ª'!$R35</f>
        <v>0</v>
      </c>
      <c r="Y362" s="383">
        <f>'7ª'!$S35</f>
        <v>0</v>
      </c>
      <c r="Z362" s="384">
        <f>'7ª'!$T35</f>
        <v>0</v>
      </c>
      <c r="AA362" s="384">
        <f>'7ª'!$U35</f>
        <v>0</v>
      </c>
      <c r="AB362" s="385" t="s">
        <v>327</v>
      </c>
      <c r="AC362" s="385"/>
      <c r="AD362" s="435" t="s">
        <v>466</v>
      </c>
    </row>
    <row r="363" spans="1:30" ht="15.75" x14ac:dyDescent="0.25">
      <c r="A363" s="416" t="str">
        <f>RIGHT('[1]7ª'!$A$5:$D$5,12)</f>
        <v>7ª SÉRIE E.F</v>
      </c>
      <c r="B363" s="451">
        <v>32</v>
      </c>
      <c r="C363" s="248">
        <f>'7ª'!$B36</f>
        <v>0</v>
      </c>
      <c r="D363" s="362">
        <f>'7ª'!$C36</f>
        <v>0</v>
      </c>
      <c r="E363" s="249">
        <f>'7ª'!$D36</f>
        <v>0</v>
      </c>
      <c r="F363" s="249">
        <f>'7ª'!$E36</f>
        <v>0</v>
      </c>
      <c r="G363" s="250">
        <f>'7ª'!$F36</f>
        <v>0</v>
      </c>
      <c r="H363" s="362">
        <f>'7ª'!$G36</f>
        <v>0</v>
      </c>
      <c r="I363" s="364">
        <f>'7ª'!$H36</f>
        <v>0</v>
      </c>
      <c r="J363" s="362"/>
      <c r="K363" s="362">
        <f>'7ª'!$I36</f>
        <v>0</v>
      </c>
      <c r="L363" s="250">
        <f>'7ª'!$J36</f>
        <v>0</v>
      </c>
      <c r="M363" s="362"/>
      <c r="N363" s="252">
        <f>'7ª'!$K36</f>
        <v>0</v>
      </c>
      <c r="O363" s="362"/>
      <c r="P363" s="253" t="s">
        <v>110</v>
      </c>
      <c r="Q363" s="415" t="s">
        <v>250</v>
      </c>
      <c r="R363" s="383">
        <f>'7ª'!$L36</f>
        <v>0</v>
      </c>
      <c r="S363" s="383">
        <f>'7ª'!$M36</f>
        <v>0</v>
      </c>
      <c r="T363" s="383">
        <f>'7ª'!$N36</f>
        <v>0</v>
      </c>
      <c r="U363" s="383">
        <f>'7ª'!$O36</f>
        <v>0</v>
      </c>
      <c r="V363" s="383">
        <f>'7ª'!$P36</f>
        <v>0</v>
      </c>
      <c r="W363" s="383">
        <f>'7ª'!$Q36</f>
        <v>0</v>
      </c>
      <c r="X363" s="383">
        <f>'7ª'!$R36</f>
        <v>0</v>
      </c>
      <c r="Y363" s="383">
        <f>'7ª'!$S36</f>
        <v>0</v>
      </c>
      <c r="Z363" s="384">
        <f>'7ª'!$T36</f>
        <v>0</v>
      </c>
      <c r="AA363" s="384">
        <f>'7ª'!$U36</f>
        <v>0</v>
      </c>
      <c r="AB363" s="385" t="s">
        <v>327</v>
      </c>
      <c r="AC363" s="385"/>
      <c r="AD363" s="435" t="s">
        <v>466</v>
      </c>
    </row>
    <row r="364" spans="1:30" ht="15.75" x14ac:dyDescent="0.25">
      <c r="A364" s="416" t="str">
        <f>RIGHT('[1]7ª'!$A$5:$D$5,12)</f>
        <v>7ª SÉRIE E.F</v>
      </c>
      <c r="B364" s="451">
        <v>33</v>
      </c>
      <c r="C364" s="248">
        <f>'7ª'!$B37</f>
        <v>0</v>
      </c>
      <c r="D364" s="362">
        <f>'7ª'!$C37</f>
        <v>0</v>
      </c>
      <c r="E364" s="249">
        <f>'7ª'!$D37</f>
        <v>0</v>
      </c>
      <c r="F364" s="249">
        <f>'7ª'!$E37</f>
        <v>0</v>
      </c>
      <c r="G364" s="250">
        <f>'7ª'!$F37</f>
        <v>0</v>
      </c>
      <c r="H364" s="362">
        <f>'7ª'!$G37</f>
        <v>0</v>
      </c>
      <c r="I364" s="364">
        <f>'7ª'!$H37</f>
        <v>0</v>
      </c>
      <c r="J364" s="362"/>
      <c r="K364" s="362">
        <f>'7ª'!$I37</f>
        <v>0</v>
      </c>
      <c r="L364" s="250">
        <f>'7ª'!$J37</f>
        <v>0</v>
      </c>
      <c r="M364" s="362"/>
      <c r="N364" s="252">
        <f>'7ª'!$K37</f>
        <v>0</v>
      </c>
      <c r="O364" s="362"/>
      <c r="P364" s="253" t="s">
        <v>110</v>
      </c>
      <c r="Q364" s="415" t="s">
        <v>250</v>
      </c>
      <c r="R364" s="383">
        <f>'7ª'!$L37</f>
        <v>0</v>
      </c>
      <c r="S364" s="383">
        <f>'7ª'!$M37</f>
        <v>0</v>
      </c>
      <c r="T364" s="383">
        <f>'7ª'!$N37</f>
        <v>0</v>
      </c>
      <c r="U364" s="383">
        <f>'7ª'!$O37</f>
        <v>0</v>
      </c>
      <c r="V364" s="383">
        <f>'7ª'!$P37</f>
        <v>0</v>
      </c>
      <c r="W364" s="383">
        <f>'7ª'!$Q37</f>
        <v>0</v>
      </c>
      <c r="X364" s="383">
        <f>'7ª'!$R37</f>
        <v>0</v>
      </c>
      <c r="Y364" s="383">
        <f>'7ª'!$S37</f>
        <v>0</v>
      </c>
      <c r="Z364" s="384">
        <f>'7ª'!$T37</f>
        <v>0</v>
      </c>
      <c r="AA364" s="384">
        <f>'7ª'!$U37</f>
        <v>0</v>
      </c>
      <c r="AB364" s="385" t="s">
        <v>327</v>
      </c>
      <c r="AC364" s="385"/>
      <c r="AD364" s="435" t="s">
        <v>466</v>
      </c>
    </row>
    <row r="365" spans="1:30" ht="15.75" x14ac:dyDescent="0.25">
      <c r="A365" s="416" t="str">
        <f>RIGHT('[1]7ª'!$A$5:$D$5,12)</f>
        <v>7ª SÉRIE E.F</v>
      </c>
      <c r="B365" s="451">
        <v>34</v>
      </c>
      <c r="C365" s="248">
        <f>'7ª'!$B38</f>
        <v>0</v>
      </c>
      <c r="D365" s="362">
        <f>'7ª'!$C38</f>
        <v>0</v>
      </c>
      <c r="E365" s="249">
        <f>'7ª'!$D38</f>
        <v>0</v>
      </c>
      <c r="F365" s="249">
        <f>'7ª'!$E38</f>
        <v>0</v>
      </c>
      <c r="G365" s="250">
        <f>'7ª'!$F38</f>
        <v>0</v>
      </c>
      <c r="H365" s="362">
        <f>'7ª'!$G38</f>
        <v>0</v>
      </c>
      <c r="I365" s="364">
        <f>'7ª'!$H38</f>
        <v>0</v>
      </c>
      <c r="J365" s="362"/>
      <c r="K365" s="362">
        <f>'7ª'!$I38</f>
        <v>0</v>
      </c>
      <c r="L365" s="250">
        <f>'7ª'!$J38</f>
        <v>0</v>
      </c>
      <c r="M365" s="362"/>
      <c r="N365" s="252">
        <f>'7ª'!$K38</f>
        <v>0</v>
      </c>
      <c r="O365" s="362"/>
      <c r="P365" s="253" t="s">
        <v>110</v>
      </c>
      <c r="Q365" s="415" t="s">
        <v>250</v>
      </c>
      <c r="R365" s="383">
        <f>'7ª'!$L38</f>
        <v>0</v>
      </c>
      <c r="S365" s="383">
        <f>'7ª'!$M38</f>
        <v>0</v>
      </c>
      <c r="T365" s="383">
        <f>'7ª'!$N38</f>
        <v>0</v>
      </c>
      <c r="U365" s="383">
        <f>'7ª'!$O38</f>
        <v>0</v>
      </c>
      <c r="V365" s="383">
        <f>'7ª'!$P38</f>
        <v>0</v>
      </c>
      <c r="W365" s="383">
        <f>'7ª'!$Q38</f>
        <v>0</v>
      </c>
      <c r="X365" s="383">
        <f>'7ª'!$R38</f>
        <v>0</v>
      </c>
      <c r="Y365" s="383">
        <f>'7ª'!$S38</f>
        <v>0</v>
      </c>
      <c r="Z365" s="384">
        <f>'7ª'!$T38</f>
        <v>0</v>
      </c>
      <c r="AA365" s="384">
        <f>'7ª'!$U38</f>
        <v>0</v>
      </c>
      <c r="AB365" s="385" t="s">
        <v>327</v>
      </c>
      <c r="AC365" s="385"/>
      <c r="AD365" s="435" t="s">
        <v>466</v>
      </c>
    </row>
    <row r="366" spans="1:30" ht="15.75" x14ac:dyDescent="0.25">
      <c r="A366" s="416" t="str">
        <f>RIGHT('[1]7ª'!$A$5:$D$5,12)</f>
        <v>7ª SÉRIE E.F</v>
      </c>
      <c r="B366" s="451">
        <v>35</v>
      </c>
      <c r="C366" s="248">
        <f>'7ª'!$B39</f>
        <v>0</v>
      </c>
      <c r="D366" s="362">
        <f>'7ª'!$C39</f>
        <v>0</v>
      </c>
      <c r="E366" s="249">
        <f>'7ª'!$D39</f>
        <v>0</v>
      </c>
      <c r="F366" s="249">
        <f>'7ª'!$E39</f>
        <v>0</v>
      </c>
      <c r="G366" s="250">
        <f>'7ª'!$F39</f>
        <v>0</v>
      </c>
      <c r="H366" s="362">
        <f>'7ª'!$G39</f>
        <v>0</v>
      </c>
      <c r="I366" s="364">
        <f>'7ª'!$H39</f>
        <v>0</v>
      </c>
      <c r="J366" s="362"/>
      <c r="K366" s="362">
        <f>'7ª'!$I39</f>
        <v>0</v>
      </c>
      <c r="L366" s="250">
        <f>'7ª'!$J39</f>
        <v>0</v>
      </c>
      <c r="M366" s="362"/>
      <c r="N366" s="252">
        <f>'7ª'!$K39</f>
        <v>0</v>
      </c>
      <c r="O366" s="362"/>
      <c r="P366" s="253" t="s">
        <v>110</v>
      </c>
      <c r="Q366" s="415" t="s">
        <v>250</v>
      </c>
      <c r="R366" s="383">
        <f>'7ª'!$L39</f>
        <v>0</v>
      </c>
      <c r="S366" s="383">
        <f>'7ª'!$M39</f>
        <v>0</v>
      </c>
      <c r="T366" s="383">
        <f>'7ª'!$N39</f>
        <v>0</v>
      </c>
      <c r="U366" s="383">
        <f>'7ª'!$O39</f>
        <v>0</v>
      </c>
      <c r="V366" s="383">
        <f>'7ª'!$P39</f>
        <v>0</v>
      </c>
      <c r="W366" s="383">
        <f>'7ª'!$Q39</f>
        <v>0</v>
      </c>
      <c r="X366" s="383">
        <f>'7ª'!$R39</f>
        <v>0</v>
      </c>
      <c r="Y366" s="383">
        <f>'7ª'!$S39</f>
        <v>0</v>
      </c>
      <c r="Z366" s="384">
        <f>'7ª'!$T39</f>
        <v>0</v>
      </c>
      <c r="AA366" s="384">
        <f>'7ª'!$U39</f>
        <v>0</v>
      </c>
      <c r="AB366" s="385" t="s">
        <v>327</v>
      </c>
      <c r="AC366" s="385"/>
      <c r="AD366" s="435" t="s">
        <v>466</v>
      </c>
    </row>
    <row r="367" spans="1:30" ht="15.75" x14ac:dyDescent="0.25">
      <c r="A367" s="416" t="str">
        <f>RIGHT('[1]7ª'!$A$5:$D$5,12)</f>
        <v>7ª SÉRIE E.F</v>
      </c>
      <c r="B367" s="451">
        <v>36</v>
      </c>
      <c r="C367" s="248">
        <f>'7ª'!$B40</f>
        <v>0</v>
      </c>
      <c r="D367" s="362">
        <f>'7ª'!$C40</f>
        <v>0</v>
      </c>
      <c r="E367" s="249">
        <f>'7ª'!$D40</f>
        <v>0</v>
      </c>
      <c r="F367" s="249">
        <f>'7ª'!$E40</f>
        <v>0</v>
      </c>
      <c r="G367" s="250">
        <f>'7ª'!$F40</f>
        <v>0</v>
      </c>
      <c r="H367" s="362">
        <f>'7ª'!$G40</f>
        <v>0</v>
      </c>
      <c r="I367" s="364">
        <f>'7ª'!$H40</f>
        <v>0</v>
      </c>
      <c r="J367" s="362"/>
      <c r="K367" s="362">
        <f>'7ª'!$I40</f>
        <v>0</v>
      </c>
      <c r="L367" s="250">
        <f>'7ª'!$J40</f>
        <v>0</v>
      </c>
      <c r="M367" s="362"/>
      <c r="N367" s="252">
        <f>'7ª'!$K40</f>
        <v>0</v>
      </c>
      <c r="O367" s="362"/>
      <c r="P367" s="253" t="s">
        <v>110</v>
      </c>
      <c r="Q367" s="415" t="s">
        <v>250</v>
      </c>
      <c r="R367" s="383">
        <f>'7ª'!$L40</f>
        <v>0</v>
      </c>
      <c r="S367" s="383">
        <f>'7ª'!$M40</f>
        <v>0</v>
      </c>
      <c r="T367" s="383">
        <f>'7ª'!$N40</f>
        <v>0</v>
      </c>
      <c r="U367" s="383">
        <f>'7ª'!$O40</f>
        <v>0</v>
      </c>
      <c r="V367" s="383">
        <f>'7ª'!$P40</f>
        <v>0</v>
      </c>
      <c r="W367" s="383">
        <f>'7ª'!$Q40</f>
        <v>0</v>
      </c>
      <c r="X367" s="383">
        <f>'7ª'!$R40</f>
        <v>0</v>
      </c>
      <c r="Y367" s="383">
        <f>'7ª'!$S40</f>
        <v>0</v>
      </c>
      <c r="Z367" s="384">
        <f>'7ª'!$T40</f>
        <v>0</v>
      </c>
      <c r="AA367" s="384">
        <f>'7ª'!$U40</f>
        <v>0</v>
      </c>
      <c r="AB367" s="385" t="s">
        <v>327</v>
      </c>
      <c r="AC367" s="385"/>
      <c r="AD367" s="435" t="s">
        <v>466</v>
      </c>
    </row>
    <row r="368" spans="1:30" ht="15.75" x14ac:dyDescent="0.25">
      <c r="A368" s="416" t="str">
        <f>RIGHT('[1]7ª'!$A$5:$D$5,12)</f>
        <v>7ª SÉRIE E.F</v>
      </c>
      <c r="B368" s="451">
        <v>37</v>
      </c>
      <c r="C368" s="248">
        <f>'7ª'!$B41</f>
        <v>0</v>
      </c>
      <c r="D368" s="362">
        <f>'7ª'!$C41</f>
        <v>0</v>
      </c>
      <c r="E368" s="249">
        <f>'7ª'!$D41</f>
        <v>0</v>
      </c>
      <c r="F368" s="249">
        <f>'7ª'!$E41</f>
        <v>0</v>
      </c>
      <c r="G368" s="250">
        <f>'7ª'!$F41</f>
        <v>0</v>
      </c>
      <c r="H368" s="362">
        <f>'7ª'!$G41</f>
        <v>0</v>
      </c>
      <c r="I368" s="364">
        <f>'7ª'!$H41</f>
        <v>0</v>
      </c>
      <c r="J368" s="362"/>
      <c r="K368" s="362">
        <f>'7ª'!$I41</f>
        <v>0</v>
      </c>
      <c r="L368" s="250">
        <f>'7ª'!$J41</f>
        <v>0</v>
      </c>
      <c r="M368" s="362"/>
      <c r="N368" s="252">
        <f>'7ª'!$K41</f>
        <v>0</v>
      </c>
      <c r="O368" s="362"/>
      <c r="P368" s="253" t="s">
        <v>110</v>
      </c>
      <c r="Q368" s="415" t="s">
        <v>250</v>
      </c>
      <c r="R368" s="383">
        <f>'7ª'!$L41</f>
        <v>0</v>
      </c>
      <c r="S368" s="383">
        <f>'7ª'!$M41</f>
        <v>0</v>
      </c>
      <c r="T368" s="383">
        <f>'7ª'!$N41</f>
        <v>0</v>
      </c>
      <c r="U368" s="383">
        <f>'7ª'!$O41</f>
        <v>0</v>
      </c>
      <c r="V368" s="383">
        <f>'7ª'!$P41</f>
        <v>0</v>
      </c>
      <c r="W368" s="383">
        <f>'7ª'!$Q41</f>
        <v>0</v>
      </c>
      <c r="X368" s="383">
        <f>'7ª'!$R41</f>
        <v>0</v>
      </c>
      <c r="Y368" s="383">
        <f>'7ª'!$S41</f>
        <v>0</v>
      </c>
      <c r="Z368" s="384">
        <f>'7ª'!$T41</f>
        <v>0</v>
      </c>
      <c r="AA368" s="384">
        <f>'7ª'!$U41</f>
        <v>0</v>
      </c>
      <c r="AB368" s="385" t="s">
        <v>327</v>
      </c>
      <c r="AC368" s="385"/>
      <c r="AD368" s="435" t="s">
        <v>466</v>
      </c>
    </row>
    <row r="369" spans="1:30" ht="15.75" x14ac:dyDescent="0.25">
      <c r="A369" s="416" t="str">
        <f>RIGHT('[1]7ª'!$A$5:$D$5,12)</f>
        <v>7ª SÉRIE E.F</v>
      </c>
      <c r="B369" s="451">
        <v>38</v>
      </c>
      <c r="C369" s="248">
        <f>'7ª'!$B42</f>
        <v>0</v>
      </c>
      <c r="D369" s="362">
        <f>'7ª'!$C42</f>
        <v>0</v>
      </c>
      <c r="E369" s="249">
        <f>'7ª'!$D42</f>
        <v>0</v>
      </c>
      <c r="F369" s="249">
        <f>'7ª'!$E42</f>
        <v>0</v>
      </c>
      <c r="G369" s="250">
        <f>'7ª'!$F42</f>
        <v>0</v>
      </c>
      <c r="H369" s="362">
        <f>'7ª'!$G42</f>
        <v>0</v>
      </c>
      <c r="I369" s="364">
        <f>'7ª'!$H42</f>
        <v>0</v>
      </c>
      <c r="J369" s="362"/>
      <c r="K369" s="362">
        <f>'7ª'!$I42</f>
        <v>0</v>
      </c>
      <c r="L369" s="250">
        <f>'7ª'!$J42</f>
        <v>0</v>
      </c>
      <c r="M369" s="362"/>
      <c r="N369" s="252">
        <f>'7ª'!$K42</f>
        <v>0</v>
      </c>
      <c r="O369" s="362"/>
      <c r="P369" s="253" t="s">
        <v>110</v>
      </c>
      <c r="Q369" s="415" t="s">
        <v>250</v>
      </c>
      <c r="R369" s="383">
        <f>'7ª'!$L42</f>
        <v>0</v>
      </c>
      <c r="S369" s="383">
        <f>'7ª'!$M42</f>
        <v>0</v>
      </c>
      <c r="T369" s="383">
        <f>'7ª'!$N42</f>
        <v>0</v>
      </c>
      <c r="U369" s="383">
        <f>'7ª'!$O42</f>
        <v>0</v>
      </c>
      <c r="V369" s="383">
        <f>'7ª'!$P42</f>
        <v>0</v>
      </c>
      <c r="W369" s="383">
        <f>'7ª'!$Q42</f>
        <v>0</v>
      </c>
      <c r="X369" s="383">
        <f>'7ª'!$R42</f>
        <v>0</v>
      </c>
      <c r="Y369" s="383">
        <f>'7ª'!$S42</f>
        <v>0</v>
      </c>
      <c r="Z369" s="384">
        <f>'7ª'!$T42</f>
        <v>0</v>
      </c>
      <c r="AA369" s="384">
        <f>'7ª'!$U42</f>
        <v>0</v>
      </c>
      <c r="AB369" s="385" t="s">
        <v>327</v>
      </c>
      <c r="AC369" s="385"/>
      <c r="AD369" s="435" t="s">
        <v>466</v>
      </c>
    </row>
    <row r="370" spans="1:30" ht="15.75" x14ac:dyDescent="0.25">
      <c r="A370" s="416" t="str">
        <f>RIGHT('[1]7ª'!$A$5:$D$5,12)</f>
        <v>7ª SÉRIE E.F</v>
      </c>
      <c r="B370" s="451">
        <v>39</v>
      </c>
      <c r="C370" s="248">
        <f>'7ª'!$B43</f>
        <v>0</v>
      </c>
      <c r="D370" s="362">
        <f>'7ª'!$C43</f>
        <v>0</v>
      </c>
      <c r="E370" s="249">
        <f>'7ª'!$D43</f>
        <v>0</v>
      </c>
      <c r="F370" s="249">
        <f>'7ª'!$E43</f>
        <v>0</v>
      </c>
      <c r="G370" s="250">
        <f>'7ª'!$F43</f>
        <v>0</v>
      </c>
      <c r="H370" s="362">
        <f>'7ª'!$G43</f>
        <v>0</v>
      </c>
      <c r="I370" s="364">
        <f>'7ª'!$H43</f>
        <v>0</v>
      </c>
      <c r="J370" s="362"/>
      <c r="K370" s="362">
        <f>'7ª'!$I43</f>
        <v>0</v>
      </c>
      <c r="L370" s="250">
        <f>'7ª'!$J43</f>
        <v>0</v>
      </c>
      <c r="M370" s="362"/>
      <c r="N370" s="252">
        <f>'7ª'!$K43</f>
        <v>0</v>
      </c>
      <c r="O370" s="362"/>
      <c r="P370" s="253" t="s">
        <v>110</v>
      </c>
      <c r="Q370" s="415" t="s">
        <v>250</v>
      </c>
      <c r="R370" s="383">
        <f>'7ª'!$L43</f>
        <v>0</v>
      </c>
      <c r="S370" s="383">
        <f>'7ª'!$M43</f>
        <v>0</v>
      </c>
      <c r="T370" s="383">
        <f>'7ª'!$N43</f>
        <v>0</v>
      </c>
      <c r="U370" s="383">
        <f>'7ª'!$O43</f>
        <v>0</v>
      </c>
      <c r="V370" s="383">
        <f>'7ª'!$P43</f>
        <v>0</v>
      </c>
      <c r="W370" s="383">
        <f>'7ª'!$Q43</f>
        <v>0</v>
      </c>
      <c r="X370" s="383">
        <f>'7ª'!$R43</f>
        <v>0</v>
      </c>
      <c r="Y370" s="383">
        <f>'7ª'!$S43</f>
        <v>0</v>
      </c>
      <c r="Z370" s="384">
        <f>'7ª'!$T43</f>
        <v>0</v>
      </c>
      <c r="AA370" s="384">
        <f>'7ª'!$U43</f>
        <v>0</v>
      </c>
      <c r="AB370" s="385" t="s">
        <v>327</v>
      </c>
      <c r="AC370" s="385"/>
      <c r="AD370" s="435" t="s">
        <v>466</v>
      </c>
    </row>
    <row r="371" spans="1:30" ht="15.75" x14ac:dyDescent="0.25">
      <c r="A371" s="416" t="str">
        <f>RIGHT('[1]7ª'!$A$5:$D$5,12)</f>
        <v>7ª SÉRIE E.F</v>
      </c>
      <c r="B371" s="451">
        <v>40</v>
      </c>
      <c r="C371" s="248">
        <f>'7ª'!$B44</f>
        <v>0</v>
      </c>
      <c r="D371" s="362">
        <f>'7ª'!$C44</f>
        <v>0</v>
      </c>
      <c r="E371" s="249">
        <f>'7ª'!$D44</f>
        <v>0</v>
      </c>
      <c r="F371" s="249">
        <f>'7ª'!$E44</f>
        <v>0</v>
      </c>
      <c r="G371" s="250">
        <f>'7ª'!$F44</f>
        <v>0</v>
      </c>
      <c r="H371" s="362">
        <f>'7ª'!$G44</f>
        <v>0</v>
      </c>
      <c r="I371" s="364">
        <f>'7ª'!$H44</f>
        <v>0</v>
      </c>
      <c r="J371" s="362"/>
      <c r="K371" s="362">
        <f>'7ª'!$I44</f>
        <v>0</v>
      </c>
      <c r="L371" s="250">
        <f>'7ª'!$J44</f>
        <v>0</v>
      </c>
      <c r="M371" s="362"/>
      <c r="N371" s="252">
        <f>'7ª'!$K44</f>
        <v>0</v>
      </c>
      <c r="O371" s="362"/>
      <c r="P371" s="253" t="s">
        <v>110</v>
      </c>
      <c r="Q371" s="415" t="s">
        <v>250</v>
      </c>
      <c r="R371" s="383">
        <f>'7ª'!$L44</f>
        <v>0</v>
      </c>
      <c r="S371" s="383">
        <f>'7ª'!$M44</f>
        <v>0</v>
      </c>
      <c r="T371" s="383">
        <f>'7ª'!$N44</f>
        <v>0</v>
      </c>
      <c r="U371" s="383">
        <f>'7ª'!$O44</f>
        <v>0</v>
      </c>
      <c r="V371" s="383">
        <f>'7ª'!$P44</f>
        <v>0</v>
      </c>
      <c r="W371" s="383">
        <f>'7ª'!$Q44</f>
        <v>0</v>
      </c>
      <c r="X371" s="383">
        <f>'7ª'!$R44</f>
        <v>0</v>
      </c>
      <c r="Y371" s="383">
        <f>'7ª'!$S44</f>
        <v>0</v>
      </c>
      <c r="Z371" s="384">
        <f>'7ª'!$T44</f>
        <v>0</v>
      </c>
      <c r="AA371" s="384">
        <f>'7ª'!$U44</f>
        <v>0</v>
      </c>
      <c r="AB371" s="385" t="s">
        <v>327</v>
      </c>
      <c r="AC371" s="385"/>
      <c r="AD371" s="435" t="s">
        <v>466</v>
      </c>
    </row>
    <row r="372" spans="1:30" ht="15.75" x14ac:dyDescent="0.25">
      <c r="A372" s="416" t="str">
        <f>RIGHT('[1]7ª'!$A$5:$D$5,12)</f>
        <v>7ª SÉRIE E.F</v>
      </c>
      <c r="B372" s="451">
        <v>41</v>
      </c>
      <c r="C372" s="248">
        <f>'7ª'!$B45</f>
        <v>0</v>
      </c>
      <c r="D372" s="362">
        <f>'7ª'!$C45</f>
        <v>0</v>
      </c>
      <c r="E372" s="249">
        <f>'7ª'!$D45</f>
        <v>0</v>
      </c>
      <c r="F372" s="249">
        <f>'7ª'!$E45</f>
        <v>0</v>
      </c>
      <c r="G372" s="250">
        <f>'7ª'!$F45</f>
        <v>0</v>
      </c>
      <c r="H372" s="362">
        <f>'7ª'!$G45</f>
        <v>0</v>
      </c>
      <c r="I372" s="364">
        <f>'7ª'!$H45</f>
        <v>0</v>
      </c>
      <c r="J372" s="362"/>
      <c r="K372" s="362">
        <f>'7ª'!$I45</f>
        <v>0</v>
      </c>
      <c r="L372" s="250">
        <f>'7ª'!$J45</f>
        <v>0</v>
      </c>
      <c r="M372" s="362"/>
      <c r="N372" s="252">
        <f>'7ª'!$K45</f>
        <v>0</v>
      </c>
      <c r="O372" s="362"/>
      <c r="P372" s="253" t="s">
        <v>110</v>
      </c>
      <c r="Q372" s="415" t="s">
        <v>250</v>
      </c>
      <c r="R372" s="383">
        <f>'7ª'!$L45</f>
        <v>0</v>
      </c>
      <c r="S372" s="383">
        <f>'7ª'!$M45</f>
        <v>0</v>
      </c>
      <c r="T372" s="383">
        <f>'7ª'!$N45</f>
        <v>0</v>
      </c>
      <c r="U372" s="383">
        <f>'7ª'!$O45</f>
        <v>0</v>
      </c>
      <c r="V372" s="383">
        <f>'7ª'!$P45</f>
        <v>0</v>
      </c>
      <c r="W372" s="383">
        <f>'7ª'!$Q45</f>
        <v>0</v>
      </c>
      <c r="X372" s="383">
        <f>'7ª'!$R45</f>
        <v>0</v>
      </c>
      <c r="Y372" s="383">
        <f>'7ª'!$S45</f>
        <v>0</v>
      </c>
      <c r="Z372" s="384">
        <f>'7ª'!$T45</f>
        <v>0</v>
      </c>
      <c r="AA372" s="384">
        <f>'7ª'!$U45</f>
        <v>0</v>
      </c>
      <c r="AB372" s="385" t="s">
        <v>327</v>
      </c>
      <c r="AC372" s="385"/>
      <c r="AD372" s="435" t="s">
        <v>466</v>
      </c>
    </row>
    <row r="373" spans="1:30" ht="15.75" x14ac:dyDescent="0.25">
      <c r="A373" s="416" t="str">
        <f>RIGHT('[1]7ª'!$A$5:$D$5,12)</f>
        <v>7ª SÉRIE E.F</v>
      </c>
      <c r="B373" s="451">
        <v>42</v>
      </c>
      <c r="C373" s="248">
        <f>'7ª'!$B46</f>
        <v>0</v>
      </c>
      <c r="D373" s="362">
        <f>'7ª'!$C46</f>
        <v>0</v>
      </c>
      <c r="E373" s="249">
        <f>'7ª'!$D46</f>
        <v>0</v>
      </c>
      <c r="F373" s="249">
        <f>'7ª'!$E46</f>
        <v>0</v>
      </c>
      <c r="G373" s="250">
        <f>'7ª'!$F46</f>
        <v>0</v>
      </c>
      <c r="H373" s="362">
        <f>'7ª'!$G46</f>
        <v>0</v>
      </c>
      <c r="I373" s="364">
        <f>'7ª'!$H46</f>
        <v>0</v>
      </c>
      <c r="J373" s="362"/>
      <c r="K373" s="362">
        <f>'7ª'!$I46</f>
        <v>0</v>
      </c>
      <c r="L373" s="250">
        <f>'7ª'!$J46</f>
        <v>0</v>
      </c>
      <c r="M373" s="362"/>
      <c r="N373" s="252">
        <f>'7ª'!$K46</f>
        <v>0</v>
      </c>
      <c r="O373" s="362"/>
      <c r="P373" s="253" t="s">
        <v>110</v>
      </c>
      <c r="Q373" s="415" t="s">
        <v>250</v>
      </c>
      <c r="R373" s="383">
        <f>'7ª'!$L46</f>
        <v>0</v>
      </c>
      <c r="S373" s="383">
        <f>'7ª'!$M46</f>
        <v>0</v>
      </c>
      <c r="T373" s="383">
        <f>'7ª'!$N46</f>
        <v>0</v>
      </c>
      <c r="U373" s="383">
        <f>'7ª'!$O46</f>
        <v>0</v>
      </c>
      <c r="V373" s="383">
        <f>'7ª'!$P46</f>
        <v>0</v>
      </c>
      <c r="W373" s="383">
        <f>'7ª'!$Q46</f>
        <v>0</v>
      </c>
      <c r="X373" s="383">
        <f>'7ª'!$R46</f>
        <v>0</v>
      </c>
      <c r="Y373" s="383">
        <f>'7ª'!$S46</f>
        <v>0</v>
      </c>
      <c r="Z373" s="384">
        <f>'7ª'!$T46</f>
        <v>0</v>
      </c>
      <c r="AA373" s="384">
        <f>'7ª'!$U46</f>
        <v>0</v>
      </c>
      <c r="AB373" s="385" t="s">
        <v>327</v>
      </c>
      <c r="AC373" s="385"/>
      <c r="AD373" s="435" t="s">
        <v>466</v>
      </c>
    </row>
    <row r="374" spans="1:30" ht="15.75" x14ac:dyDescent="0.25">
      <c r="A374" s="416" t="str">
        <f>RIGHT('[1]7ª'!$A$5:$D$5,12)</f>
        <v>7ª SÉRIE E.F</v>
      </c>
      <c r="B374" s="451">
        <v>43</v>
      </c>
      <c r="C374" s="248">
        <f>'7ª'!$B47</f>
        <v>0</v>
      </c>
      <c r="D374" s="362">
        <f>'7ª'!$C47</f>
        <v>0</v>
      </c>
      <c r="E374" s="249">
        <f>'7ª'!$D47</f>
        <v>0</v>
      </c>
      <c r="F374" s="249">
        <f>'7ª'!$E47</f>
        <v>0</v>
      </c>
      <c r="G374" s="250">
        <f>'7ª'!$F47</f>
        <v>0</v>
      </c>
      <c r="H374" s="362">
        <f>'7ª'!$G47</f>
        <v>0</v>
      </c>
      <c r="I374" s="364">
        <f>'7ª'!$H47</f>
        <v>0</v>
      </c>
      <c r="J374" s="362"/>
      <c r="K374" s="362">
        <f>'7ª'!$I47</f>
        <v>0</v>
      </c>
      <c r="L374" s="250">
        <f>'7ª'!$J47</f>
        <v>0</v>
      </c>
      <c r="M374" s="362"/>
      <c r="N374" s="252">
        <f>'7ª'!$K47</f>
        <v>0</v>
      </c>
      <c r="O374" s="362"/>
      <c r="P374" s="253" t="s">
        <v>110</v>
      </c>
      <c r="Q374" s="415" t="s">
        <v>250</v>
      </c>
      <c r="R374" s="383">
        <f>'7ª'!$L47</f>
        <v>0</v>
      </c>
      <c r="S374" s="383">
        <f>'7ª'!$M47</f>
        <v>0</v>
      </c>
      <c r="T374" s="383">
        <f>'7ª'!$N47</f>
        <v>0</v>
      </c>
      <c r="U374" s="383">
        <f>'7ª'!$O47</f>
        <v>0</v>
      </c>
      <c r="V374" s="383">
        <f>'7ª'!$P47</f>
        <v>0</v>
      </c>
      <c r="W374" s="383">
        <f>'7ª'!$Q47</f>
        <v>0</v>
      </c>
      <c r="X374" s="383">
        <f>'7ª'!$R47</f>
        <v>0</v>
      </c>
      <c r="Y374" s="383">
        <f>'7ª'!$S47</f>
        <v>0</v>
      </c>
      <c r="Z374" s="384">
        <f>'7ª'!$T47</f>
        <v>0</v>
      </c>
      <c r="AA374" s="384">
        <f>'7ª'!$U47</f>
        <v>0</v>
      </c>
      <c r="AB374" s="385" t="s">
        <v>327</v>
      </c>
      <c r="AC374" s="385"/>
      <c r="AD374" s="435" t="s">
        <v>466</v>
      </c>
    </row>
    <row r="375" spans="1:30" ht="15.75" x14ac:dyDescent="0.25">
      <c r="A375" s="416" t="str">
        <f>RIGHT('[1]7ª'!$A$5:$D$5,12)</f>
        <v>7ª SÉRIE E.F</v>
      </c>
      <c r="B375" s="451">
        <v>44</v>
      </c>
      <c r="C375" s="248">
        <f>'7ª'!$B48</f>
        <v>0</v>
      </c>
      <c r="D375" s="362">
        <f>'7ª'!$C48</f>
        <v>0</v>
      </c>
      <c r="E375" s="249">
        <f>'7ª'!$D48</f>
        <v>0</v>
      </c>
      <c r="F375" s="249">
        <f>'7ª'!$E48</f>
        <v>0</v>
      </c>
      <c r="G375" s="250">
        <f>'7ª'!$F48</f>
        <v>0</v>
      </c>
      <c r="H375" s="362">
        <f>'7ª'!$G48</f>
        <v>0</v>
      </c>
      <c r="I375" s="364">
        <f>'7ª'!$H48</f>
        <v>0</v>
      </c>
      <c r="J375" s="362"/>
      <c r="K375" s="362">
        <f>'7ª'!$I48</f>
        <v>0</v>
      </c>
      <c r="L375" s="250">
        <f>'7ª'!$J48</f>
        <v>0</v>
      </c>
      <c r="M375" s="362"/>
      <c r="N375" s="252">
        <f>'7ª'!$K48</f>
        <v>0</v>
      </c>
      <c r="O375" s="362"/>
      <c r="P375" s="253" t="s">
        <v>110</v>
      </c>
      <c r="Q375" s="415" t="s">
        <v>250</v>
      </c>
      <c r="R375" s="383">
        <f>'7ª'!$L48</f>
        <v>0</v>
      </c>
      <c r="S375" s="383">
        <f>'7ª'!$M48</f>
        <v>0</v>
      </c>
      <c r="T375" s="383">
        <f>'7ª'!$N48</f>
        <v>0</v>
      </c>
      <c r="U375" s="383">
        <f>'7ª'!$O48</f>
        <v>0</v>
      </c>
      <c r="V375" s="383">
        <f>'7ª'!$P48</f>
        <v>0</v>
      </c>
      <c r="W375" s="383">
        <f>'7ª'!$Q48</f>
        <v>0</v>
      </c>
      <c r="X375" s="383">
        <f>'7ª'!$R48</f>
        <v>0</v>
      </c>
      <c r="Y375" s="383">
        <f>'7ª'!$S48</f>
        <v>0</v>
      </c>
      <c r="Z375" s="384">
        <f>'7ª'!$T48</f>
        <v>0</v>
      </c>
      <c r="AA375" s="384">
        <f>'7ª'!$U48</f>
        <v>0</v>
      </c>
      <c r="AB375" s="385" t="s">
        <v>327</v>
      </c>
      <c r="AC375" s="385"/>
      <c r="AD375" s="435" t="s">
        <v>466</v>
      </c>
    </row>
    <row r="376" spans="1:30" ht="15.75" x14ac:dyDescent="0.25">
      <c r="A376" s="416" t="str">
        <f>RIGHT('[1]7ª'!$A$5:$D$5,12)</f>
        <v>7ª SÉRIE E.F</v>
      </c>
      <c r="B376" s="451">
        <v>45</v>
      </c>
      <c r="C376" s="248">
        <f>'7ª'!$B49</f>
        <v>0</v>
      </c>
      <c r="D376" s="362">
        <f>'7ª'!$C49</f>
        <v>0</v>
      </c>
      <c r="E376" s="249">
        <f>'7ª'!$D49</f>
        <v>0</v>
      </c>
      <c r="F376" s="249">
        <f>'7ª'!$E49</f>
        <v>0</v>
      </c>
      <c r="G376" s="250">
        <f>'7ª'!$F49</f>
        <v>0</v>
      </c>
      <c r="H376" s="362">
        <f>'7ª'!$G49</f>
        <v>0</v>
      </c>
      <c r="I376" s="364">
        <f>'7ª'!$H49</f>
        <v>0</v>
      </c>
      <c r="J376" s="362"/>
      <c r="K376" s="362">
        <f>'7ª'!$I49</f>
        <v>0</v>
      </c>
      <c r="L376" s="250">
        <f>'7ª'!$J49</f>
        <v>0</v>
      </c>
      <c r="M376" s="362"/>
      <c r="N376" s="252">
        <f>'7ª'!$K49</f>
        <v>0</v>
      </c>
      <c r="O376" s="362"/>
      <c r="P376" s="253" t="s">
        <v>110</v>
      </c>
      <c r="Q376" s="415" t="s">
        <v>250</v>
      </c>
      <c r="R376" s="383">
        <f>'7ª'!$L49</f>
        <v>0</v>
      </c>
      <c r="S376" s="383">
        <f>'7ª'!$M49</f>
        <v>0</v>
      </c>
      <c r="T376" s="383">
        <f>'7ª'!$N49</f>
        <v>0</v>
      </c>
      <c r="U376" s="383">
        <f>'7ª'!$O49</f>
        <v>0</v>
      </c>
      <c r="V376" s="383">
        <f>'7ª'!$P49</f>
        <v>0</v>
      </c>
      <c r="W376" s="383">
        <f>'7ª'!$Q49</f>
        <v>0</v>
      </c>
      <c r="X376" s="383">
        <f>'7ª'!$R49</f>
        <v>0</v>
      </c>
      <c r="Y376" s="383">
        <f>'7ª'!$S49</f>
        <v>0</v>
      </c>
      <c r="Z376" s="384">
        <f>'7ª'!$T49</f>
        <v>0</v>
      </c>
      <c r="AA376" s="384">
        <f>'7ª'!$U49</f>
        <v>0</v>
      </c>
      <c r="AB376" s="385" t="s">
        <v>327</v>
      </c>
      <c r="AC376" s="385"/>
      <c r="AD376" s="435" t="s">
        <v>466</v>
      </c>
    </row>
    <row r="377" spans="1:30" ht="15.75" x14ac:dyDescent="0.25">
      <c r="A377" s="416" t="str">
        <f>RIGHT('[1]7ª'!$A$5:$D$5,12)</f>
        <v>7ª SÉRIE E.F</v>
      </c>
      <c r="B377" s="451">
        <v>46</v>
      </c>
      <c r="C377" s="248">
        <f>'7ª'!$B50</f>
        <v>0</v>
      </c>
      <c r="D377" s="362">
        <f>'7ª'!$C50</f>
        <v>0</v>
      </c>
      <c r="E377" s="249">
        <f>'7ª'!$D50</f>
        <v>0</v>
      </c>
      <c r="F377" s="249">
        <f>'7ª'!$E50</f>
        <v>0</v>
      </c>
      <c r="G377" s="250">
        <f>'7ª'!$F50</f>
        <v>0</v>
      </c>
      <c r="H377" s="362">
        <f>'7ª'!$G50</f>
        <v>0</v>
      </c>
      <c r="I377" s="364">
        <f>'7ª'!$H50</f>
        <v>0</v>
      </c>
      <c r="J377" s="362"/>
      <c r="K377" s="362">
        <f>'7ª'!$I50</f>
        <v>0</v>
      </c>
      <c r="L377" s="250">
        <f>'7ª'!$J50</f>
        <v>0</v>
      </c>
      <c r="M377" s="362"/>
      <c r="N377" s="252">
        <f>'7ª'!$K50</f>
        <v>0</v>
      </c>
      <c r="O377" s="362"/>
      <c r="P377" s="253" t="s">
        <v>110</v>
      </c>
      <c r="Q377" s="415" t="s">
        <v>250</v>
      </c>
      <c r="R377" s="383">
        <f>'7ª'!$L50</f>
        <v>0</v>
      </c>
      <c r="S377" s="383">
        <f>'7ª'!$M50</f>
        <v>0</v>
      </c>
      <c r="T377" s="383">
        <f>'7ª'!$N50</f>
        <v>0</v>
      </c>
      <c r="U377" s="383">
        <f>'7ª'!$O50</f>
        <v>0</v>
      </c>
      <c r="V377" s="383">
        <f>'7ª'!$P50</f>
        <v>0</v>
      </c>
      <c r="W377" s="383">
        <f>'7ª'!$Q50</f>
        <v>0</v>
      </c>
      <c r="X377" s="383">
        <f>'7ª'!$R50</f>
        <v>0</v>
      </c>
      <c r="Y377" s="383">
        <f>'7ª'!$S50</f>
        <v>0</v>
      </c>
      <c r="Z377" s="384">
        <f>'7ª'!$T50</f>
        <v>0</v>
      </c>
      <c r="AA377" s="384">
        <f>'7ª'!$U50</f>
        <v>0</v>
      </c>
      <c r="AB377" s="385" t="s">
        <v>327</v>
      </c>
      <c r="AC377" s="385"/>
      <c r="AD377" s="435" t="s">
        <v>466</v>
      </c>
    </row>
    <row r="378" spans="1:30" ht="15.75" x14ac:dyDescent="0.25">
      <c r="A378" s="416" t="str">
        <f>RIGHT('[1]7ª'!$A$5:$D$5,12)</f>
        <v>7ª SÉRIE E.F</v>
      </c>
      <c r="B378" s="451">
        <v>47</v>
      </c>
      <c r="C378" s="248">
        <f>'7ª'!$B51</f>
        <v>0</v>
      </c>
      <c r="D378" s="362">
        <f>'7ª'!$C51</f>
        <v>0</v>
      </c>
      <c r="E378" s="249">
        <f>'7ª'!$D51</f>
        <v>0</v>
      </c>
      <c r="F378" s="249">
        <f>'7ª'!$E51</f>
        <v>0</v>
      </c>
      <c r="G378" s="250">
        <f>'7ª'!$F51</f>
        <v>0</v>
      </c>
      <c r="H378" s="362">
        <f>'7ª'!$G51</f>
        <v>0</v>
      </c>
      <c r="I378" s="364">
        <f>'7ª'!$H51</f>
        <v>0</v>
      </c>
      <c r="J378" s="362"/>
      <c r="K378" s="362">
        <f>'7ª'!$I51</f>
        <v>0</v>
      </c>
      <c r="L378" s="250">
        <f>'7ª'!$J51</f>
        <v>0</v>
      </c>
      <c r="M378" s="362"/>
      <c r="N378" s="252">
        <f>'7ª'!$K51</f>
        <v>0</v>
      </c>
      <c r="O378" s="362"/>
      <c r="P378" s="253" t="s">
        <v>110</v>
      </c>
      <c r="Q378" s="415" t="s">
        <v>250</v>
      </c>
      <c r="R378" s="383">
        <f>'7ª'!$L51</f>
        <v>0</v>
      </c>
      <c r="S378" s="383">
        <f>'7ª'!$M51</f>
        <v>0</v>
      </c>
      <c r="T378" s="383">
        <f>'7ª'!$N51</f>
        <v>0</v>
      </c>
      <c r="U378" s="383">
        <f>'7ª'!$O51</f>
        <v>0</v>
      </c>
      <c r="V378" s="383">
        <f>'7ª'!$P51</f>
        <v>0</v>
      </c>
      <c r="W378" s="383">
        <f>'7ª'!$Q51</f>
        <v>0</v>
      </c>
      <c r="X378" s="383">
        <f>'7ª'!$R51</f>
        <v>0</v>
      </c>
      <c r="Y378" s="383">
        <f>'7ª'!$S51</f>
        <v>0</v>
      </c>
      <c r="Z378" s="384">
        <f>'7ª'!$T51</f>
        <v>0</v>
      </c>
      <c r="AA378" s="384">
        <f>'7ª'!$U51</f>
        <v>0</v>
      </c>
      <c r="AB378" s="385" t="s">
        <v>327</v>
      </c>
      <c r="AC378" s="385"/>
      <c r="AD378" s="435" t="s">
        <v>466</v>
      </c>
    </row>
    <row r="379" spans="1:30" ht="15.75" x14ac:dyDescent="0.25">
      <c r="A379" s="416" t="str">
        <f>RIGHT('[1]7ª'!$A$5:$D$5,12)</f>
        <v>7ª SÉRIE E.F</v>
      </c>
      <c r="B379" s="451">
        <v>48</v>
      </c>
      <c r="C379" s="248">
        <f>'7ª'!$B52</f>
        <v>0</v>
      </c>
      <c r="D379" s="362">
        <f>'7ª'!$C52</f>
        <v>0</v>
      </c>
      <c r="E379" s="249">
        <f>'7ª'!$D52</f>
        <v>0</v>
      </c>
      <c r="F379" s="249">
        <f>'7ª'!$E52</f>
        <v>0</v>
      </c>
      <c r="G379" s="250">
        <f>'7ª'!$F52</f>
        <v>0</v>
      </c>
      <c r="H379" s="362">
        <f>'7ª'!$G52</f>
        <v>0</v>
      </c>
      <c r="I379" s="364">
        <f>'7ª'!$H52</f>
        <v>0</v>
      </c>
      <c r="J379" s="362"/>
      <c r="K379" s="362">
        <f>'7ª'!$I52</f>
        <v>0</v>
      </c>
      <c r="L379" s="250">
        <f>'7ª'!$J52</f>
        <v>0</v>
      </c>
      <c r="M379" s="362"/>
      <c r="N379" s="252">
        <f>'7ª'!$K52</f>
        <v>0</v>
      </c>
      <c r="O379" s="362"/>
      <c r="P379" s="253" t="s">
        <v>110</v>
      </c>
      <c r="Q379" s="415" t="s">
        <v>250</v>
      </c>
      <c r="R379" s="383">
        <f>'7ª'!$L52</f>
        <v>0</v>
      </c>
      <c r="S379" s="383">
        <f>'7ª'!$M52</f>
        <v>0</v>
      </c>
      <c r="T379" s="383">
        <f>'7ª'!$N52</f>
        <v>0</v>
      </c>
      <c r="U379" s="383">
        <f>'7ª'!$O52</f>
        <v>0</v>
      </c>
      <c r="V379" s="383">
        <f>'7ª'!$P52</f>
        <v>0</v>
      </c>
      <c r="W379" s="383">
        <f>'7ª'!$Q52</f>
        <v>0</v>
      </c>
      <c r="X379" s="383">
        <f>'7ª'!$R52</f>
        <v>0</v>
      </c>
      <c r="Y379" s="383">
        <f>'7ª'!$S52</f>
        <v>0</v>
      </c>
      <c r="Z379" s="384">
        <f>'7ª'!$T52</f>
        <v>0</v>
      </c>
      <c r="AA379" s="384">
        <f>'7ª'!$U52</f>
        <v>0</v>
      </c>
      <c r="AB379" s="385" t="s">
        <v>327</v>
      </c>
      <c r="AC379" s="385"/>
      <c r="AD379" s="435" t="s">
        <v>466</v>
      </c>
    </row>
    <row r="380" spans="1:30" ht="15.75" x14ac:dyDescent="0.25">
      <c r="A380" s="416" t="str">
        <f>RIGHT('[1]7ª'!$A$5:$D$5,12)</f>
        <v>7ª SÉRIE E.F</v>
      </c>
      <c r="B380" s="451">
        <v>49</v>
      </c>
      <c r="C380" s="248">
        <f>'7ª'!$B53</f>
        <v>0</v>
      </c>
      <c r="D380" s="362">
        <f>'7ª'!$C53</f>
        <v>0</v>
      </c>
      <c r="E380" s="249">
        <f>'7ª'!$D53</f>
        <v>0</v>
      </c>
      <c r="F380" s="249">
        <f>'7ª'!$E53</f>
        <v>0</v>
      </c>
      <c r="G380" s="250">
        <f>'7ª'!$F53</f>
        <v>0</v>
      </c>
      <c r="H380" s="362">
        <f>'7ª'!$G53</f>
        <v>0</v>
      </c>
      <c r="I380" s="364">
        <f>'7ª'!$H53</f>
        <v>0</v>
      </c>
      <c r="J380" s="362"/>
      <c r="K380" s="362">
        <f>'7ª'!$I53</f>
        <v>0</v>
      </c>
      <c r="L380" s="250">
        <f>'7ª'!$J53</f>
        <v>0</v>
      </c>
      <c r="M380" s="362"/>
      <c r="N380" s="252">
        <f>'7ª'!$K53</f>
        <v>0</v>
      </c>
      <c r="O380" s="362"/>
      <c r="P380" s="253" t="s">
        <v>110</v>
      </c>
      <c r="Q380" s="415" t="s">
        <v>250</v>
      </c>
      <c r="R380" s="383">
        <f>'7ª'!$L53</f>
        <v>0</v>
      </c>
      <c r="S380" s="383">
        <f>'7ª'!$M53</f>
        <v>0</v>
      </c>
      <c r="T380" s="383">
        <f>'7ª'!$N53</f>
        <v>0</v>
      </c>
      <c r="U380" s="383">
        <f>'7ª'!$O53</f>
        <v>0</v>
      </c>
      <c r="V380" s="383">
        <f>'7ª'!$P53</f>
        <v>0</v>
      </c>
      <c r="W380" s="383">
        <f>'7ª'!$Q53</f>
        <v>0</v>
      </c>
      <c r="X380" s="383">
        <f>'7ª'!$R53</f>
        <v>0</v>
      </c>
      <c r="Y380" s="383">
        <f>'7ª'!$S53</f>
        <v>0</v>
      </c>
      <c r="Z380" s="384">
        <f>'7ª'!$T53</f>
        <v>0</v>
      </c>
      <c r="AA380" s="384">
        <f>'7ª'!$U53</f>
        <v>0</v>
      </c>
      <c r="AB380" s="385" t="s">
        <v>327</v>
      </c>
      <c r="AC380" s="385"/>
      <c r="AD380" s="435" t="s">
        <v>466</v>
      </c>
    </row>
    <row r="381" spans="1:30" ht="15.75" x14ac:dyDescent="0.25">
      <c r="A381" s="416" t="str">
        <f>RIGHT('[1]7ª'!$A$5:$D$5,12)</f>
        <v>7ª SÉRIE E.F</v>
      </c>
      <c r="B381" s="451">
        <v>50</v>
      </c>
      <c r="C381" s="248">
        <f>'7ª'!$B54</f>
        <v>0</v>
      </c>
      <c r="D381" s="362">
        <f>'7ª'!$C54</f>
        <v>0</v>
      </c>
      <c r="E381" s="249">
        <f>'7ª'!$D54</f>
        <v>0</v>
      </c>
      <c r="F381" s="249">
        <f>'7ª'!$E54</f>
        <v>0</v>
      </c>
      <c r="G381" s="250">
        <f>'7ª'!$F54</f>
        <v>0</v>
      </c>
      <c r="H381" s="362">
        <f>'7ª'!$G54</f>
        <v>0</v>
      </c>
      <c r="I381" s="364">
        <f>'7ª'!$H54</f>
        <v>0</v>
      </c>
      <c r="J381" s="362"/>
      <c r="K381" s="362">
        <f>'7ª'!$I54</f>
        <v>0</v>
      </c>
      <c r="L381" s="250">
        <f>'7ª'!$J54</f>
        <v>0</v>
      </c>
      <c r="M381" s="362"/>
      <c r="N381" s="252">
        <f>'7ª'!$K54</f>
        <v>0</v>
      </c>
      <c r="O381" s="362"/>
      <c r="P381" s="253" t="s">
        <v>110</v>
      </c>
      <c r="Q381" s="415" t="s">
        <v>250</v>
      </c>
      <c r="R381" s="383">
        <f>'7ª'!$L54</f>
        <v>0</v>
      </c>
      <c r="S381" s="383">
        <f>'7ª'!$M54</f>
        <v>0</v>
      </c>
      <c r="T381" s="383">
        <f>'7ª'!$N54</f>
        <v>0</v>
      </c>
      <c r="U381" s="383">
        <f>'7ª'!$O54</f>
        <v>0</v>
      </c>
      <c r="V381" s="383">
        <f>'7ª'!$P54</f>
        <v>0</v>
      </c>
      <c r="W381" s="383">
        <f>'7ª'!$Q54</f>
        <v>0</v>
      </c>
      <c r="X381" s="383">
        <f>'7ª'!$R54</f>
        <v>0</v>
      </c>
      <c r="Y381" s="383">
        <f>'7ª'!$S54</f>
        <v>0</v>
      </c>
      <c r="Z381" s="384">
        <f>'7ª'!$T54</f>
        <v>0</v>
      </c>
      <c r="AA381" s="384">
        <f>'7ª'!$U54</f>
        <v>0</v>
      </c>
      <c r="AB381" s="385" t="s">
        <v>327</v>
      </c>
      <c r="AC381" s="385"/>
      <c r="AD381" s="435" t="s">
        <v>466</v>
      </c>
    </row>
    <row r="382" spans="1:30" ht="15.75" x14ac:dyDescent="0.25">
      <c r="A382" s="416" t="str">
        <f>RIGHT('[1]7ª'!$A$5:$D$5,12)</f>
        <v>7ª SÉRIE E.F</v>
      </c>
      <c r="B382" s="451">
        <v>51</v>
      </c>
      <c r="C382" s="248">
        <f>'7ª'!$B55</f>
        <v>0</v>
      </c>
      <c r="D382" s="362">
        <f>'7ª'!$C55</f>
        <v>0</v>
      </c>
      <c r="E382" s="249">
        <f>'7ª'!$D55</f>
        <v>0</v>
      </c>
      <c r="F382" s="249">
        <f>'7ª'!$E55</f>
        <v>0</v>
      </c>
      <c r="G382" s="250">
        <f>'7ª'!$F55</f>
        <v>0</v>
      </c>
      <c r="H382" s="362">
        <f>'7ª'!$G55</f>
        <v>0</v>
      </c>
      <c r="I382" s="364">
        <f>'7ª'!$H55</f>
        <v>0</v>
      </c>
      <c r="J382" s="362"/>
      <c r="K382" s="362">
        <f>'7ª'!$I55</f>
        <v>0</v>
      </c>
      <c r="L382" s="250">
        <f>'7ª'!$J55</f>
        <v>0</v>
      </c>
      <c r="M382" s="362"/>
      <c r="N382" s="252">
        <f>'7ª'!$K55</f>
        <v>0</v>
      </c>
      <c r="O382" s="362"/>
      <c r="P382" s="253" t="s">
        <v>110</v>
      </c>
      <c r="Q382" s="415" t="s">
        <v>250</v>
      </c>
      <c r="R382" s="383">
        <f>'7ª'!$L55</f>
        <v>0</v>
      </c>
      <c r="S382" s="383">
        <f>'7ª'!$M55</f>
        <v>0</v>
      </c>
      <c r="T382" s="383">
        <f>'7ª'!$N55</f>
        <v>0</v>
      </c>
      <c r="U382" s="383">
        <f>'7ª'!$O55</f>
        <v>0</v>
      </c>
      <c r="V382" s="383">
        <f>'7ª'!$P55</f>
        <v>0</v>
      </c>
      <c r="W382" s="383">
        <f>'7ª'!$Q55</f>
        <v>0</v>
      </c>
      <c r="X382" s="383">
        <f>'7ª'!$R55</f>
        <v>0</v>
      </c>
      <c r="Y382" s="383">
        <f>'7ª'!$S55</f>
        <v>0</v>
      </c>
      <c r="Z382" s="384">
        <f>'7ª'!$T55</f>
        <v>0</v>
      </c>
      <c r="AA382" s="384">
        <f>'7ª'!$U55</f>
        <v>0</v>
      </c>
      <c r="AB382" s="385" t="s">
        <v>327</v>
      </c>
      <c r="AC382" s="385"/>
      <c r="AD382" s="435" t="s">
        <v>466</v>
      </c>
    </row>
    <row r="383" spans="1:30" ht="15.75" x14ac:dyDescent="0.25">
      <c r="A383" s="416" t="str">
        <f>RIGHT('[1]7ª'!$A$5:$D$5,12)</f>
        <v>7ª SÉRIE E.F</v>
      </c>
      <c r="B383" s="451">
        <v>52</v>
      </c>
      <c r="C383" s="248">
        <f>'7ª'!$B56</f>
        <v>0</v>
      </c>
      <c r="D383" s="362">
        <f>'7ª'!$C56</f>
        <v>0</v>
      </c>
      <c r="E383" s="249">
        <f>'7ª'!$D56</f>
        <v>0</v>
      </c>
      <c r="F383" s="249">
        <f>'7ª'!$E56</f>
        <v>0</v>
      </c>
      <c r="G383" s="250">
        <f>'7ª'!$F56</f>
        <v>0</v>
      </c>
      <c r="H383" s="362">
        <f>'7ª'!$G56</f>
        <v>0</v>
      </c>
      <c r="I383" s="364">
        <f>'7ª'!$H56</f>
        <v>0</v>
      </c>
      <c r="J383" s="362"/>
      <c r="K383" s="362">
        <f>'7ª'!$I56</f>
        <v>0</v>
      </c>
      <c r="L383" s="250">
        <f>'7ª'!$J56</f>
        <v>0</v>
      </c>
      <c r="M383" s="362"/>
      <c r="N383" s="252">
        <f>'7ª'!$K56</f>
        <v>0</v>
      </c>
      <c r="O383" s="362"/>
      <c r="P383" s="253" t="s">
        <v>110</v>
      </c>
      <c r="Q383" s="415" t="s">
        <v>250</v>
      </c>
      <c r="R383" s="383">
        <f>'7ª'!$L56</f>
        <v>0</v>
      </c>
      <c r="S383" s="383">
        <f>'7ª'!$M56</f>
        <v>0</v>
      </c>
      <c r="T383" s="383">
        <f>'7ª'!$N56</f>
        <v>0</v>
      </c>
      <c r="U383" s="383">
        <f>'7ª'!$O56</f>
        <v>0</v>
      </c>
      <c r="V383" s="383">
        <f>'7ª'!$P56</f>
        <v>0</v>
      </c>
      <c r="W383" s="383">
        <f>'7ª'!$Q56</f>
        <v>0</v>
      </c>
      <c r="X383" s="383">
        <f>'7ª'!$R56</f>
        <v>0</v>
      </c>
      <c r="Y383" s="383">
        <f>'7ª'!$S56</f>
        <v>0</v>
      </c>
      <c r="Z383" s="384">
        <f>'7ª'!$T56</f>
        <v>0</v>
      </c>
      <c r="AA383" s="384">
        <f>'7ª'!$U56</f>
        <v>0</v>
      </c>
      <c r="AB383" s="385" t="s">
        <v>327</v>
      </c>
      <c r="AC383" s="385"/>
      <c r="AD383" s="435" t="s">
        <v>466</v>
      </c>
    </row>
    <row r="384" spans="1:30" ht="15.75" x14ac:dyDescent="0.25">
      <c r="A384" s="416" t="str">
        <f>RIGHT('[1]7ª'!$A$5:$D$5,12)</f>
        <v>7ª SÉRIE E.F</v>
      </c>
      <c r="B384" s="451">
        <v>53</v>
      </c>
      <c r="C384" s="248">
        <f>'7ª'!$B57</f>
        <v>0</v>
      </c>
      <c r="D384" s="362">
        <f>'7ª'!$C57</f>
        <v>0</v>
      </c>
      <c r="E384" s="249">
        <f>'7ª'!$D57</f>
        <v>0</v>
      </c>
      <c r="F384" s="249">
        <f>'7ª'!$E57</f>
        <v>0</v>
      </c>
      <c r="G384" s="250">
        <f>'7ª'!$F57</f>
        <v>0</v>
      </c>
      <c r="H384" s="362">
        <f>'7ª'!$G57</f>
        <v>0</v>
      </c>
      <c r="I384" s="364">
        <f>'7ª'!$H57</f>
        <v>0</v>
      </c>
      <c r="J384" s="362"/>
      <c r="K384" s="362">
        <f>'7ª'!$I57</f>
        <v>0</v>
      </c>
      <c r="L384" s="250">
        <f>'7ª'!$J57</f>
        <v>0</v>
      </c>
      <c r="M384" s="362"/>
      <c r="N384" s="252">
        <f>'7ª'!$K57</f>
        <v>0</v>
      </c>
      <c r="O384" s="362"/>
      <c r="P384" s="253" t="s">
        <v>110</v>
      </c>
      <c r="Q384" s="415" t="s">
        <v>250</v>
      </c>
      <c r="R384" s="383">
        <f>'7ª'!$L57</f>
        <v>0</v>
      </c>
      <c r="S384" s="383">
        <f>'7ª'!$M57</f>
        <v>0</v>
      </c>
      <c r="T384" s="383">
        <f>'7ª'!$N57</f>
        <v>0</v>
      </c>
      <c r="U384" s="383">
        <f>'7ª'!$O57</f>
        <v>0</v>
      </c>
      <c r="V384" s="383">
        <f>'7ª'!$P57</f>
        <v>0</v>
      </c>
      <c r="W384" s="383">
        <f>'7ª'!$Q57</f>
        <v>0</v>
      </c>
      <c r="X384" s="383">
        <f>'7ª'!$R57</f>
        <v>0</v>
      </c>
      <c r="Y384" s="383">
        <f>'7ª'!$S57</f>
        <v>0</v>
      </c>
      <c r="Z384" s="384">
        <f>'7ª'!$T57</f>
        <v>0</v>
      </c>
      <c r="AA384" s="384">
        <f>'7ª'!$U57</f>
        <v>0</v>
      </c>
      <c r="AB384" s="385" t="s">
        <v>327</v>
      </c>
      <c r="AC384" s="385"/>
      <c r="AD384" s="435" t="s">
        <v>466</v>
      </c>
    </row>
    <row r="385" spans="1:30" ht="15.75" x14ac:dyDescent="0.25">
      <c r="A385" s="416" t="str">
        <f>RIGHT('[1]7ª'!$A$5:$D$5,12)</f>
        <v>7ª SÉRIE E.F</v>
      </c>
      <c r="B385" s="451">
        <v>54</v>
      </c>
      <c r="C385" s="248">
        <f>'7ª'!$B58</f>
        <v>0</v>
      </c>
      <c r="D385" s="362">
        <f>'7ª'!$C58</f>
        <v>0</v>
      </c>
      <c r="E385" s="249">
        <f>'7ª'!$D58</f>
        <v>0</v>
      </c>
      <c r="F385" s="249">
        <f>'7ª'!$E58</f>
        <v>0</v>
      </c>
      <c r="G385" s="250">
        <f>'7ª'!$F58</f>
        <v>0</v>
      </c>
      <c r="H385" s="362">
        <f>'7ª'!$G58</f>
        <v>0</v>
      </c>
      <c r="I385" s="364">
        <f>'7ª'!$H58</f>
        <v>0</v>
      </c>
      <c r="J385" s="362"/>
      <c r="K385" s="362">
        <f>'7ª'!$I58</f>
        <v>0</v>
      </c>
      <c r="L385" s="250">
        <f>'7ª'!$J58</f>
        <v>0</v>
      </c>
      <c r="M385" s="362"/>
      <c r="N385" s="252">
        <f>'7ª'!$K58</f>
        <v>0</v>
      </c>
      <c r="O385" s="362"/>
      <c r="P385" s="253" t="s">
        <v>110</v>
      </c>
      <c r="Q385" s="415" t="s">
        <v>250</v>
      </c>
      <c r="R385" s="383">
        <f>'7ª'!$L58</f>
        <v>0</v>
      </c>
      <c r="S385" s="383">
        <f>'7ª'!$M58</f>
        <v>0</v>
      </c>
      <c r="T385" s="383">
        <f>'7ª'!$N58</f>
        <v>0</v>
      </c>
      <c r="U385" s="383">
        <f>'7ª'!$O58</f>
        <v>0</v>
      </c>
      <c r="V385" s="383">
        <f>'7ª'!$P58</f>
        <v>0</v>
      </c>
      <c r="W385" s="383">
        <f>'7ª'!$Q58</f>
        <v>0</v>
      </c>
      <c r="X385" s="383">
        <f>'7ª'!$R58</f>
        <v>0</v>
      </c>
      <c r="Y385" s="383">
        <f>'7ª'!$S58</f>
        <v>0</v>
      </c>
      <c r="Z385" s="384">
        <f>'7ª'!$T58</f>
        <v>0</v>
      </c>
      <c r="AA385" s="384">
        <f>'7ª'!$U58</f>
        <v>0</v>
      </c>
      <c r="AB385" s="385" t="s">
        <v>327</v>
      </c>
      <c r="AC385" s="385"/>
      <c r="AD385" s="435" t="s">
        <v>466</v>
      </c>
    </row>
    <row r="386" spans="1:30" ht="16.5" thickBot="1" x14ac:dyDescent="0.3">
      <c r="A386" s="436" t="str">
        <f>RIGHT('[1]7ª'!$A$5:$D$5,12)</f>
        <v>7ª SÉRIE E.F</v>
      </c>
      <c r="B386" s="451">
        <v>55</v>
      </c>
      <c r="C386" s="248">
        <f>'7ª'!$B59</f>
        <v>0</v>
      </c>
      <c r="D386" s="362">
        <f>'7ª'!$C59</f>
        <v>0</v>
      </c>
      <c r="E386" s="249">
        <f>'7ª'!$D59</f>
        <v>0</v>
      </c>
      <c r="F386" s="249">
        <f>'7ª'!$E59</f>
        <v>0</v>
      </c>
      <c r="G386" s="250">
        <f>'7ª'!$F59</f>
        <v>0</v>
      </c>
      <c r="H386" s="362">
        <f>'7ª'!$G59</f>
        <v>0</v>
      </c>
      <c r="I386" s="364">
        <f>'7ª'!$H59</f>
        <v>0</v>
      </c>
      <c r="J386" s="362"/>
      <c r="K386" s="362">
        <f>'7ª'!$I59</f>
        <v>0</v>
      </c>
      <c r="L386" s="250">
        <f>'7ª'!$J59</f>
        <v>0</v>
      </c>
      <c r="M386" s="362"/>
      <c r="N386" s="252">
        <f>'7ª'!$K59</f>
        <v>0</v>
      </c>
      <c r="O386" s="362"/>
      <c r="P386" s="253" t="s">
        <v>110</v>
      </c>
      <c r="Q386" s="415" t="s">
        <v>250</v>
      </c>
      <c r="R386" s="383">
        <f>'7ª'!$L59</f>
        <v>0</v>
      </c>
      <c r="S386" s="383">
        <f>'7ª'!$M59</f>
        <v>0</v>
      </c>
      <c r="T386" s="383">
        <f>'7ª'!$N59</f>
        <v>0</v>
      </c>
      <c r="U386" s="383">
        <f>'7ª'!$O59</f>
        <v>0</v>
      </c>
      <c r="V386" s="383">
        <f>'7ª'!$P59</f>
        <v>0</v>
      </c>
      <c r="W386" s="383">
        <f>'7ª'!$Q59</f>
        <v>0</v>
      </c>
      <c r="X386" s="383">
        <f>'7ª'!$R59</f>
        <v>0</v>
      </c>
      <c r="Y386" s="383">
        <f>'7ª'!$S59</f>
        <v>0</v>
      </c>
      <c r="Z386" s="384">
        <f>'7ª'!$T59</f>
        <v>0</v>
      </c>
      <c r="AA386" s="384">
        <f>'7ª'!$U59</f>
        <v>0</v>
      </c>
      <c r="AB386" s="385" t="s">
        <v>327</v>
      </c>
      <c r="AC386" s="385"/>
      <c r="AD386" s="435" t="s">
        <v>466</v>
      </c>
    </row>
    <row r="387" spans="1:30" s="446" customFormat="1" ht="16.5" thickBot="1" x14ac:dyDescent="0.3">
      <c r="A387" s="403" t="str">
        <f>RIGHT('[1]8ª'!$A$5:$D$5,12)</f>
        <v>8ª SÉRIE E.F</v>
      </c>
      <c r="B387" s="404">
        <v>1</v>
      </c>
      <c r="C387" s="405">
        <f>'8ª'!$B7</f>
        <v>18384</v>
      </c>
      <c r="D387" s="406" t="str">
        <f>'8ª'!$C7</f>
        <v>CRISTIANE SOUSA DA SILVA</v>
      </c>
      <c r="E387" s="407" t="str">
        <f>'8ª'!$D7</f>
        <v>F</v>
      </c>
      <c r="F387" s="407" t="str">
        <f>'8ª'!$E7</f>
        <v>MA</v>
      </c>
      <c r="G387" s="408">
        <f>'8ª'!$F7</f>
        <v>26437</v>
      </c>
      <c r="H387" s="406" t="str">
        <f>'8ª'!$G7</f>
        <v>125161608-2</v>
      </c>
      <c r="I387" s="474" t="str">
        <f>'8ª'!$H7</f>
        <v>23756495-6</v>
      </c>
      <c r="J387" s="406"/>
      <c r="K387" s="406">
        <f>'8ª'!$I7</f>
        <v>0</v>
      </c>
      <c r="L387" s="408" t="str">
        <f ca="1">'8ª'!$J7</f>
        <v>DISP.IDADE</v>
      </c>
      <c r="M387" s="406"/>
      <c r="N387" s="394">
        <f ca="1">'8ª'!$K7</f>
        <v>53</v>
      </c>
      <c r="O387" s="406"/>
      <c r="P387" s="409" t="s">
        <v>110</v>
      </c>
      <c r="Q387" s="410" t="s">
        <v>250</v>
      </c>
      <c r="R387" s="411" t="str">
        <f>'8ª'!$L7</f>
        <v>Não</v>
      </c>
      <c r="S387" s="411" t="str">
        <f>'8ª'!$M7</f>
        <v>-</v>
      </c>
      <c r="T387" s="411" t="str">
        <f>'8ª'!$N7</f>
        <v>-</v>
      </c>
      <c r="U387" s="411" t="str">
        <f>'8ª'!$O7</f>
        <v>-</v>
      </c>
      <c r="V387" s="411" t="str">
        <f>'8ª'!$P7</f>
        <v>-</v>
      </c>
      <c r="W387" s="411" t="str">
        <f>'8ª'!$Q7</f>
        <v>-</v>
      </c>
      <c r="X387" s="411" t="str">
        <f>'8ª'!$R7</f>
        <v>-</v>
      </c>
      <c r="Y387" s="411" t="str">
        <f>'8ª'!$S7</f>
        <v>-</v>
      </c>
      <c r="Z387" s="412">
        <f>'8ª'!$T7</f>
        <v>0</v>
      </c>
      <c r="AA387" s="413">
        <f>'8ª'!$U7</f>
        <v>0</v>
      </c>
      <c r="AB387" s="399" t="s">
        <v>328</v>
      </c>
      <c r="AC387" s="399"/>
      <c r="AD387" s="435" t="s">
        <v>466</v>
      </c>
    </row>
    <row r="388" spans="1:30" ht="16.5" thickBot="1" x14ac:dyDescent="0.3">
      <c r="A388" s="437" t="str">
        <f>RIGHT('[1]8ª'!$A$5:$D$5,12)</f>
        <v>8ª SÉRIE E.F</v>
      </c>
      <c r="B388" s="475">
        <v>2</v>
      </c>
      <c r="C388" s="476">
        <f>'8ª'!$B8</f>
        <v>18784</v>
      </c>
      <c r="D388" s="477" t="str">
        <f>'8ª'!$C8</f>
        <v>DIOGO DA SILVA RIBEIRO</v>
      </c>
      <c r="E388" s="478" t="str">
        <f>'8ª'!$D8</f>
        <v>M</v>
      </c>
      <c r="F388" s="478" t="str">
        <f>'8ª'!$E8</f>
        <v>MA</v>
      </c>
      <c r="G388" s="479">
        <f>'8ª'!$F8</f>
        <v>39312</v>
      </c>
      <c r="H388" s="477" t="str">
        <f>'8ª'!$G8</f>
        <v>112997197-1</v>
      </c>
      <c r="I388" s="480">
        <f>'8ª'!$H8</f>
        <v>0</v>
      </c>
      <c r="J388" s="477"/>
      <c r="K388" s="477">
        <f>'8ª'!$I8</f>
        <v>0</v>
      </c>
      <c r="L388" s="479" t="str">
        <f ca="1">'8ª'!$J8</f>
        <v/>
      </c>
      <c r="M388" s="477"/>
      <c r="N388" s="252">
        <f ca="1">'8ª'!$K8</f>
        <v>18</v>
      </c>
      <c r="O388" s="477"/>
      <c r="P388" s="253" t="s">
        <v>110</v>
      </c>
      <c r="Q388" s="415" t="s">
        <v>250</v>
      </c>
      <c r="R388" s="481" t="str">
        <f>'8ª'!$L8</f>
        <v>Não</v>
      </c>
      <c r="S388" s="481" t="str">
        <f>'8ª'!$M8</f>
        <v>-</v>
      </c>
      <c r="T388" s="481" t="str">
        <f>'8ª'!$N8</f>
        <v>-</v>
      </c>
      <c r="U388" s="481" t="str">
        <f>'8ª'!$O8</f>
        <v>-</v>
      </c>
      <c r="V388" s="481" t="str">
        <f>'8ª'!$P8</f>
        <v>-</v>
      </c>
      <c r="W388" s="481" t="str">
        <f>'8ª'!$Q8</f>
        <v>-</v>
      </c>
      <c r="X388" s="481" t="str">
        <f>'8ª'!$R8</f>
        <v>-</v>
      </c>
      <c r="Y388" s="481" t="str">
        <f>'8ª'!$S8</f>
        <v>-</v>
      </c>
      <c r="Z388" s="482">
        <f>'8ª'!$T8</f>
        <v>0</v>
      </c>
      <c r="AA388" s="483">
        <f>'8ª'!$U8</f>
        <v>0</v>
      </c>
      <c r="AB388" s="385" t="s">
        <v>328</v>
      </c>
      <c r="AC388" s="385"/>
      <c r="AD388" s="435" t="s">
        <v>466</v>
      </c>
    </row>
    <row r="389" spans="1:30" ht="16.5" thickBot="1" x14ac:dyDescent="0.3">
      <c r="A389" s="416" t="str">
        <f>RIGHT('[1]8ª'!$A$5:$D$5,12)</f>
        <v>8ª SÉRIE E.F</v>
      </c>
      <c r="B389" s="475">
        <v>3</v>
      </c>
      <c r="C389" s="476">
        <f>'8ª'!$B9</f>
        <v>18925</v>
      </c>
      <c r="D389" s="477" t="str">
        <f>'8ª'!$C9</f>
        <v>ERICK YURI DAS NEVES ARAUJO</v>
      </c>
      <c r="E389" s="478" t="str">
        <f>'8ª'!$D9</f>
        <v>M</v>
      </c>
      <c r="F389" s="478" t="str">
        <f>'8ª'!$E9</f>
        <v>MA</v>
      </c>
      <c r="G389" s="479">
        <f>'8ª'!$F9</f>
        <v>39277</v>
      </c>
      <c r="H389" s="477">
        <f>'8ª'!$G9</f>
        <v>1119844794</v>
      </c>
      <c r="I389" s="480">
        <f>'8ª'!$H9</f>
        <v>688552249</v>
      </c>
      <c r="J389" s="477"/>
      <c r="K389" s="477">
        <f>'8ª'!$I9</f>
        <v>0</v>
      </c>
      <c r="L389" s="479" t="str">
        <f ca="1">'8ª'!$J9</f>
        <v/>
      </c>
      <c r="M389" s="477"/>
      <c r="N389" s="252">
        <f ca="1">'8ª'!$K9</f>
        <v>18</v>
      </c>
      <c r="O389" s="477"/>
      <c r="P389" s="253" t="s">
        <v>110</v>
      </c>
      <c r="Q389" s="415" t="s">
        <v>250</v>
      </c>
      <c r="R389" s="481" t="str">
        <f>'8ª'!$L9</f>
        <v>Não</v>
      </c>
      <c r="S389" s="481" t="str">
        <f>'8ª'!$M9</f>
        <v>-</v>
      </c>
      <c r="T389" s="481" t="str">
        <f>'8ª'!$N9</f>
        <v>-</v>
      </c>
      <c r="U389" s="481" t="str">
        <f>'8ª'!$O9</f>
        <v>-</v>
      </c>
      <c r="V389" s="481" t="str">
        <f>'8ª'!$P9</f>
        <v>-</v>
      </c>
      <c r="W389" s="481" t="str">
        <f>'8ª'!$Q9</f>
        <v>-</v>
      </c>
      <c r="X389" s="481" t="str">
        <f>'8ª'!$R9</f>
        <v>-</v>
      </c>
      <c r="Y389" s="481" t="str">
        <f>'8ª'!$S9</f>
        <v>-</v>
      </c>
      <c r="Z389" s="482">
        <f>'8ª'!$T9</f>
        <v>0</v>
      </c>
      <c r="AA389" s="483">
        <f>'8ª'!$U9</f>
        <v>0</v>
      </c>
      <c r="AB389" s="385" t="s">
        <v>328</v>
      </c>
      <c r="AC389" s="385"/>
      <c r="AD389" s="435" t="s">
        <v>466</v>
      </c>
    </row>
    <row r="390" spans="1:30" ht="16.5" thickBot="1" x14ac:dyDescent="0.3">
      <c r="A390" s="416" t="str">
        <f>RIGHT('[1]8ª'!$A$5:$D$5,12)</f>
        <v>8ª SÉRIE E.F</v>
      </c>
      <c r="B390" s="475">
        <v>4</v>
      </c>
      <c r="C390" s="476">
        <f>'8ª'!$B10</f>
        <v>18136</v>
      </c>
      <c r="D390" s="477" t="str">
        <f>'8ª'!$C10</f>
        <v>IGOR TURQUIM DE LIMA</v>
      </c>
      <c r="E390" s="478" t="str">
        <f>'8ª'!$D10</f>
        <v>M</v>
      </c>
      <c r="F390" s="478" t="str">
        <f>'8ª'!$E10</f>
        <v>MA</v>
      </c>
      <c r="G390" s="479">
        <f>'8ª'!$F10</f>
        <v>39553</v>
      </c>
      <c r="H390" s="477" t="str">
        <f>'8ª'!$G10</f>
        <v>111511834-1</v>
      </c>
      <c r="I390" s="480" t="str">
        <f>'8ª'!$H10</f>
        <v>53352182-8</v>
      </c>
      <c r="J390" s="477"/>
      <c r="K390" s="477">
        <f>'8ª'!$I10</f>
        <v>0</v>
      </c>
      <c r="L390" s="479" t="str">
        <f ca="1">'8ª'!$J10</f>
        <v/>
      </c>
      <c r="M390" s="477"/>
      <c r="N390" s="252">
        <f ca="1">'8ª'!$K10</f>
        <v>17</v>
      </c>
      <c r="O390" s="477"/>
      <c r="P390" s="253" t="s">
        <v>110</v>
      </c>
      <c r="Q390" s="415" t="s">
        <v>250</v>
      </c>
      <c r="R390" s="481" t="str">
        <f>'8ª'!$L10</f>
        <v>Não</v>
      </c>
      <c r="S390" s="481" t="str">
        <f>'8ª'!$M10</f>
        <v>-</v>
      </c>
      <c r="T390" s="481" t="str">
        <f>'8ª'!$N10</f>
        <v>-</v>
      </c>
      <c r="U390" s="481" t="str">
        <f>'8ª'!$O10</f>
        <v>-</v>
      </c>
      <c r="V390" s="481" t="str">
        <f>'8ª'!$P10</f>
        <v>-</v>
      </c>
      <c r="W390" s="481" t="str">
        <f>'8ª'!$Q10</f>
        <v>-</v>
      </c>
      <c r="X390" s="481" t="str">
        <f>'8ª'!$R10</f>
        <v>-</v>
      </c>
      <c r="Y390" s="481" t="str">
        <f>'8ª'!$S10</f>
        <v>-</v>
      </c>
      <c r="Z390" s="482">
        <f>'8ª'!$T10</f>
        <v>0</v>
      </c>
      <c r="AA390" s="483">
        <f>'8ª'!$U10</f>
        <v>0</v>
      </c>
      <c r="AB390" s="385" t="s">
        <v>328</v>
      </c>
      <c r="AC390" s="385"/>
      <c r="AD390" s="435" t="s">
        <v>466</v>
      </c>
    </row>
    <row r="391" spans="1:30" ht="16.5" thickBot="1" x14ac:dyDescent="0.3">
      <c r="A391" s="416" t="str">
        <f>RIGHT('[1]8ª'!$A$5:$D$5,12)</f>
        <v>8ª SÉRIE E.F</v>
      </c>
      <c r="B391" s="475">
        <v>5</v>
      </c>
      <c r="C391" s="476">
        <f>'8ª'!$B11</f>
        <v>18783</v>
      </c>
      <c r="D391" s="477" t="str">
        <f>'8ª'!$C11</f>
        <v>JOELMA JESUS DA SILVA</v>
      </c>
      <c r="E391" s="478" t="str">
        <f>'8ª'!$D11</f>
        <v>F</v>
      </c>
      <c r="F391" s="478" t="str">
        <f>'8ª'!$E11</f>
        <v>MA</v>
      </c>
      <c r="G391" s="479">
        <f>'8ª'!$F11</f>
        <v>28980</v>
      </c>
      <c r="H391" s="477">
        <f>'8ª'!$G11</f>
        <v>336822856</v>
      </c>
      <c r="I391" s="480" t="str">
        <f>'8ª'!$H11</f>
        <v>33682285-6</v>
      </c>
      <c r="J391" s="477"/>
      <c r="K391" s="477">
        <f>'8ª'!$I11</f>
        <v>0</v>
      </c>
      <c r="L391" s="479" t="str">
        <f ca="1">'8ª'!$J11</f>
        <v>DISP.IDADE</v>
      </c>
      <c r="M391" s="477"/>
      <c r="N391" s="252">
        <f ca="1">'8ª'!$K11</f>
        <v>46</v>
      </c>
      <c r="O391" s="477"/>
      <c r="P391" s="253" t="s">
        <v>110</v>
      </c>
      <c r="Q391" s="415" t="s">
        <v>250</v>
      </c>
      <c r="R391" s="481" t="str">
        <f>'8ª'!$L11</f>
        <v>Não</v>
      </c>
      <c r="S391" s="481" t="str">
        <f>'8ª'!$M11</f>
        <v>-</v>
      </c>
      <c r="T391" s="481" t="str">
        <f>'8ª'!$N11</f>
        <v>-</v>
      </c>
      <c r="U391" s="481" t="str">
        <f>'8ª'!$O11</f>
        <v>-</v>
      </c>
      <c r="V391" s="481" t="str">
        <f>'8ª'!$P11</f>
        <v>-</v>
      </c>
      <c r="W391" s="481" t="str">
        <f>'8ª'!$Q11</f>
        <v>-</v>
      </c>
      <c r="X391" s="481" t="str">
        <f>'8ª'!$R11</f>
        <v>-</v>
      </c>
      <c r="Y391" s="481" t="str">
        <f>'8ª'!$S11</f>
        <v>-</v>
      </c>
      <c r="Z391" s="482">
        <f>'8ª'!$T11</f>
        <v>0</v>
      </c>
      <c r="AA391" s="483">
        <f>'8ª'!$U11</f>
        <v>0</v>
      </c>
      <c r="AB391" s="385" t="s">
        <v>328</v>
      </c>
      <c r="AC391" s="385"/>
      <c r="AD391" s="435" t="s">
        <v>466</v>
      </c>
    </row>
    <row r="392" spans="1:30" ht="16.5" thickBot="1" x14ac:dyDescent="0.3">
      <c r="A392" s="416" t="str">
        <f>RIGHT('[1]8ª'!$A$5:$D$5,12)</f>
        <v>8ª SÉRIE E.F</v>
      </c>
      <c r="B392" s="475">
        <v>6</v>
      </c>
      <c r="C392" s="476">
        <f>'8ª'!$B12</f>
        <v>14959</v>
      </c>
      <c r="D392" s="477" t="str">
        <f>'8ª'!$C12</f>
        <v>LUCIELY GUIMARAES RAMYRO</v>
      </c>
      <c r="E392" s="478" t="str">
        <f>'8ª'!$D12</f>
        <v>F</v>
      </c>
      <c r="F392" s="478" t="str">
        <f>'8ª'!$E12</f>
        <v>MA</v>
      </c>
      <c r="G392" s="479">
        <f>'8ª'!$F12</f>
        <v>40214</v>
      </c>
      <c r="H392" s="477" t="str">
        <f>'8ª'!$G12</f>
        <v>114046882-0</v>
      </c>
      <c r="I392" s="480" t="str">
        <f>'8ª'!$H12</f>
        <v>62220892-5</v>
      </c>
      <c r="J392" s="477"/>
      <c r="K392" s="477">
        <f>'8ª'!$I12</f>
        <v>0</v>
      </c>
      <c r="L392" s="479" t="str">
        <f ca="1">'8ª'!$J12</f>
        <v/>
      </c>
      <c r="M392" s="477"/>
      <c r="N392" s="252">
        <f ca="1">'8ª'!$K12</f>
        <v>15</v>
      </c>
      <c r="O392" s="477"/>
      <c r="P392" s="253" t="s">
        <v>110</v>
      </c>
      <c r="Q392" s="415" t="s">
        <v>250</v>
      </c>
      <c r="R392" s="481" t="str">
        <f>'8ª'!$L12</f>
        <v>Não</v>
      </c>
      <c r="S392" s="481" t="str">
        <f>'8ª'!$M12</f>
        <v>-</v>
      </c>
      <c r="T392" s="481" t="str">
        <f>'8ª'!$N12</f>
        <v>-</v>
      </c>
      <c r="U392" s="481" t="str">
        <f>'8ª'!$O12</f>
        <v>-</v>
      </c>
      <c r="V392" s="481" t="str">
        <f>'8ª'!$P12</f>
        <v>-</v>
      </c>
      <c r="W392" s="481" t="str">
        <f>'8ª'!$Q12</f>
        <v>-</v>
      </c>
      <c r="X392" s="481" t="str">
        <f>'8ª'!$R12</f>
        <v>-</v>
      </c>
      <c r="Y392" s="481" t="str">
        <f>'8ª'!$S12</f>
        <v>-</v>
      </c>
      <c r="Z392" s="482">
        <f>'8ª'!$T12</f>
        <v>0</v>
      </c>
      <c r="AA392" s="483">
        <f>'8ª'!$U12</f>
        <v>0</v>
      </c>
      <c r="AB392" s="385" t="s">
        <v>328</v>
      </c>
      <c r="AC392" s="385"/>
      <c r="AD392" s="435" t="s">
        <v>466</v>
      </c>
    </row>
    <row r="393" spans="1:30" ht="16.5" thickBot="1" x14ac:dyDescent="0.3">
      <c r="A393" s="416" t="str">
        <f>RIGHT('[1]8ª'!$A$5:$D$5,12)</f>
        <v>8ª SÉRIE E.F</v>
      </c>
      <c r="B393" s="475">
        <v>7</v>
      </c>
      <c r="C393" s="476">
        <f>'8ª'!$B13</f>
        <v>18361</v>
      </c>
      <c r="D393" s="477" t="str">
        <f>'8ª'!$C13</f>
        <v>MARIA EDUARDA DE JESUS LIMA</v>
      </c>
      <c r="E393" s="478" t="str">
        <f>'8ª'!$D13</f>
        <v>F</v>
      </c>
      <c r="F393" s="478" t="str">
        <f>'8ª'!$E13</f>
        <v>MA</v>
      </c>
      <c r="G393" s="479">
        <f>'8ª'!$F13</f>
        <v>39797</v>
      </c>
      <c r="H393" s="477" t="str">
        <f>'8ª'!$G13</f>
        <v>114523132-9</v>
      </c>
      <c r="I393" s="480" t="str">
        <f>'8ª'!$H13</f>
        <v>68582455-x</v>
      </c>
      <c r="J393" s="477"/>
      <c r="K393" s="477">
        <f>'8ª'!$I13</f>
        <v>0</v>
      </c>
      <c r="L393" s="479" t="str">
        <f ca="1">'8ª'!$J13</f>
        <v/>
      </c>
      <c r="M393" s="477"/>
      <c r="N393" s="252">
        <f ca="1">'8ª'!$K13</f>
        <v>16</v>
      </c>
      <c r="O393" s="477"/>
      <c r="P393" s="253" t="s">
        <v>110</v>
      </c>
      <c r="Q393" s="415" t="s">
        <v>250</v>
      </c>
      <c r="R393" s="481" t="str">
        <f>'8ª'!$L13</f>
        <v>Não</v>
      </c>
      <c r="S393" s="481" t="str">
        <f>'8ª'!$M13</f>
        <v>-</v>
      </c>
      <c r="T393" s="481" t="str">
        <f>'8ª'!$N13</f>
        <v>-</v>
      </c>
      <c r="U393" s="481" t="str">
        <f>'8ª'!$O13</f>
        <v>-</v>
      </c>
      <c r="V393" s="481" t="str">
        <f>'8ª'!$P13</f>
        <v>-</v>
      </c>
      <c r="W393" s="481" t="str">
        <f>'8ª'!$Q13</f>
        <v>-</v>
      </c>
      <c r="X393" s="481" t="str">
        <f>'8ª'!$R13</f>
        <v>-</v>
      </c>
      <c r="Y393" s="481" t="str">
        <f>'8ª'!$S13</f>
        <v>-</v>
      </c>
      <c r="Z393" s="482">
        <f>'8ª'!$T13</f>
        <v>0</v>
      </c>
      <c r="AA393" s="483">
        <f>'8ª'!$U13</f>
        <v>0</v>
      </c>
      <c r="AB393" s="385" t="s">
        <v>328</v>
      </c>
      <c r="AC393" s="385"/>
      <c r="AD393" s="435" t="s">
        <v>466</v>
      </c>
    </row>
    <row r="394" spans="1:30" ht="16.5" thickBot="1" x14ac:dyDescent="0.3">
      <c r="A394" s="416" t="str">
        <f>RIGHT('[1]8ª'!$A$5:$D$5,12)</f>
        <v>8ª SÉRIE E.F</v>
      </c>
      <c r="B394" s="475">
        <v>8</v>
      </c>
      <c r="C394" s="476">
        <f>'8ª'!$B14</f>
        <v>18373</v>
      </c>
      <c r="D394" s="477" t="str">
        <f>'8ª'!$C14</f>
        <v>MARIA SANDRA ARAÚJO DE FREITAS</v>
      </c>
      <c r="E394" s="478" t="str">
        <f>'8ª'!$D14</f>
        <v>F</v>
      </c>
      <c r="F394" s="478" t="str">
        <f>'8ª'!$E14</f>
        <v>MA</v>
      </c>
      <c r="G394" s="479">
        <f>'8ª'!$F14</f>
        <v>29282</v>
      </c>
      <c r="H394" s="477" t="str">
        <f>'8ª'!$G14</f>
        <v>108445542-0</v>
      </c>
      <c r="I394" s="480">
        <f>'8ª'!$H14</f>
        <v>56916392</v>
      </c>
      <c r="J394" s="477"/>
      <c r="K394" s="477">
        <f>'8ª'!$I14</f>
        <v>0</v>
      </c>
      <c r="L394" s="479" t="str">
        <f ca="1">'8ª'!$J14</f>
        <v>DISP.IDADE</v>
      </c>
      <c r="M394" s="477"/>
      <c r="N394" s="252">
        <f ca="1">'8ª'!$K14</f>
        <v>45</v>
      </c>
      <c r="O394" s="477"/>
      <c r="P394" s="253" t="s">
        <v>110</v>
      </c>
      <c r="Q394" s="415" t="s">
        <v>250</v>
      </c>
      <c r="R394" s="481" t="str">
        <f>'8ª'!$L14</f>
        <v>Não</v>
      </c>
      <c r="S394" s="481" t="str">
        <f>'8ª'!$M14</f>
        <v>-</v>
      </c>
      <c r="T394" s="481" t="str">
        <f>'8ª'!$N14</f>
        <v>-</v>
      </c>
      <c r="U394" s="481" t="str">
        <f>'8ª'!$O14</f>
        <v>-</v>
      </c>
      <c r="V394" s="481" t="str">
        <f>'8ª'!$P14</f>
        <v>-</v>
      </c>
      <c r="W394" s="481" t="str">
        <f>'8ª'!$Q14</f>
        <v>-</v>
      </c>
      <c r="X394" s="481" t="str">
        <f>'8ª'!$R14</f>
        <v>-</v>
      </c>
      <c r="Y394" s="481" t="str">
        <f>'8ª'!$S14</f>
        <v>-</v>
      </c>
      <c r="Z394" s="482">
        <f>'8ª'!$T14</f>
        <v>0</v>
      </c>
      <c r="AA394" s="483">
        <f>'8ª'!$U14</f>
        <v>0</v>
      </c>
      <c r="AB394" s="385" t="s">
        <v>328</v>
      </c>
      <c r="AC394" s="385"/>
      <c r="AD394" s="435" t="s">
        <v>466</v>
      </c>
    </row>
    <row r="395" spans="1:30" ht="16.5" thickBot="1" x14ac:dyDescent="0.3">
      <c r="A395" s="416" t="str">
        <f>RIGHT('[1]8ª'!$A$5:$D$5,12)</f>
        <v>8ª SÉRIE E.F</v>
      </c>
      <c r="B395" s="475">
        <v>9</v>
      </c>
      <c r="C395" s="476">
        <f>'8ª'!$B15</f>
        <v>18912</v>
      </c>
      <c r="D395" s="477" t="str">
        <f>'8ª'!$C15</f>
        <v>MATHEUS LUIZ BARRA SOL RODRIGUES</v>
      </c>
      <c r="E395" s="478" t="str">
        <f>'8ª'!$D15</f>
        <v>M</v>
      </c>
      <c r="F395" s="478" t="str">
        <f>'8ª'!$E15</f>
        <v>MA</v>
      </c>
      <c r="G395" s="479">
        <f>'8ª'!$F15</f>
        <v>39493</v>
      </c>
      <c r="H395" s="477">
        <f>'8ª'!$G15</f>
        <v>1104489235</v>
      </c>
      <c r="I395" s="480">
        <f>'8ª'!$H15</f>
        <v>0</v>
      </c>
      <c r="J395" s="477"/>
      <c r="K395" s="477">
        <f>'8ª'!$I15</f>
        <v>0</v>
      </c>
      <c r="L395" s="479" t="str">
        <f ca="1">'8ª'!$J15</f>
        <v/>
      </c>
      <c r="M395" s="477"/>
      <c r="N395" s="252">
        <f ca="1">'8ª'!$K15</f>
        <v>17</v>
      </c>
      <c r="O395" s="477"/>
      <c r="P395" s="253" t="s">
        <v>110</v>
      </c>
      <c r="Q395" s="415" t="s">
        <v>250</v>
      </c>
      <c r="R395" s="481" t="str">
        <f>'8ª'!$L15</f>
        <v>Não</v>
      </c>
      <c r="S395" s="481" t="str">
        <f>'8ª'!$M15</f>
        <v>-</v>
      </c>
      <c r="T395" s="481" t="str">
        <f>'8ª'!$N15</f>
        <v>-</v>
      </c>
      <c r="U395" s="481" t="str">
        <f>'8ª'!$O15</f>
        <v>-</v>
      </c>
      <c r="V395" s="481" t="str">
        <f>'8ª'!$P15</f>
        <v>-</v>
      </c>
      <c r="W395" s="481" t="str">
        <f>'8ª'!$Q15</f>
        <v>-</v>
      </c>
      <c r="X395" s="481" t="str">
        <f>'8ª'!$R15</f>
        <v>-</v>
      </c>
      <c r="Y395" s="481" t="str">
        <f>'8ª'!$S15</f>
        <v>-</v>
      </c>
      <c r="Z395" s="482">
        <f>'8ª'!$T15</f>
        <v>0</v>
      </c>
      <c r="AA395" s="483">
        <f>'8ª'!$U15</f>
        <v>0</v>
      </c>
      <c r="AB395" s="385" t="s">
        <v>328</v>
      </c>
      <c r="AC395" s="385"/>
      <c r="AD395" s="435" t="s">
        <v>466</v>
      </c>
    </row>
    <row r="396" spans="1:30" ht="16.5" thickBot="1" x14ac:dyDescent="0.3">
      <c r="A396" s="416" t="str">
        <f>RIGHT('[1]8ª'!$A$5:$D$5,12)</f>
        <v>8ª SÉRIE E.F</v>
      </c>
      <c r="B396" s="475">
        <v>10</v>
      </c>
      <c r="C396" s="476">
        <f>'8ª'!$B16</f>
        <v>18364</v>
      </c>
      <c r="D396" s="477" t="str">
        <f>'8ª'!$C16</f>
        <v>NERRISE DA SILVA MINEGRA</v>
      </c>
      <c r="E396" s="478" t="str">
        <f>'8ª'!$D16</f>
        <v>F</v>
      </c>
      <c r="F396" s="478" t="str">
        <f>'8ª'!$E16</f>
        <v>MA</v>
      </c>
      <c r="G396" s="479">
        <f>'8ª'!$F16</f>
        <v>27650</v>
      </c>
      <c r="H396" s="477" t="str">
        <f>'8ª'!$G16</f>
        <v>103968916-4</v>
      </c>
      <c r="I396" s="480" t="str">
        <f>'8ª'!$H16</f>
        <v>59628456-1</v>
      </c>
      <c r="J396" s="477"/>
      <c r="K396" s="477">
        <f>'8ª'!$I16</f>
        <v>0</v>
      </c>
      <c r="L396" s="479" t="str">
        <f ca="1">'8ª'!$J16</f>
        <v>DISP.IDADE</v>
      </c>
      <c r="M396" s="477"/>
      <c r="N396" s="252">
        <f ca="1">'8ª'!$K16</f>
        <v>50</v>
      </c>
      <c r="O396" s="477"/>
      <c r="P396" s="253" t="s">
        <v>110</v>
      </c>
      <c r="Q396" s="415" t="s">
        <v>250</v>
      </c>
      <c r="R396" s="481" t="str">
        <f>'8ª'!$L16</f>
        <v>Não</v>
      </c>
      <c r="S396" s="481" t="str">
        <f>'8ª'!$M16</f>
        <v>-</v>
      </c>
      <c r="T396" s="481" t="str">
        <f>'8ª'!$N16</f>
        <v>-</v>
      </c>
      <c r="U396" s="481" t="str">
        <f>'8ª'!$O16</f>
        <v>-</v>
      </c>
      <c r="V396" s="481" t="str">
        <f>'8ª'!$P16</f>
        <v>-</v>
      </c>
      <c r="W396" s="481" t="str">
        <f>'8ª'!$Q16</f>
        <v>-</v>
      </c>
      <c r="X396" s="481" t="str">
        <f>'8ª'!$R16</f>
        <v>-</v>
      </c>
      <c r="Y396" s="481" t="str">
        <f>'8ª'!$S16</f>
        <v>-</v>
      </c>
      <c r="Z396" s="482">
        <f>'8ª'!$T16</f>
        <v>0</v>
      </c>
      <c r="AA396" s="483">
        <f>'8ª'!$U16</f>
        <v>0</v>
      </c>
      <c r="AB396" s="385" t="s">
        <v>328</v>
      </c>
      <c r="AC396" s="385"/>
      <c r="AD396" s="435" t="s">
        <v>466</v>
      </c>
    </row>
    <row r="397" spans="1:30" ht="16.5" thickBot="1" x14ac:dyDescent="0.3">
      <c r="A397" s="416" t="str">
        <f>RIGHT('[1]8ª'!$A$5:$D$5,12)</f>
        <v>8ª SÉRIE E.F</v>
      </c>
      <c r="B397" s="475">
        <v>11</v>
      </c>
      <c r="C397" s="476" t="e">
        <f>'8ª'!#REF!</f>
        <v>#REF!</v>
      </c>
      <c r="D397" s="477" t="e">
        <f>'8ª'!#REF!</f>
        <v>#REF!</v>
      </c>
      <c r="E397" s="478" t="e">
        <f>'8ª'!#REF!</f>
        <v>#REF!</v>
      </c>
      <c r="F397" s="478" t="e">
        <f>'8ª'!#REF!</f>
        <v>#REF!</v>
      </c>
      <c r="G397" s="479" t="e">
        <f>'8ª'!#REF!</f>
        <v>#REF!</v>
      </c>
      <c r="H397" s="477" t="e">
        <f>'8ª'!#REF!</f>
        <v>#REF!</v>
      </c>
      <c r="I397" s="480" t="e">
        <f>'8ª'!#REF!</f>
        <v>#REF!</v>
      </c>
      <c r="J397" s="477"/>
      <c r="K397" s="477" t="e">
        <f>'8ª'!#REF!</f>
        <v>#REF!</v>
      </c>
      <c r="L397" s="479" t="e">
        <f>'8ª'!#REF!</f>
        <v>#REF!</v>
      </c>
      <c r="M397" s="477"/>
      <c r="N397" s="252" t="e">
        <f>'8ª'!#REF!</f>
        <v>#REF!</v>
      </c>
      <c r="O397" s="477"/>
      <c r="P397" s="253" t="s">
        <v>110</v>
      </c>
      <c r="Q397" s="415" t="s">
        <v>250</v>
      </c>
      <c r="R397" s="481" t="e">
        <f>'8ª'!#REF!</f>
        <v>#REF!</v>
      </c>
      <c r="S397" s="481" t="e">
        <f>'8ª'!#REF!</f>
        <v>#REF!</v>
      </c>
      <c r="T397" s="481" t="e">
        <f>'8ª'!#REF!</f>
        <v>#REF!</v>
      </c>
      <c r="U397" s="481" t="e">
        <f>'8ª'!#REF!</f>
        <v>#REF!</v>
      </c>
      <c r="V397" s="481" t="e">
        <f>'8ª'!#REF!</f>
        <v>#REF!</v>
      </c>
      <c r="W397" s="481" t="e">
        <f>'8ª'!#REF!</f>
        <v>#REF!</v>
      </c>
      <c r="X397" s="481" t="e">
        <f>'8ª'!#REF!</f>
        <v>#REF!</v>
      </c>
      <c r="Y397" s="481" t="e">
        <f>'8ª'!#REF!</f>
        <v>#REF!</v>
      </c>
      <c r="Z397" s="482" t="e">
        <f>'8ª'!#REF!</f>
        <v>#REF!</v>
      </c>
      <c r="AA397" s="483" t="e">
        <f>'8ª'!#REF!</f>
        <v>#REF!</v>
      </c>
      <c r="AB397" s="385" t="s">
        <v>328</v>
      </c>
      <c r="AC397" s="385"/>
      <c r="AD397" s="435" t="s">
        <v>466</v>
      </c>
    </row>
    <row r="398" spans="1:30" ht="16.5" thickBot="1" x14ac:dyDescent="0.3">
      <c r="A398" s="416" t="str">
        <f>RIGHT('[1]8ª'!$A$5:$D$5,12)</f>
        <v>8ª SÉRIE E.F</v>
      </c>
      <c r="B398" s="475">
        <v>12</v>
      </c>
      <c r="C398" s="476">
        <f>'8ª'!$B17</f>
        <v>18838</v>
      </c>
      <c r="D398" s="477" t="str">
        <f>'8ª'!$C17</f>
        <v>PIETRO DUARTE RIGAO</v>
      </c>
      <c r="E398" s="478" t="str">
        <f>'8ª'!$D17</f>
        <v>M</v>
      </c>
      <c r="F398" s="478" t="str">
        <f>'8ª'!$E17</f>
        <v>MA</v>
      </c>
      <c r="G398" s="479">
        <f>'8ª'!$F17</f>
        <v>39772</v>
      </c>
      <c r="H398" s="477">
        <f>'8ª'!$G17</f>
        <v>1100699648</v>
      </c>
      <c r="I398" s="480" t="str">
        <f>'8ª'!$H17</f>
        <v>54357189-0</v>
      </c>
      <c r="J398" s="477"/>
      <c r="K398" s="477">
        <f>'8ª'!$I17</f>
        <v>0</v>
      </c>
      <c r="L398" s="479" t="str">
        <f ca="1">'8ª'!$J17</f>
        <v/>
      </c>
      <c r="M398" s="477"/>
      <c r="N398" s="252">
        <f ca="1">'8ª'!$K17</f>
        <v>16</v>
      </c>
      <c r="O398" s="477"/>
      <c r="P398" s="253" t="s">
        <v>110</v>
      </c>
      <c r="Q398" s="415" t="s">
        <v>250</v>
      </c>
      <c r="R398" s="481" t="str">
        <f>'8ª'!$L17</f>
        <v>Não</v>
      </c>
      <c r="S398" s="481" t="str">
        <f>'8ª'!$M17</f>
        <v>-</v>
      </c>
      <c r="T398" s="481" t="str">
        <f>'8ª'!$N17</f>
        <v>-</v>
      </c>
      <c r="U398" s="481" t="str">
        <f>'8ª'!$O17</f>
        <v>-</v>
      </c>
      <c r="V398" s="481" t="str">
        <f>'8ª'!$P17</f>
        <v>-</v>
      </c>
      <c r="W398" s="481" t="str">
        <f>'8ª'!$Q17</f>
        <v>-</v>
      </c>
      <c r="X398" s="481" t="str">
        <f>'8ª'!$R17</f>
        <v>-</v>
      </c>
      <c r="Y398" s="481" t="str">
        <f>'8ª'!$S17</f>
        <v>-</v>
      </c>
      <c r="Z398" s="482">
        <f>'8ª'!$T17</f>
        <v>0</v>
      </c>
      <c r="AA398" s="483">
        <f>'8ª'!$U17</f>
        <v>0</v>
      </c>
      <c r="AB398" s="385" t="s">
        <v>328</v>
      </c>
      <c r="AC398" s="385"/>
      <c r="AD398" s="435" t="s">
        <v>466</v>
      </c>
    </row>
    <row r="399" spans="1:30" ht="16.5" thickBot="1" x14ac:dyDescent="0.3">
      <c r="A399" s="416" t="str">
        <f>RIGHT('[1]8ª'!$A$5:$D$5,12)</f>
        <v>8ª SÉRIE E.F</v>
      </c>
      <c r="B399" s="475">
        <v>13</v>
      </c>
      <c r="C399" s="476">
        <f>'8ª'!$B18</f>
        <v>18550</v>
      </c>
      <c r="D399" s="477" t="str">
        <f>'8ª'!$C18</f>
        <v>ROSANGELA MARIA ALVES CHAVES AMORIM</v>
      </c>
      <c r="E399" s="478" t="str">
        <f>'8ª'!$D18</f>
        <v>F</v>
      </c>
      <c r="F399" s="478" t="str">
        <f>'8ª'!$E18</f>
        <v>MA</v>
      </c>
      <c r="G399" s="479">
        <f>'8ª'!$F18</f>
        <v>24924</v>
      </c>
      <c r="H399" s="477" t="str">
        <f>'8ª'!$G18</f>
        <v>102452870-4</v>
      </c>
      <c r="I399" s="480" t="str">
        <f>'8ª'!$H18</f>
        <v>18938179-6</v>
      </c>
      <c r="J399" s="477"/>
      <c r="K399" s="477">
        <f>'8ª'!$I18</f>
        <v>0</v>
      </c>
      <c r="L399" s="479" t="str">
        <f ca="1">'8ª'!$J18</f>
        <v>DISP.IDADE</v>
      </c>
      <c r="M399" s="477"/>
      <c r="N399" s="252">
        <f ca="1">'8ª'!$K18</f>
        <v>57</v>
      </c>
      <c r="O399" s="477"/>
      <c r="P399" s="253" t="s">
        <v>110</v>
      </c>
      <c r="Q399" s="415" t="s">
        <v>250</v>
      </c>
      <c r="R399" s="481" t="str">
        <f>'8ª'!$L18</f>
        <v>Não</v>
      </c>
      <c r="S399" s="481" t="str">
        <f>'8ª'!$M18</f>
        <v>-</v>
      </c>
      <c r="T399" s="481" t="str">
        <f>'8ª'!$N18</f>
        <v>-</v>
      </c>
      <c r="U399" s="481" t="str">
        <f>'8ª'!$O18</f>
        <v>-</v>
      </c>
      <c r="V399" s="481" t="str">
        <f>'8ª'!$P18</f>
        <v>-</v>
      </c>
      <c r="W399" s="481" t="str">
        <f>'8ª'!$Q18</f>
        <v>-</v>
      </c>
      <c r="X399" s="481" t="str">
        <f>'8ª'!$R18</f>
        <v>-</v>
      </c>
      <c r="Y399" s="481" t="str">
        <f>'8ª'!$S18</f>
        <v>-</v>
      </c>
      <c r="Z399" s="482">
        <f>'8ª'!$T18</f>
        <v>0</v>
      </c>
      <c r="AA399" s="483">
        <f>'8ª'!$U18</f>
        <v>0</v>
      </c>
      <c r="AB399" s="385" t="s">
        <v>328</v>
      </c>
      <c r="AC399" s="385"/>
      <c r="AD399" s="435" t="s">
        <v>466</v>
      </c>
    </row>
    <row r="400" spans="1:30" ht="16.5" thickBot="1" x14ac:dyDescent="0.3">
      <c r="A400" s="416" t="str">
        <f>RIGHT('[1]8ª'!$A$5:$D$5,12)</f>
        <v>8ª SÉRIE E.F</v>
      </c>
      <c r="B400" s="475">
        <v>14</v>
      </c>
      <c r="C400" s="476">
        <f>'8ª'!$B19</f>
        <v>18840</v>
      </c>
      <c r="D400" s="477" t="str">
        <f>'8ª'!$C19</f>
        <v>SOLANGE PEREIRA DE AMORIM</v>
      </c>
      <c r="E400" s="478" t="str">
        <f>'8ª'!$D19</f>
        <v>F</v>
      </c>
      <c r="F400" s="478" t="str">
        <f>'8ª'!$E19</f>
        <v>MA</v>
      </c>
      <c r="G400" s="479">
        <f>'8ª'!$F19</f>
        <v>29361</v>
      </c>
      <c r="H400" s="477">
        <f>'8ª'!$G19</f>
        <v>355391120</v>
      </c>
      <c r="I400" s="480">
        <f>'8ª'!$H19</f>
        <v>35539112</v>
      </c>
      <c r="J400" s="477"/>
      <c r="K400" s="477">
        <f>'8ª'!$I19</f>
        <v>0</v>
      </c>
      <c r="L400" s="479" t="str">
        <f ca="1">'8ª'!$J19</f>
        <v>DISP.IDADE</v>
      </c>
      <c r="M400" s="477"/>
      <c r="N400" s="252">
        <f ca="1">'8ª'!$K19</f>
        <v>45</v>
      </c>
      <c r="O400" s="477"/>
      <c r="P400" s="253" t="s">
        <v>110</v>
      </c>
      <c r="Q400" s="415" t="s">
        <v>250</v>
      </c>
      <c r="R400" s="481" t="str">
        <f>'8ª'!$L19</f>
        <v>Não</v>
      </c>
      <c r="S400" s="481" t="str">
        <f>'8ª'!$M19</f>
        <v>-</v>
      </c>
      <c r="T400" s="481" t="str">
        <f>'8ª'!$N19</f>
        <v>-</v>
      </c>
      <c r="U400" s="481" t="str">
        <f>'8ª'!$O19</f>
        <v>-</v>
      </c>
      <c r="V400" s="481" t="str">
        <f>'8ª'!$P19</f>
        <v>-</v>
      </c>
      <c r="W400" s="481" t="str">
        <f>'8ª'!$Q19</f>
        <v>-</v>
      </c>
      <c r="X400" s="481" t="str">
        <f>'8ª'!$R19</f>
        <v>-</v>
      </c>
      <c r="Y400" s="481" t="str">
        <f>'8ª'!$S19</f>
        <v>-</v>
      </c>
      <c r="Z400" s="482">
        <f>'8ª'!$T19</f>
        <v>0</v>
      </c>
      <c r="AA400" s="483">
        <f>'8ª'!$U19</f>
        <v>0</v>
      </c>
      <c r="AB400" s="385" t="s">
        <v>328</v>
      </c>
      <c r="AC400" s="385"/>
      <c r="AD400" s="435" t="s">
        <v>466</v>
      </c>
    </row>
    <row r="401" spans="1:30" ht="16.5" thickBot="1" x14ac:dyDescent="0.3">
      <c r="A401" s="416" t="str">
        <f>RIGHT('[1]8ª'!$A$5:$D$5,12)</f>
        <v>8ª SÉRIE E.F</v>
      </c>
      <c r="B401" s="475">
        <v>15</v>
      </c>
      <c r="C401" s="476">
        <f>'8ª'!$B20</f>
        <v>18853</v>
      </c>
      <c r="D401" s="477" t="str">
        <f>'8ª'!$C20</f>
        <v>VANESSA RIBEIRO</v>
      </c>
      <c r="E401" s="478" t="str">
        <f>'8ª'!$D20</f>
        <v>F</v>
      </c>
      <c r="F401" s="478" t="str">
        <f>'8ª'!$E20</f>
        <v>MA</v>
      </c>
      <c r="G401" s="479">
        <f>'8ª'!$F20</f>
        <v>38023</v>
      </c>
      <c r="H401" s="477">
        <f>'8ª'!$G20</f>
        <v>1090649861</v>
      </c>
      <c r="I401" s="480" t="str">
        <f>'8ª'!$H20</f>
        <v>67982398-0</v>
      </c>
      <c r="J401" s="477"/>
      <c r="K401" s="477">
        <f>'8ª'!$I20</f>
        <v>0</v>
      </c>
      <c r="L401" s="479" t="str">
        <f ca="1">'8ª'!$J20</f>
        <v/>
      </c>
      <c r="M401" s="477"/>
      <c r="N401" s="252">
        <f ca="1">'8ª'!$K20</f>
        <v>21</v>
      </c>
      <c r="O401" s="477"/>
      <c r="P401" s="253" t="s">
        <v>110</v>
      </c>
      <c r="Q401" s="415" t="s">
        <v>250</v>
      </c>
      <c r="R401" s="481" t="str">
        <f>'8ª'!$L20</f>
        <v>Não</v>
      </c>
      <c r="S401" s="481" t="str">
        <f>'8ª'!$M20</f>
        <v>-</v>
      </c>
      <c r="T401" s="481" t="str">
        <f>'8ª'!$N20</f>
        <v>-</v>
      </c>
      <c r="U401" s="481" t="str">
        <f>'8ª'!$O20</f>
        <v>-</v>
      </c>
      <c r="V401" s="481" t="str">
        <f>'8ª'!$P20</f>
        <v>-</v>
      </c>
      <c r="W401" s="481" t="str">
        <f>'8ª'!$Q20</f>
        <v>-</v>
      </c>
      <c r="X401" s="481" t="str">
        <f>'8ª'!$R20</f>
        <v>-</v>
      </c>
      <c r="Y401" s="481" t="str">
        <f>'8ª'!$S20</f>
        <v>-</v>
      </c>
      <c r="Z401" s="482">
        <f>'8ª'!$T20</f>
        <v>0</v>
      </c>
      <c r="AA401" s="483">
        <f>'8ª'!$U20</f>
        <v>0</v>
      </c>
      <c r="AB401" s="385" t="s">
        <v>328</v>
      </c>
      <c r="AC401" s="385"/>
      <c r="AD401" s="435" t="s">
        <v>466</v>
      </c>
    </row>
    <row r="402" spans="1:30" ht="16.5" thickBot="1" x14ac:dyDescent="0.3">
      <c r="A402" s="416" t="str">
        <f>RIGHT('[1]8ª'!$A$5:$D$5,12)</f>
        <v>8ª SÉRIE E.F</v>
      </c>
      <c r="B402" s="475">
        <v>16</v>
      </c>
      <c r="C402" s="476">
        <f>'8ª'!$B21</f>
        <v>18931</v>
      </c>
      <c r="D402" s="477" t="str">
        <f>'8ª'!$C21</f>
        <v>JOAO VICTOR CORREIA CALDAS</v>
      </c>
      <c r="E402" s="478" t="str">
        <f>'8ª'!$D21</f>
        <v>M</v>
      </c>
      <c r="F402" s="478" t="str">
        <f>'8ª'!$E21</f>
        <v>MA</v>
      </c>
      <c r="G402" s="479">
        <f>'8ª'!$F21</f>
        <v>39892</v>
      </c>
      <c r="H402" s="477">
        <f>'8ª'!$G21</f>
        <v>1116918687</v>
      </c>
      <c r="I402" s="480">
        <f>'8ª'!$H21</f>
        <v>0</v>
      </c>
      <c r="J402" s="477"/>
      <c r="K402" s="477" t="str">
        <f>'8ª'!$I21</f>
        <v>TR - 28/07</v>
      </c>
      <c r="L402" s="479" t="str">
        <f ca="1">'8ª'!$J21</f>
        <v/>
      </c>
      <c r="M402" s="477"/>
      <c r="N402" s="252">
        <f ca="1">'8ª'!$K21</f>
        <v>16</v>
      </c>
      <c r="O402" s="477"/>
      <c r="P402" s="253" t="s">
        <v>110</v>
      </c>
      <c r="Q402" s="415" t="s">
        <v>250</v>
      </c>
      <c r="R402" s="481" t="str">
        <f>'8ª'!$L21</f>
        <v>Não</v>
      </c>
      <c r="S402" s="481" t="str">
        <f>'8ª'!$M21</f>
        <v>-</v>
      </c>
      <c r="T402" s="481" t="str">
        <f>'8ª'!$N21</f>
        <v>-</v>
      </c>
      <c r="U402" s="481" t="str">
        <f>'8ª'!$O21</f>
        <v>-</v>
      </c>
      <c r="V402" s="481" t="str">
        <f>'8ª'!$P21</f>
        <v>-</v>
      </c>
      <c r="W402" s="481" t="str">
        <f>'8ª'!$Q21</f>
        <v>-</v>
      </c>
      <c r="X402" s="481" t="str">
        <f>'8ª'!$R21</f>
        <v>-</v>
      </c>
      <c r="Y402" s="481" t="str">
        <f>'8ª'!$S21</f>
        <v>-</v>
      </c>
      <c r="Z402" s="482">
        <f>'8ª'!$T21</f>
        <v>0</v>
      </c>
      <c r="AA402" s="483">
        <f>'8ª'!$U21</f>
        <v>0</v>
      </c>
      <c r="AB402" s="385" t="s">
        <v>328</v>
      </c>
      <c r="AC402" s="385"/>
      <c r="AD402" s="435" t="s">
        <v>466</v>
      </c>
    </row>
    <row r="403" spans="1:30" ht="16.5" thickBot="1" x14ac:dyDescent="0.3">
      <c r="A403" s="416" t="str">
        <f>RIGHT('[1]8ª'!$A$5:$D$5,12)</f>
        <v>8ª SÉRIE E.F</v>
      </c>
      <c r="B403" s="475">
        <v>17</v>
      </c>
      <c r="C403" s="476">
        <f>'8ª'!$B22</f>
        <v>18769</v>
      </c>
      <c r="D403" s="477" t="str">
        <f>'8ª'!$C22</f>
        <v>TANIA NAJARA FERREIRA MATOS</v>
      </c>
      <c r="E403" s="478" t="str">
        <f>'8ª'!$D22</f>
        <v>F</v>
      </c>
      <c r="F403" s="478" t="str">
        <f>'8ª'!$E22</f>
        <v>MA</v>
      </c>
      <c r="G403" s="479">
        <f>'8ª'!$F22</f>
        <v>34361</v>
      </c>
      <c r="H403" s="477" t="str">
        <f>'8ª'!$G22</f>
        <v>49367259-X</v>
      </c>
      <c r="I403" s="480" t="str">
        <f>'8ª'!$H22</f>
        <v>49367259-X</v>
      </c>
      <c r="J403" s="477"/>
      <c r="K403" s="477" t="str">
        <f>'8ª'!$I22</f>
        <v>TR 19/08</v>
      </c>
      <c r="L403" s="479" t="str">
        <f ca="1">'8ª'!$J22</f>
        <v>DISP.IDADE</v>
      </c>
      <c r="M403" s="477"/>
      <c r="N403" s="252">
        <f ca="1">'8ª'!$K22</f>
        <v>31</v>
      </c>
      <c r="O403" s="477"/>
      <c r="P403" s="253" t="s">
        <v>110</v>
      </c>
      <c r="Q403" s="415" t="s">
        <v>250</v>
      </c>
      <c r="R403" s="481" t="str">
        <f>'8ª'!$L22</f>
        <v>Não</v>
      </c>
      <c r="S403" s="481" t="str">
        <f>'8ª'!$M22</f>
        <v>-</v>
      </c>
      <c r="T403" s="481" t="str">
        <f>'8ª'!$N22</f>
        <v>-</v>
      </c>
      <c r="U403" s="481" t="str">
        <f>'8ª'!$O22</f>
        <v>-</v>
      </c>
      <c r="V403" s="481" t="str">
        <f>'8ª'!$P22</f>
        <v>-</v>
      </c>
      <c r="W403" s="481" t="str">
        <f>'8ª'!$Q22</f>
        <v>-</v>
      </c>
      <c r="X403" s="481" t="str">
        <f>'8ª'!$R22</f>
        <v>-</v>
      </c>
      <c r="Y403" s="481" t="str">
        <f>'8ª'!$S22</f>
        <v>-</v>
      </c>
      <c r="Z403" s="482">
        <f>'8ª'!$T22</f>
        <v>0</v>
      </c>
      <c r="AA403" s="483">
        <f>'8ª'!$U22</f>
        <v>0</v>
      </c>
      <c r="AB403" s="385" t="s">
        <v>328</v>
      </c>
      <c r="AC403" s="385"/>
      <c r="AD403" s="435" t="s">
        <v>466</v>
      </c>
    </row>
    <row r="404" spans="1:30" ht="16.5" thickBot="1" x14ac:dyDescent="0.3">
      <c r="A404" s="416" t="str">
        <f>RIGHT('[1]8ª'!$A$5:$D$5,12)</f>
        <v>8ª SÉRIE E.F</v>
      </c>
      <c r="B404" s="475">
        <v>18</v>
      </c>
      <c r="C404" s="476" t="e">
        <f>'8ª'!#REF!</f>
        <v>#REF!</v>
      </c>
      <c r="D404" s="477" t="e">
        <f>'8ª'!#REF!</f>
        <v>#REF!</v>
      </c>
      <c r="E404" s="478" t="e">
        <f>'8ª'!#REF!</f>
        <v>#REF!</v>
      </c>
      <c r="F404" s="478" t="e">
        <f>'8ª'!#REF!</f>
        <v>#REF!</v>
      </c>
      <c r="G404" s="479" t="e">
        <f>'8ª'!#REF!</f>
        <v>#REF!</v>
      </c>
      <c r="H404" s="477" t="e">
        <f>'8ª'!#REF!</f>
        <v>#REF!</v>
      </c>
      <c r="I404" s="480" t="e">
        <f>'8ª'!#REF!</f>
        <v>#REF!</v>
      </c>
      <c r="J404" s="477"/>
      <c r="K404" s="477" t="e">
        <f>'8ª'!#REF!</f>
        <v>#REF!</v>
      </c>
      <c r="L404" s="479" t="e">
        <f>'8ª'!#REF!</f>
        <v>#REF!</v>
      </c>
      <c r="M404" s="477"/>
      <c r="N404" s="252">
        <f ca="1">'8ª'!$K23</f>
        <v>17</v>
      </c>
      <c r="O404" s="477"/>
      <c r="P404" s="253" t="s">
        <v>110</v>
      </c>
      <c r="Q404" s="415" t="s">
        <v>250</v>
      </c>
      <c r="R404" s="481" t="str">
        <f>'8ª'!$L23</f>
        <v>Não</v>
      </c>
      <c r="S404" s="481" t="str">
        <f>'8ª'!$M23</f>
        <v>-</v>
      </c>
      <c r="T404" s="481" t="str">
        <f>'8ª'!$N23</f>
        <v>-</v>
      </c>
      <c r="U404" s="481" t="str">
        <f>'8ª'!$O23</f>
        <v>-</v>
      </c>
      <c r="V404" s="481" t="str">
        <f>'8ª'!$P23</f>
        <v>-</v>
      </c>
      <c r="W404" s="481" t="str">
        <f>'8ª'!$Q23</f>
        <v>-</v>
      </c>
      <c r="X404" s="481" t="str">
        <f>'8ª'!$R23</f>
        <v>-</v>
      </c>
      <c r="Y404" s="481" t="str">
        <f>'8ª'!$S23</f>
        <v>-</v>
      </c>
      <c r="Z404" s="482">
        <f>'8ª'!$T23</f>
        <v>0</v>
      </c>
      <c r="AA404" s="483">
        <f>'8ª'!$U23</f>
        <v>0</v>
      </c>
      <c r="AB404" s="385" t="s">
        <v>328</v>
      </c>
      <c r="AC404" s="385"/>
      <c r="AD404" s="435" t="s">
        <v>466</v>
      </c>
    </row>
    <row r="405" spans="1:30" ht="16.5" thickBot="1" x14ac:dyDescent="0.3">
      <c r="A405" s="416" t="str">
        <f>RIGHT('[1]8ª'!$A$5:$D$5,12)</f>
        <v>8ª SÉRIE E.F</v>
      </c>
      <c r="B405" s="475">
        <v>19</v>
      </c>
      <c r="C405" s="476">
        <f>'8ª'!$B24</f>
        <v>18958</v>
      </c>
      <c r="D405" s="477" t="str">
        <f>'8ª'!$C24</f>
        <v>EVERTON RAMOS SILVA</v>
      </c>
      <c r="E405" s="478" t="str">
        <f>'8ª'!$D24</f>
        <v>M</v>
      </c>
      <c r="F405" s="478" t="str">
        <f>'8ª'!$E24</f>
        <v>MA</v>
      </c>
      <c r="G405" s="479">
        <f>'8ª'!$F24</f>
        <v>39685</v>
      </c>
      <c r="H405" s="477" t="str">
        <f>'8ª'!$G24</f>
        <v>111382499-2</v>
      </c>
      <c r="I405" s="480">
        <f>'8ª'!$H24</f>
        <v>0</v>
      </c>
      <c r="J405" s="477"/>
      <c r="K405" s="477" t="str">
        <f>'8ª'!$I24</f>
        <v>TR 20/08</v>
      </c>
      <c r="L405" s="479" t="str">
        <f ca="1">'8ª'!$J24</f>
        <v/>
      </c>
      <c r="M405" s="477"/>
      <c r="N405" s="252">
        <f ca="1">'8ª'!$K24</f>
        <v>17</v>
      </c>
      <c r="O405" s="477"/>
      <c r="P405" s="253" t="s">
        <v>110</v>
      </c>
      <c r="Q405" s="415" t="s">
        <v>250</v>
      </c>
      <c r="R405" s="481" t="str">
        <f>'8ª'!$L24</f>
        <v>Não</v>
      </c>
      <c r="S405" s="481" t="str">
        <f>'8ª'!$M24</f>
        <v>-</v>
      </c>
      <c r="T405" s="481" t="str">
        <f>'8ª'!$N24</f>
        <v>-</v>
      </c>
      <c r="U405" s="481" t="str">
        <f>'8ª'!$O24</f>
        <v>-</v>
      </c>
      <c r="V405" s="481" t="str">
        <f>'8ª'!$P24</f>
        <v>-</v>
      </c>
      <c r="W405" s="481" t="str">
        <f>'8ª'!$Q24</f>
        <v>-</v>
      </c>
      <c r="X405" s="481" t="str">
        <f>'8ª'!$R24</f>
        <v>-</v>
      </c>
      <c r="Y405" s="481" t="str">
        <f>'8ª'!$S24</f>
        <v>-</v>
      </c>
      <c r="Z405" s="482">
        <f>'8ª'!$T24</f>
        <v>0</v>
      </c>
      <c r="AA405" s="483">
        <f>'8ª'!$U24</f>
        <v>0</v>
      </c>
      <c r="AB405" s="385" t="s">
        <v>328</v>
      </c>
      <c r="AC405" s="385"/>
      <c r="AD405" s="435" t="s">
        <v>466</v>
      </c>
    </row>
    <row r="406" spans="1:30" ht="16.5" thickBot="1" x14ac:dyDescent="0.3">
      <c r="A406" s="416" t="str">
        <f>RIGHT('[1]8ª'!$A$5:$D$5,12)</f>
        <v>8ª SÉRIE E.F</v>
      </c>
      <c r="B406" s="475">
        <v>20</v>
      </c>
      <c r="C406" s="476">
        <f>'8ª'!$B25</f>
        <v>18962</v>
      </c>
      <c r="D406" s="477" t="str">
        <f>'8ª'!$C25</f>
        <v>FELIPE ZAMPIERI LACERDA SOUZA</v>
      </c>
      <c r="E406" s="478" t="str">
        <f>'8ª'!$D25</f>
        <v>M</v>
      </c>
      <c r="F406" s="478" t="str">
        <f>'8ª'!$E25</f>
        <v>MA</v>
      </c>
      <c r="G406" s="479">
        <f>'8ª'!$F25</f>
        <v>39757</v>
      </c>
      <c r="H406" s="477" t="str">
        <f>'8ª'!$G25</f>
        <v>110956601-3</v>
      </c>
      <c r="I406" s="480" t="str">
        <f>'8ª'!$H25</f>
        <v>62248131-9</v>
      </c>
      <c r="J406" s="477"/>
      <c r="K406" s="477" t="str">
        <f>'8ª'!$I25</f>
        <v>INCLUSAO TR 20/08</v>
      </c>
      <c r="L406" s="479" t="str">
        <f ca="1">'8ª'!$J25</f>
        <v/>
      </c>
      <c r="M406" s="477"/>
      <c r="N406" s="252">
        <f ca="1">'8ª'!$K25</f>
        <v>16</v>
      </c>
      <c r="O406" s="477"/>
      <c r="P406" s="253" t="s">
        <v>110</v>
      </c>
      <c r="Q406" s="415" t="s">
        <v>250</v>
      </c>
      <c r="R406" s="481" t="str">
        <f>'8ª'!$L25</f>
        <v>Sim</v>
      </c>
      <c r="S406" s="481" t="str">
        <f>'8ª'!$M25</f>
        <v>-</v>
      </c>
      <c r="T406" s="481" t="str">
        <f>'8ª'!$N25</f>
        <v>-</v>
      </c>
      <c r="U406" s="481" t="str">
        <f>'8ª'!$O25</f>
        <v>-</v>
      </c>
      <c r="V406" s="481" t="str">
        <f>'8ª'!$P25</f>
        <v>-</v>
      </c>
      <c r="W406" s="481" t="str">
        <f>'8ª'!$Q25</f>
        <v>-</v>
      </c>
      <c r="X406" s="481" t="str">
        <f>'8ª'!$R25</f>
        <v>-</v>
      </c>
      <c r="Y406" s="481" t="str">
        <f>'8ª'!$S25</f>
        <v>-</v>
      </c>
      <c r="Z406" s="482">
        <f>'8ª'!$T25</f>
        <v>0</v>
      </c>
      <c r="AA406" s="483">
        <f>'8ª'!$U25</f>
        <v>0</v>
      </c>
      <c r="AB406" s="385" t="s">
        <v>328</v>
      </c>
      <c r="AC406" s="385"/>
      <c r="AD406" s="435" t="s">
        <v>466</v>
      </c>
    </row>
    <row r="407" spans="1:30" ht="16.5" thickBot="1" x14ac:dyDescent="0.3">
      <c r="A407" s="416" t="str">
        <f>RIGHT('[1]8ª'!$A$5:$D$5,12)</f>
        <v>8ª SÉRIE E.F</v>
      </c>
      <c r="B407" s="475">
        <v>21</v>
      </c>
      <c r="C407" s="476">
        <f>'8ª'!$B26</f>
        <v>18972</v>
      </c>
      <c r="D407" s="477" t="str">
        <f>'8ª'!$C26</f>
        <v>PEDRO MIGUEL DE LIMA RODRIGUES DOS SANTOS</v>
      </c>
      <c r="E407" s="478" t="str">
        <f>'8ª'!$D26</f>
        <v>M</v>
      </c>
      <c r="F407" s="478" t="str">
        <f>'8ª'!$E26</f>
        <v>NCOM</v>
      </c>
      <c r="G407" s="479">
        <f>'8ª'!$F26</f>
        <v>40140</v>
      </c>
      <c r="H407" s="477">
        <f>'8ª'!$G26</f>
        <v>11424894337</v>
      </c>
      <c r="I407" s="480">
        <f>'8ª'!$H26</f>
        <v>0</v>
      </c>
      <c r="J407" s="477"/>
      <c r="K407" s="477" t="str">
        <f>'8ª'!$I26</f>
        <v>NCOM 08/09 TR 25/08</v>
      </c>
      <c r="L407" s="479" t="str">
        <f ca="1">'8ª'!$J26</f>
        <v/>
      </c>
      <c r="M407" s="477"/>
      <c r="N407" s="252">
        <f ca="1">'8ª'!$K26</f>
        <v>15</v>
      </c>
      <c r="O407" s="477"/>
      <c r="P407" s="253" t="s">
        <v>110</v>
      </c>
      <c r="Q407" s="415" t="s">
        <v>250</v>
      </c>
      <c r="R407" s="481" t="str">
        <f>'8ª'!$L26</f>
        <v>Não</v>
      </c>
      <c r="S407" s="481" t="str">
        <f>'8ª'!$M26</f>
        <v>-</v>
      </c>
      <c r="T407" s="481" t="str">
        <f>'8ª'!$N26</f>
        <v>-</v>
      </c>
      <c r="U407" s="481" t="str">
        <f>'8ª'!$O26</f>
        <v>-</v>
      </c>
      <c r="V407" s="481" t="str">
        <f>'8ª'!$P26</f>
        <v>-</v>
      </c>
      <c r="W407" s="481" t="str">
        <f>'8ª'!$Q26</f>
        <v>-</v>
      </c>
      <c r="X407" s="481" t="str">
        <f>'8ª'!$R26</f>
        <v>-</v>
      </c>
      <c r="Y407" s="481" t="str">
        <f>'8ª'!$S26</f>
        <v>-</v>
      </c>
      <c r="Z407" s="482">
        <f>'8ª'!$T26</f>
        <v>0</v>
      </c>
      <c r="AA407" s="483">
        <f>'8ª'!$U26</f>
        <v>0</v>
      </c>
      <c r="AB407" s="385" t="s">
        <v>328</v>
      </c>
      <c r="AC407" s="385"/>
      <c r="AD407" s="435" t="s">
        <v>466</v>
      </c>
    </row>
    <row r="408" spans="1:30" ht="16.5" thickBot="1" x14ac:dyDescent="0.3">
      <c r="A408" s="416" t="str">
        <f>RIGHT('[1]8ª'!$A$5:$D$5,12)</f>
        <v>8ª SÉRIE E.F</v>
      </c>
      <c r="B408" s="475">
        <v>22</v>
      </c>
      <c r="C408" s="476">
        <f>'8ª'!$B27</f>
        <v>18975</v>
      </c>
      <c r="D408" s="477" t="str">
        <f>'8ª'!$C27</f>
        <v>MARIA EDUARDA SANTOS MACHADO</v>
      </c>
      <c r="E408" s="478" t="str">
        <f>'8ª'!$D27</f>
        <v>F</v>
      </c>
      <c r="F408" s="478" t="str">
        <f>'8ª'!$E27</f>
        <v>MA</v>
      </c>
      <c r="G408" s="479">
        <f>'8ª'!$F27</f>
        <v>39229</v>
      </c>
      <c r="H408" s="477" t="str">
        <f>'8ª'!$G27</f>
        <v>112867462-2</v>
      </c>
      <c r="I408" s="480">
        <f>'8ª'!$H27</f>
        <v>0</v>
      </c>
      <c r="J408" s="477"/>
      <c r="K408" s="477" t="str">
        <f>'8ª'!$I27</f>
        <v>TR 01/09</v>
      </c>
      <c r="L408" s="479" t="str">
        <f ca="1">'8ª'!$J27</f>
        <v/>
      </c>
      <c r="M408" s="477"/>
      <c r="N408" s="252">
        <f ca="1">'8ª'!$K27</f>
        <v>18</v>
      </c>
      <c r="O408" s="477"/>
      <c r="P408" s="253" t="s">
        <v>110</v>
      </c>
      <c r="Q408" s="415" t="s">
        <v>250</v>
      </c>
      <c r="R408" s="481" t="str">
        <f>'8ª'!$L27</f>
        <v>Não</v>
      </c>
      <c r="S408" s="481" t="str">
        <f>'8ª'!$M27</f>
        <v>-</v>
      </c>
      <c r="T408" s="481" t="str">
        <f>'8ª'!$N27</f>
        <v>-</v>
      </c>
      <c r="U408" s="481" t="str">
        <f>'8ª'!$O27</f>
        <v>-</v>
      </c>
      <c r="V408" s="481" t="str">
        <f>'8ª'!$P27</f>
        <v>-</v>
      </c>
      <c r="W408" s="481" t="str">
        <f>'8ª'!$Q27</f>
        <v>-</v>
      </c>
      <c r="X408" s="481" t="str">
        <f>'8ª'!$R27</f>
        <v>-</v>
      </c>
      <c r="Y408" s="481" t="str">
        <f>'8ª'!$S27</f>
        <v>-</v>
      </c>
      <c r="Z408" s="482">
        <f>'8ª'!$T27</f>
        <v>0</v>
      </c>
      <c r="AA408" s="483">
        <f>'8ª'!$U27</f>
        <v>0</v>
      </c>
      <c r="AB408" s="385" t="s">
        <v>328</v>
      </c>
      <c r="AC408" s="385"/>
      <c r="AD408" s="435" t="s">
        <v>466</v>
      </c>
    </row>
    <row r="409" spans="1:30" ht="16.5" thickBot="1" x14ac:dyDescent="0.3">
      <c r="A409" s="416" t="str">
        <f>RIGHT('[1]8ª'!$A$5:$D$5,12)</f>
        <v>8ª SÉRIE E.F</v>
      </c>
      <c r="B409" s="475">
        <v>23</v>
      </c>
      <c r="C409" s="476">
        <f>'8ª'!$B28</f>
        <v>0</v>
      </c>
      <c r="D409" s="477">
        <f>'8ª'!$C28</f>
        <v>0</v>
      </c>
      <c r="E409" s="478">
        <f>'8ª'!$D28</f>
        <v>0</v>
      </c>
      <c r="F409" s="478">
        <f>'8ª'!$E28</f>
        <v>0</v>
      </c>
      <c r="G409" s="479">
        <f>'8ª'!$F28</f>
        <v>0</v>
      </c>
      <c r="H409" s="477">
        <f>'8ª'!$G28</f>
        <v>0</v>
      </c>
      <c r="I409" s="480">
        <f>'8ª'!$H28</f>
        <v>0</v>
      </c>
      <c r="J409" s="477"/>
      <c r="K409" s="477">
        <f>'8ª'!$I28</f>
        <v>0</v>
      </c>
      <c r="L409" s="479" t="str">
        <f ca="1">'8ª'!$J28</f>
        <v/>
      </c>
      <c r="M409" s="477"/>
      <c r="N409" s="252" t="str">
        <f ca="1">'8ª'!$K28</f>
        <v/>
      </c>
      <c r="O409" s="477"/>
      <c r="P409" s="253" t="s">
        <v>110</v>
      </c>
      <c r="Q409" s="415" t="s">
        <v>250</v>
      </c>
      <c r="R409" s="481" t="str">
        <f>'8ª'!$L28</f>
        <v>Não</v>
      </c>
      <c r="S409" s="481" t="str">
        <f>'8ª'!$M28</f>
        <v>-</v>
      </c>
      <c r="T409" s="481" t="str">
        <f>'8ª'!$N28</f>
        <v>-</v>
      </c>
      <c r="U409" s="481" t="str">
        <f>'8ª'!$O28</f>
        <v>-</v>
      </c>
      <c r="V409" s="481" t="str">
        <f>'8ª'!$P28</f>
        <v>-</v>
      </c>
      <c r="W409" s="481" t="str">
        <f>'8ª'!$Q28</f>
        <v>-</v>
      </c>
      <c r="X409" s="481" t="str">
        <f>'8ª'!$R28</f>
        <v>-</v>
      </c>
      <c r="Y409" s="481" t="str">
        <f>'8ª'!$S28</f>
        <v>-</v>
      </c>
      <c r="Z409" s="482">
        <f>'8ª'!$T28</f>
        <v>0</v>
      </c>
      <c r="AA409" s="483">
        <f>'8ª'!$U28</f>
        <v>0</v>
      </c>
      <c r="AB409" s="385" t="s">
        <v>328</v>
      </c>
      <c r="AC409" s="385"/>
      <c r="AD409" s="435" t="s">
        <v>466</v>
      </c>
    </row>
    <row r="410" spans="1:30" ht="16.5" thickBot="1" x14ac:dyDescent="0.3">
      <c r="A410" s="416" t="str">
        <f>RIGHT('[1]8ª'!$A$5:$D$5,12)</f>
        <v>8ª SÉRIE E.F</v>
      </c>
      <c r="B410" s="475">
        <v>24</v>
      </c>
      <c r="C410" s="476">
        <f>'8ª'!$B29</f>
        <v>0</v>
      </c>
      <c r="D410" s="477">
        <f>'8ª'!$C29</f>
        <v>0</v>
      </c>
      <c r="E410" s="478">
        <f>'8ª'!$D29</f>
        <v>0</v>
      </c>
      <c r="F410" s="478">
        <f>'8ª'!$E29</f>
        <v>0</v>
      </c>
      <c r="G410" s="479">
        <f>'8ª'!$F29</f>
        <v>0</v>
      </c>
      <c r="H410" s="477">
        <f>'8ª'!$G29</f>
        <v>0</v>
      </c>
      <c r="I410" s="480">
        <f>'8ª'!$H29</f>
        <v>0</v>
      </c>
      <c r="J410" s="477"/>
      <c r="K410" s="477">
        <f>'8ª'!$I29</f>
        <v>0</v>
      </c>
      <c r="L410" s="479" t="str">
        <f ca="1">'8ª'!$J29</f>
        <v/>
      </c>
      <c r="M410" s="477"/>
      <c r="N410" s="252" t="str">
        <f ca="1">'8ª'!$K29</f>
        <v/>
      </c>
      <c r="O410" s="477"/>
      <c r="P410" s="253" t="s">
        <v>110</v>
      </c>
      <c r="Q410" s="415" t="s">
        <v>250</v>
      </c>
      <c r="R410" s="481" t="str">
        <f>'8ª'!$L29</f>
        <v>Não</v>
      </c>
      <c r="S410" s="481" t="str">
        <f>'8ª'!$M29</f>
        <v>-</v>
      </c>
      <c r="T410" s="481" t="str">
        <f>'8ª'!$N29</f>
        <v>-</v>
      </c>
      <c r="U410" s="481" t="str">
        <f>'8ª'!$O29</f>
        <v>-</v>
      </c>
      <c r="V410" s="481" t="str">
        <f>'8ª'!$P29</f>
        <v>-</v>
      </c>
      <c r="W410" s="481" t="str">
        <f>'8ª'!$Q29</f>
        <v>-</v>
      </c>
      <c r="X410" s="481" t="str">
        <f>'8ª'!$R29</f>
        <v>-</v>
      </c>
      <c r="Y410" s="481" t="str">
        <f>'8ª'!$S29</f>
        <v>-</v>
      </c>
      <c r="Z410" s="482">
        <f>'8ª'!$T29</f>
        <v>0</v>
      </c>
      <c r="AA410" s="483">
        <f>'8ª'!$U29</f>
        <v>0</v>
      </c>
      <c r="AB410" s="385" t="s">
        <v>328</v>
      </c>
      <c r="AC410" s="385"/>
      <c r="AD410" s="435" t="s">
        <v>466</v>
      </c>
    </row>
    <row r="411" spans="1:30" ht="16.5" thickBot="1" x14ac:dyDescent="0.3">
      <c r="A411" s="416" t="str">
        <f>RIGHT('[1]8ª'!$A$5:$D$5,12)</f>
        <v>8ª SÉRIE E.F</v>
      </c>
      <c r="B411" s="475">
        <v>25</v>
      </c>
      <c r="C411" s="476">
        <f>'8ª'!$B30</f>
        <v>0</v>
      </c>
      <c r="D411" s="477">
        <f>'8ª'!$C30</f>
        <v>0</v>
      </c>
      <c r="E411" s="478">
        <f>'8ª'!$D30</f>
        <v>0</v>
      </c>
      <c r="F411" s="478">
        <f>'8ª'!$E30</f>
        <v>0</v>
      </c>
      <c r="G411" s="479">
        <f>'8ª'!$F30</f>
        <v>0</v>
      </c>
      <c r="H411" s="477">
        <f>'8ª'!$G30</f>
        <v>0</v>
      </c>
      <c r="I411" s="480">
        <f>'8ª'!$H30</f>
        <v>0</v>
      </c>
      <c r="J411" s="477"/>
      <c r="K411" s="477">
        <f>'8ª'!$I30</f>
        <v>0</v>
      </c>
      <c r="L411" s="479" t="str">
        <f ca="1">'8ª'!$J30</f>
        <v/>
      </c>
      <c r="M411" s="477"/>
      <c r="N411" s="252" t="str">
        <f ca="1">'8ª'!$K30</f>
        <v/>
      </c>
      <c r="O411" s="477"/>
      <c r="P411" s="253" t="s">
        <v>110</v>
      </c>
      <c r="Q411" s="415" t="s">
        <v>250</v>
      </c>
      <c r="R411" s="481" t="str">
        <f>'8ª'!$L30</f>
        <v>Não</v>
      </c>
      <c r="S411" s="481" t="str">
        <f>'8ª'!$M30</f>
        <v>-</v>
      </c>
      <c r="T411" s="481" t="str">
        <f>'8ª'!$N30</f>
        <v>-</v>
      </c>
      <c r="U411" s="481" t="str">
        <f>'8ª'!$O30</f>
        <v>-</v>
      </c>
      <c r="V411" s="481" t="str">
        <f>'8ª'!$P30</f>
        <v>-</v>
      </c>
      <c r="W411" s="481" t="str">
        <f>'8ª'!$Q30</f>
        <v>-</v>
      </c>
      <c r="X411" s="481" t="str">
        <f>'8ª'!$R30</f>
        <v>-</v>
      </c>
      <c r="Y411" s="481" t="str">
        <f>'8ª'!$S30</f>
        <v>-</v>
      </c>
      <c r="Z411" s="482">
        <f>'8ª'!$T30</f>
        <v>0</v>
      </c>
      <c r="AA411" s="483">
        <f>'8ª'!$U30</f>
        <v>0</v>
      </c>
      <c r="AB411" s="385" t="s">
        <v>328</v>
      </c>
      <c r="AC411" s="385"/>
      <c r="AD411" s="435" t="s">
        <v>466</v>
      </c>
    </row>
    <row r="412" spans="1:30" ht="16.5" thickBot="1" x14ac:dyDescent="0.3">
      <c r="A412" s="416" t="str">
        <f>RIGHT('[1]8ª'!$A$5:$D$5,12)</f>
        <v>8ª SÉRIE E.F</v>
      </c>
      <c r="B412" s="475">
        <v>26</v>
      </c>
      <c r="C412" s="476">
        <f>'8ª'!$B31</f>
        <v>0</v>
      </c>
      <c r="D412" s="477">
        <f>'8ª'!$C31</f>
        <v>0</v>
      </c>
      <c r="E412" s="478">
        <f>'8ª'!$D31</f>
        <v>0</v>
      </c>
      <c r="F412" s="478">
        <f>'8ª'!$E31</f>
        <v>0</v>
      </c>
      <c r="G412" s="479">
        <f>'8ª'!$F31</f>
        <v>0</v>
      </c>
      <c r="H412" s="477">
        <f>'8ª'!$G31</f>
        <v>0</v>
      </c>
      <c r="I412" s="480">
        <f>'8ª'!$H31</f>
        <v>0</v>
      </c>
      <c r="J412" s="477"/>
      <c r="K412" s="477">
        <f>'8ª'!$I31</f>
        <v>0</v>
      </c>
      <c r="L412" s="479" t="str">
        <f ca="1">'8ª'!$J31</f>
        <v/>
      </c>
      <c r="M412" s="477"/>
      <c r="N412" s="252" t="str">
        <f ca="1">'8ª'!$K31</f>
        <v/>
      </c>
      <c r="O412" s="477"/>
      <c r="P412" s="253" t="s">
        <v>110</v>
      </c>
      <c r="Q412" s="415" t="s">
        <v>250</v>
      </c>
      <c r="R412" s="481">
        <f>'8ª'!$L31</f>
        <v>0</v>
      </c>
      <c r="S412" s="481">
        <f>'8ª'!$M31</f>
        <v>0</v>
      </c>
      <c r="T412" s="481">
        <f>'8ª'!$N31</f>
        <v>0</v>
      </c>
      <c r="U412" s="481">
        <f>'8ª'!$O31</f>
        <v>0</v>
      </c>
      <c r="V412" s="481">
        <f>'8ª'!$P31</f>
        <v>0</v>
      </c>
      <c r="W412" s="481">
        <f>'8ª'!$Q31</f>
        <v>0</v>
      </c>
      <c r="X412" s="481">
        <f>'8ª'!$R31</f>
        <v>0</v>
      </c>
      <c r="Y412" s="481">
        <f>'8ª'!$S31</f>
        <v>0</v>
      </c>
      <c r="Z412" s="482">
        <f>'8ª'!$T31</f>
        <v>0</v>
      </c>
      <c r="AA412" s="483">
        <f>'8ª'!$U31</f>
        <v>0</v>
      </c>
      <c r="AB412" s="385" t="s">
        <v>328</v>
      </c>
      <c r="AC412" s="385"/>
      <c r="AD412" s="435" t="s">
        <v>466</v>
      </c>
    </row>
    <row r="413" spans="1:30" ht="16.5" thickBot="1" x14ac:dyDescent="0.3">
      <c r="A413" s="416" t="str">
        <f>RIGHT('[1]8ª'!$A$5:$D$5,12)</f>
        <v>8ª SÉRIE E.F</v>
      </c>
      <c r="B413" s="475">
        <v>27</v>
      </c>
      <c r="C413" s="476">
        <f>'8ª'!$B32</f>
        <v>0</v>
      </c>
      <c r="D413" s="477">
        <f>'8ª'!$C32</f>
        <v>0</v>
      </c>
      <c r="E413" s="478">
        <f>'8ª'!$D32</f>
        <v>0</v>
      </c>
      <c r="F413" s="478">
        <f>'8ª'!$E32</f>
        <v>0</v>
      </c>
      <c r="G413" s="479">
        <f>'8ª'!$F32</f>
        <v>0</v>
      </c>
      <c r="H413" s="477">
        <f>'8ª'!$G32</f>
        <v>0</v>
      </c>
      <c r="I413" s="480">
        <f>'8ª'!$H32</f>
        <v>0</v>
      </c>
      <c r="J413" s="477"/>
      <c r="K413" s="477">
        <f>'8ª'!$I32</f>
        <v>0</v>
      </c>
      <c r="L413" s="479" t="str">
        <f ca="1">'8ª'!$J32</f>
        <v/>
      </c>
      <c r="M413" s="477"/>
      <c r="N413" s="252" t="str">
        <f ca="1">'8ª'!$K32</f>
        <v/>
      </c>
      <c r="O413" s="477"/>
      <c r="P413" s="253" t="s">
        <v>110</v>
      </c>
      <c r="Q413" s="415" t="s">
        <v>250</v>
      </c>
      <c r="R413" s="481">
        <f>'8ª'!$L32</f>
        <v>0</v>
      </c>
      <c r="S413" s="481">
        <f>'8ª'!$M32</f>
        <v>0</v>
      </c>
      <c r="T413" s="481">
        <f>'8ª'!$N32</f>
        <v>0</v>
      </c>
      <c r="U413" s="481">
        <f>'8ª'!$O32</f>
        <v>0</v>
      </c>
      <c r="V413" s="481">
        <f>'8ª'!$P32</f>
        <v>0</v>
      </c>
      <c r="W413" s="481">
        <f>'8ª'!$Q32</f>
        <v>0</v>
      </c>
      <c r="X413" s="481">
        <f>'8ª'!$R32</f>
        <v>0</v>
      </c>
      <c r="Y413" s="481">
        <f>'8ª'!$S32</f>
        <v>0</v>
      </c>
      <c r="Z413" s="482">
        <f>'8ª'!$T32</f>
        <v>0</v>
      </c>
      <c r="AA413" s="483">
        <f>'8ª'!$U32</f>
        <v>0</v>
      </c>
      <c r="AB413" s="385" t="s">
        <v>328</v>
      </c>
      <c r="AC413" s="385"/>
      <c r="AD413" s="435" t="s">
        <v>466</v>
      </c>
    </row>
    <row r="414" spans="1:30" ht="16.5" thickBot="1" x14ac:dyDescent="0.3">
      <c r="A414" s="416" t="str">
        <f>RIGHT('[1]8ª'!$A$5:$D$5,12)</f>
        <v>8ª SÉRIE E.F</v>
      </c>
      <c r="B414" s="475">
        <v>28</v>
      </c>
      <c r="C414" s="476">
        <f>'8ª'!$B33</f>
        <v>0</v>
      </c>
      <c r="D414" s="477">
        <f>'8ª'!$C33</f>
        <v>0</v>
      </c>
      <c r="E414" s="478">
        <f>'8ª'!$D33</f>
        <v>0</v>
      </c>
      <c r="F414" s="478">
        <f>'8ª'!$E33</f>
        <v>0</v>
      </c>
      <c r="G414" s="479">
        <f>'8ª'!$F33</f>
        <v>0</v>
      </c>
      <c r="H414" s="477">
        <f>'8ª'!$G33</f>
        <v>0</v>
      </c>
      <c r="I414" s="480">
        <f>'8ª'!$H33</f>
        <v>0</v>
      </c>
      <c r="J414" s="477"/>
      <c r="K414" s="477">
        <f>'8ª'!$I33</f>
        <v>0</v>
      </c>
      <c r="L414" s="479" t="str">
        <f ca="1">'8ª'!$J33</f>
        <v/>
      </c>
      <c r="M414" s="477"/>
      <c r="N414" s="252" t="str">
        <f ca="1">'8ª'!$K33</f>
        <v/>
      </c>
      <c r="O414" s="477"/>
      <c r="P414" s="253" t="s">
        <v>110</v>
      </c>
      <c r="Q414" s="415" t="s">
        <v>250</v>
      </c>
      <c r="R414" s="481">
        <f>'8ª'!$L33</f>
        <v>0</v>
      </c>
      <c r="S414" s="481">
        <f>'8ª'!$M33</f>
        <v>0</v>
      </c>
      <c r="T414" s="481">
        <f>'8ª'!$N33</f>
        <v>0</v>
      </c>
      <c r="U414" s="481">
        <f>'8ª'!$O33</f>
        <v>0</v>
      </c>
      <c r="V414" s="481">
        <f>'8ª'!$P33</f>
        <v>0</v>
      </c>
      <c r="W414" s="481">
        <f>'8ª'!$Q33</f>
        <v>0</v>
      </c>
      <c r="X414" s="481">
        <f>'8ª'!$R33</f>
        <v>0</v>
      </c>
      <c r="Y414" s="481">
        <f>'8ª'!$S33</f>
        <v>0</v>
      </c>
      <c r="Z414" s="482">
        <f>'8ª'!$T33</f>
        <v>0</v>
      </c>
      <c r="AA414" s="483">
        <f>'8ª'!$U33</f>
        <v>0</v>
      </c>
      <c r="AB414" s="385" t="s">
        <v>328</v>
      </c>
      <c r="AC414" s="385"/>
      <c r="AD414" s="435" t="s">
        <v>466</v>
      </c>
    </row>
    <row r="415" spans="1:30" ht="16.5" thickBot="1" x14ac:dyDescent="0.3">
      <c r="A415" s="416" t="str">
        <f>RIGHT('[1]8ª'!$A$5:$D$5,12)</f>
        <v>8ª SÉRIE E.F</v>
      </c>
      <c r="B415" s="475">
        <v>29</v>
      </c>
      <c r="C415" s="476">
        <f>'8ª'!$B34</f>
        <v>0</v>
      </c>
      <c r="D415" s="477">
        <f>'8ª'!$C34</f>
        <v>0</v>
      </c>
      <c r="E415" s="478">
        <f>'8ª'!$D34</f>
        <v>0</v>
      </c>
      <c r="F415" s="478">
        <f>'8ª'!$E34</f>
        <v>0</v>
      </c>
      <c r="G415" s="479">
        <f>'8ª'!$F34</f>
        <v>0</v>
      </c>
      <c r="H415" s="477">
        <f>'8ª'!$G34</f>
        <v>0</v>
      </c>
      <c r="I415" s="480">
        <f>'8ª'!$H34</f>
        <v>0</v>
      </c>
      <c r="J415" s="477"/>
      <c r="K415" s="477">
        <f>'8ª'!$I34</f>
        <v>0</v>
      </c>
      <c r="L415" s="479" t="str">
        <f ca="1">'8ª'!$J34</f>
        <v/>
      </c>
      <c r="M415" s="477"/>
      <c r="N415" s="252" t="str">
        <f ca="1">'8ª'!$K34</f>
        <v/>
      </c>
      <c r="O415" s="477"/>
      <c r="P415" s="253" t="s">
        <v>110</v>
      </c>
      <c r="Q415" s="415" t="s">
        <v>250</v>
      </c>
      <c r="R415" s="481">
        <f>'8ª'!$L34</f>
        <v>0</v>
      </c>
      <c r="S415" s="481">
        <f>'8ª'!$M34</f>
        <v>0</v>
      </c>
      <c r="T415" s="481">
        <f>'8ª'!$N34</f>
        <v>0</v>
      </c>
      <c r="U415" s="481">
        <f>'8ª'!$O34</f>
        <v>0</v>
      </c>
      <c r="V415" s="481">
        <f>'8ª'!$P34</f>
        <v>0</v>
      </c>
      <c r="W415" s="481">
        <f>'8ª'!$Q34</f>
        <v>0</v>
      </c>
      <c r="X415" s="481">
        <f>'8ª'!$R34</f>
        <v>0</v>
      </c>
      <c r="Y415" s="481">
        <f>'8ª'!$S34</f>
        <v>0</v>
      </c>
      <c r="Z415" s="482">
        <f>'8ª'!$T34</f>
        <v>0</v>
      </c>
      <c r="AA415" s="483">
        <f>'8ª'!$U34</f>
        <v>0</v>
      </c>
      <c r="AB415" s="385" t="s">
        <v>328</v>
      </c>
      <c r="AC415" s="385"/>
      <c r="AD415" s="435" t="s">
        <v>466</v>
      </c>
    </row>
    <row r="416" spans="1:30" ht="16.5" thickBot="1" x14ac:dyDescent="0.3">
      <c r="A416" s="416" t="str">
        <f>RIGHT('[1]8ª'!$A$5:$D$5,12)</f>
        <v>8ª SÉRIE E.F</v>
      </c>
      <c r="B416" s="475">
        <v>30</v>
      </c>
      <c r="C416" s="476">
        <f>'8ª'!$B35</f>
        <v>0</v>
      </c>
      <c r="D416" s="477">
        <f>'8ª'!$C35</f>
        <v>0</v>
      </c>
      <c r="E416" s="478">
        <f>'8ª'!$D35</f>
        <v>0</v>
      </c>
      <c r="F416" s="478">
        <f>'8ª'!$E35</f>
        <v>0</v>
      </c>
      <c r="G416" s="479">
        <f>'8ª'!$F35</f>
        <v>0</v>
      </c>
      <c r="H416" s="477">
        <f>'8ª'!$G35</f>
        <v>0</v>
      </c>
      <c r="I416" s="480">
        <f>'8ª'!$H35</f>
        <v>0</v>
      </c>
      <c r="J416" s="477"/>
      <c r="K416" s="477">
        <f>'8ª'!$I35</f>
        <v>0</v>
      </c>
      <c r="L416" s="479" t="str">
        <f ca="1">'8ª'!$J35</f>
        <v/>
      </c>
      <c r="M416" s="477"/>
      <c r="N416" s="252" t="str">
        <f ca="1">'8ª'!$K35</f>
        <v/>
      </c>
      <c r="O416" s="477"/>
      <c r="P416" s="253" t="s">
        <v>110</v>
      </c>
      <c r="Q416" s="415" t="s">
        <v>250</v>
      </c>
      <c r="R416" s="481">
        <f>'8ª'!$L35</f>
        <v>0</v>
      </c>
      <c r="S416" s="481">
        <f>'8ª'!$M35</f>
        <v>0</v>
      </c>
      <c r="T416" s="481">
        <f>'8ª'!$N35</f>
        <v>0</v>
      </c>
      <c r="U416" s="481">
        <f>'8ª'!$O35</f>
        <v>0</v>
      </c>
      <c r="V416" s="481">
        <f>'8ª'!$P35</f>
        <v>0</v>
      </c>
      <c r="W416" s="481">
        <f>'8ª'!$Q35</f>
        <v>0</v>
      </c>
      <c r="X416" s="481">
        <f>'8ª'!$R35</f>
        <v>0</v>
      </c>
      <c r="Y416" s="481">
        <f>'8ª'!$S35</f>
        <v>0</v>
      </c>
      <c r="Z416" s="482">
        <f>'8ª'!$T35</f>
        <v>0</v>
      </c>
      <c r="AA416" s="483">
        <f>'8ª'!$U35</f>
        <v>0</v>
      </c>
      <c r="AB416" s="385" t="s">
        <v>328</v>
      </c>
      <c r="AC416" s="385"/>
      <c r="AD416" s="435" t="s">
        <v>466</v>
      </c>
    </row>
    <row r="417" spans="1:30" ht="16.5" thickBot="1" x14ac:dyDescent="0.3">
      <c r="A417" s="416" t="str">
        <f>RIGHT('[1]8ª'!$A$5:$D$5,12)</f>
        <v>8ª SÉRIE E.F</v>
      </c>
      <c r="B417" s="475">
        <v>31</v>
      </c>
      <c r="C417" s="476">
        <f>'8ª'!$B36</f>
        <v>0</v>
      </c>
      <c r="D417" s="477">
        <f>'8ª'!$C36</f>
        <v>0</v>
      </c>
      <c r="E417" s="478">
        <f>'8ª'!$D36</f>
        <v>0</v>
      </c>
      <c r="F417" s="478">
        <f>'8ª'!$E36</f>
        <v>0</v>
      </c>
      <c r="G417" s="479">
        <f>'8ª'!$F36</f>
        <v>0</v>
      </c>
      <c r="H417" s="477">
        <f>'8ª'!$G36</f>
        <v>0</v>
      </c>
      <c r="I417" s="480">
        <f>'8ª'!$H36</f>
        <v>0</v>
      </c>
      <c r="J417" s="477"/>
      <c r="K417" s="477">
        <f>'8ª'!$I36</f>
        <v>0</v>
      </c>
      <c r="L417" s="479">
        <f>'8ª'!$J36</f>
        <v>0</v>
      </c>
      <c r="M417" s="477"/>
      <c r="N417" s="252">
        <f>'8ª'!$K36</f>
        <v>0</v>
      </c>
      <c r="O417" s="477"/>
      <c r="P417" s="253" t="s">
        <v>110</v>
      </c>
      <c r="Q417" s="415" t="s">
        <v>250</v>
      </c>
      <c r="R417" s="481">
        <f>'8ª'!$L36</f>
        <v>0</v>
      </c>
      <c r="S417" s="481">
        <f>'8ª'!$M36</f>
        <v>0</v>
      </c>
      <c r="T417" s="481">
        <f>'8ª'!$N36</f>
        <v>0</v>
      </c>
      <c r="U417" s="481">
        <f>'8ª'!$O36</f>
        <v>0</v>
      </c>
      <c r="V417" s="481">
        <f>'8ª'!$P36</f>
        <v>0</v>
      </c>
      <c r="W417" s="481">
        <f>'8ª'!$Q36</f>
        <v>0</v>
      </c>
      <c r="X417" s="481">
        <f>'8ª'!$R36</f>
        <v>0</v>
      </c>
      <c r="Y417" s="481">
        <f>'8ª'!$S36</f>
        <v>0</v>
      </c>
      <c r="Z417" s="482">
        <f>'8ª'!$T36</f>
        <v>0</v>
      </c>
      <c r="AA417" s="483">
        <f>'8ª'!$U36</f>
        <v>0</v>
      </c>
      <c r="AB417" s="385" t="s">
        <v>328</v>
      </c>
      <c r="AC417" s="385"/>
      <c r="AD417" s="435" t="s">
        <v>466</v>
      </c>
    </row>
    <row r="418" spans="1:30" ht="16.5" thickBot="1" x14ac:dyDescent="0.3">
      <c r="A418" s="416" t="str">
        <f>RIGHT('[1]8ª'!$A$5:$D$5,12)</f>
        <v>8ª SÉRIE E.F</v>
      </c>
      <c r="B418" s="475">
        <v>32</v>
      </c>
      <c r="C418" s="476">
        <f>'8ª'!$B37</f>
        <v>0</v>
      </c>
      <c r="D418" s="477">
        <f>'8ª'!$C37</f>
        <v>0</v>
      </c>
      <c r="E418" s="478">
        <f>'8ª'!$D37</f>
        <v>0</v>
      </c>
      <c r="F418" s="478">
        <f>'8ª'!$E37</f>
        <v>0</v>
      </c>
      <c r="G418" s="479">
        <f>'8ª'!$F37</f>
        <v>0</v>
      </c>
      <c r="H418" s="477">
        <f>'8ª'!$G37</f>
        <v>0</v>
      </c>
      <c r="I418" s="480">
        <f>'8ª'!$H37</f>
        <v>0</v>
      </c>
      <c r="J418" s="477"/>
      <c r="K418" s="477">
        <f>'8ª'!$I37</f>
        <v>0</v>
      </c>
      <c r="L418" s="479">
        <f>'8ª'!$J37</f>
        <v>0</v>
      </c>
      <c r="M418" s="477"/>
      <c r="N418" s="252">
        <f>'8ª'!$K37</f>
        <v>0</v>
      </c>
      <c r="O418" s="477"/>
      <c r="P418" s="253" t="s">
        <v>110</v>
      </c>
      <c r="Q418" s="415" t="s">
        <v>250</v>
      </c>
      <c r="R418" s="481">
        <f>'8ª'!$L37</f>
        <v>0</v>
      </c>
      <c r="S418" s="481">
        <f>'8ª'!$M37</f>
        <v>0</v>
      </c>
      <c r="T418" s="481">
        <f>'8ª'!$N37</f>
        <v>0</v>
      </c>
      <c r="U418" s="481">
        <f>'8ª'!$O37</f>
        <v>0</v>
      </c>
      <c r="V418" s="481">
        <f>'8ª'!$P37</f>
        <v>0</v>
      </c>
      <c r="W418" s="481">
        <f>'8ª'!$Q37</f>
        <v>0</v>
      </c>
      <c r="X418" s="481">
        <f>'8ª'!$R37</f>
        <v>0</v>
      </c>
      <c r="Y418" s="481">
        <f>'8ª'!$S37</f>
        <v>0</v>
      </c>
      <c r="Z418" s="482">
        <f>'8ª'!$T37</f>
        <v>0</v>
      </c>
      <c r="AA418" s="483">
        <f>'8ª'!$U37</f>
        <v>0</v>
      </c>
      <c r="AB418" s="385" t="s">
        <v>328</v>
      </c>
      <c r="AC418" s="385"/>
      <c r="AD418" s="435" t="s">
        <v>466</v>
      </c>
    </row>
    <row r="419" spans="1:30" ht="16.5" thickBot="1" x14ac:dyDescent="0.3">
      <c r="A419" s="416" t="str">
        <f>RIGHT('[1]8ª'!$A$5:$D$5,12)</f>
        <v>8ª SÉRIE E.F</v>
      </c>
      <c r="B419" s="475">
        <v>33</v>
      </c>
      <c r="C419" s="476">
        <f>'8ª'!$B38</f>
        <v>0</v>
      </c>
      <c r="D419" s="477">
        <f>'8ª'!$C38</f>
        <v>0</v>
      </c>
      <c r="E419" s="478">
        <f>'8ª'!$D38</f>
        <v>0</v>
      </c>
      <c r="F419" s="478">
        <f>'8ª'!$E38</f>
        <v>0</v>
      </c>
      <c r="G419" s="479">
        <f>'8ª'!$F38</f>
        <v>0</v>
      </c>
      <c r="H419" s="477">
        <f>'8ª'!$G38</f>
        <v>0</v>
      </c>
      <c r="I419" s="480">
        <f>'8ª'!$H38</f>
        <v>0</v>
      </c>
      <c r="J419" s="477"/>
      <c r="K419" s="477">
        <f>'8ª'!$I38</f>
        <v>0</v>
      </c>
      <c r="L419" s="479">
        <f>'8ª'!$J38</f>
        <v>0</v>
      </c>
      <c r="M419" s="477"/>
      <c r="N419" s="252">
        <f>'8ª'!$K38</f>
        <v>0</v>
      </c>
      <c r="O419" s="477"/>
      <c r="P419" s="253" t="s">
        <v>110</v>
      </c>
      <c r="Q419" s="415" t="s">
        <v>250</v>
      </c>
      <c r="R419" s="481">
        <f>'8ª'!$L38</f>
        <v>0</v>
      </c>
      <c r="S419" s="481">
        <f>'8ª'!$M38</f>
        <v>0</v>
      </c>
      <c r="T419" s="481">
        <f>'8ª'!$N38</f>
        <v>0</v>
      </c>
      <c r="U419" s="481">
        <f>'8ª'!$O38</f>
        <v>0</v>
      </c>
      <c r="V419" s="481">
        <f>'8ª'!$P38</f>
        <v>0</v>
      </c>
      <c r="W419" s="481">
        <f>'8ª'!$Q38</f>
        <v>0</v>
      </c>
      <c r="X419" s="481">
        <f>'8ª'!$R38</f>
        <v>0</v>
      </c>
      <c r="Y419" s="481">
        <f>'8ª'!$S38</f>
        <v>0</v>
      </c>
      <c r="Z419" s="482">
        <f>'8ª'!$T38</f>
        <v>0</v>
      </c>
      <c r="AA419" s="483">
        <f>'8ª'!$U38</f>
        <v>0</v>
      </c>
      <c r="AB419" s="385" t="s">
        <v>328</v>
      </c>
      <c r="AC419" s="385"/>
      <c r="AD419" s="435" t="s">
        <v>466</v>
      </c>
    </row>
    <row r="420" spans="1:30" ht="16.5" thickBot="1" x14ac:dyDescent="0.3">
      <c r="A420" s="416" t="str">
        <f>RIGHT('[1]8ª'!$A$5:$D$5,12)</f>
        <v>8ª SÉRIE E.F</v>
      </c>
      <c r="B420" s="475">
        <v>34</v>
      </c>
      <c r="C420" s="476">
        <f>'8ª'!$B39</f>
        <v>0</v>
      </c>
      <c r="D420" s="477">
        <f>'8ª'!$C39</f>
        <v>0</v>
      </c>
      <c r="E420" s="478">
        <f>'8ª'!$D39</f>
        <v>0</v>
      </c>
      <c r="F420" s="478">
        <f>'8ª'!$E39</f>
        <v>0</v>
      </c>
      <c r="G420" s="479">
        <f>'8ª'!$F39</f>
        <v>0</v>
      </c>
      <c r="H420" s="477">
        <f>'8ª'!$G39</f>
        <v>0</v>
      </c>
      <c r="I420" s="480">
        <f>'8ª'!$H39</f>
        <v>0</v>
      </c>
      <c r="J420" s="477"/>
      <c r="K420" s="477">
        <f>'8ª'!$I39</f>
        <v>0</v>
      </c>
      <c r="L420" s="479">
        <f>'8ª'!$J39</f>
        <v>0</v>
      </c>
      <c r="M420" s="477"/>
      <c r="N420" s="252">
        <f>'8ª'!$K39</f>
        <v>0</v>
      </c>
      <c r="O420" s="477"/>
      <c r="P420" s="253" t="s">
        <v>110</v>
      </c>
      <c r="Q420" s="415" t="s">
        <v>250</v>
      </c>
      <c r="R420" s="481">
        <f>'8ª'!$L39</f>
        <v>0</v>
      </c>
      <c r="S420" s="481">
        <f>'8ª'!$M39</f>
        <v>0</v>
      </c>
      <c r="T420" s="481">
        <f>'8ª'!$N39</f>
        <v>0</v>
      </c>
      <c r="U420" s="481">
        <f>'8ª'!$O39</f>
        <v>0</v>
      </c>
      <c r="V420" s="481">
        <f>'8ª'!$P39</f>
        <v>0</v>
      </c>
      <c r="W420" s="481">
        <f>'8ª'!$Q39</f>
        <v>0</v>
      </c>
      <c r="X420" s="481">
        <f>'8ª'!$R39</f>
        <v>0</v>
      </c>
      <c r="Y420" s="481">
        <f>'8ª'!$S39</f>
        <v>0</v>
      </c>
      <c r="Z420" s="482">
        <f>'8ª'!$T39</f>
        <v>0</v>
      </c>
      <c r="AA420" s="483">
        <f>'8ª'!$U39</f>
        <v>0</v>
      </c>
      <c r="AB420" s="385" t="s">
        <v>328</v>
      </c>
      <c r="AC420" s="385"/>
      <c r="AD420" s="435" t="s">
        <v>466</v>
      </c>
    </row>
    <row r="421" spans="1:30" ht="16.5" thickBot="1" x14ac:dyDescent="0.3">
      <c r="A421" s="416" t="str">
        <f>RIGHT('[1]8ª'!$A$5:$D$5,12)</f>
        <v>8ª SÉRIE E.F</v>
      </c>
      <c r="B421" s="475">
        <v>35</v>
      </c>
      <c r="C421" s="476">
        <f>'8ª'!$B40</f>
        <v>0</v>
      </c>
      <c r="D421" s="477">
        <f>'8ª'!$C40</f>
        <v>0</v>
      </c>
      <c r="E421" s="478">
        <f>'8ª'!$D40</f>
        <v>0</v>
      </c>
      <c r="F421" s="478">
        <f>'8ª'!$E40</f>
        <v>0</v>
      </c>
      <c r="G421" s="479">
        <f>'8ª'!$F40</f>
        <v>0</v>
      </c>
      <c r="H421" s="477">
        <f>'8ª'!$G40</f>
        <v>0</v>
      </c>
      <c r="I421" s="480">
        <f>'8ª'!$H40</f>
        <v>0</v>
      </c>
      <c r="J421" s="477"/>
      <c r="K421" s="477">
        <f>'8ª'!$I40</f>
        <v>0</v>
      </c>
      <c r="L421" s="479">
        <f>'8ª'!$J40</f>
        <v>0</v>
      </c>
      <c r="M421" s="477"/>
      <c r="N421" s="252">
        <f>'8ª'!$K40</f>
        <v>0</v>
      </c>
      <c r="O421" s="477"/>
      <c r="P421" s="253" t="s">
        <v>110</v>
      </c>
      <c r="Q421" s="415" t="s">
        <v>250</v>
      </c>
      <c r="R421" s="481">
        <f>'8ª'!$L40</f>
        <v>0</v>
      </c>
      <c r="S421" s="481">
        <f>'8ª'!$M40</f>
        <v>0</v>
      </c>
      <c r="T421" s="481">
        <f>'8ª'!$N40</f>
        <v>0</v>
      </c>
      <c r="U421" s="481">
        <f>'8ª'!$O40</f>
        <v>0</v>
      </c>
      <c r="V421" s="481">
        <f>'8ª'!$P40</f>
        <v>0</v>
      </c>
      <c r="W421" s="481">
        <f>'8ª'!$Q40</f>
        <v>0</v>
      </c>
      <c r="X421" s="481">
        <f>'8ª'!$R40</f>
        <v>0</v>
      </c>
      <c r="Y421" s="481">
        <f>'8ª'!$S40</f>
        <v>0</v>
      </c>
      <c r="Z421" s="482">
        <f>'8ª'!$T40</f>
        <v>0</v>
      </c>
      <c r="AA421" s="483">
        <f>'8ª'!$U40</f>
        <v>0</v>
      </c>
      <c r="AB421" s="385" t="s">
        <v>328</v>
      </c>
      <c r="AC421" s="385"/>
      <c r="AD421" s="435" t="s">
        <v>466</v>
      </c>
    </row>
    <row r="422" spans="1:30" ht="16.5" thickBot="1" x14ac:dyDescent="0.3">
      <c r="A422" s="416" t="str">
        <f>RIGHT('[1]8ª'!$A$5:$D$5,12)</f>
        <v>8ª SÉRIE E.F</v>
      </c>
      <c r="B422" s="475">
        <v>36</v>
      </c>
      <c r="C422" s="476">
        <f>'8ª'!$B41</f>
        <v>0</v>
      </c>
      <c r="D422" s="477">
        <f>'8ª'!$C41</f>
        <v>0</v>
      </c>
      <c r="E422" s="478">
        <f>'8ª'!$D41</f>
        <v>0</v>
      </c>
      <c r="F422" s="478">
        <f>'8ª'!$E41</f>
        <v>0</v>
      </c>
      <c r="G422" s="479">
        <f>'8ª'!$F41</f>
        <v>0</v>
      </c>
      <c r="H422" s="477">
        <f>'8ª'!$G41</f>
        <v>0</v>
      </c>
      <c r="I422" s="480">
        <f>'8ª'!$H41</f>
        <v>0</v>
      </c>
      <c r="J422" s="477"/>
      <c r="K422" s="477">
        <f>'8ª'!$I41</f>
        <v>0</v>
      </c>
      <c r="L422" s="479">
        <f>'8ª'!$J41</f>
        <v>0</v>
      </c>
      <c r="M422" s="477"/>
      <c r="N422" s="252">
        <f>'8ª'!$K41</f>
        <v>0</v>
      </c>
      <c r="O422" s="477"/>
      <c r="P422" s="253" t="s">
        <v>110</v>
      </c>
      <c r="Q422" s="415" t="s">
        <v>250</v>
      </c>
      <c r="R422" s="481">
        <f>'8ª'!$L41</f>
        <v>0</v>
      </c>
      <c r="S422" s="481">
        <f>'8ª'!$M41</f>
        <v>0</v>
      </c>
      <c r="T422" s="481">
        <f>'8ª'!$N41</f>
        <v>0</v>
      </c>
      <c r="U422" s="481">
        <f>'8ª'!$O41</f>
        <v>0</v>
      </c>
      <c r="V422" s="481">
        <f>'8ª'!$P41</f>
        <v>0</v>
      </c>
      <c r="W422" s="481">
        <f>'8ª'!$Q41</f>
        <v>0</v>
      </c>
      <c r="X422" s="481">
        <f>'8ª'!$R41</f>
        <v>0</v>
      </c>
      <c r="Y422" s="481">
        <f>'8ª'!$S41</f>
        <v>0</v>
      </c>
      <c r="Z422" s="482">
        <f>'8ª'!$T41</f>
        <v>0</v>
      </c>
      <c r="AA422" s="483">
        <f>'8ª'!$U41</f>
        <v>0</v>
      </c>
      <c r="AB422" s="385" t="s">
        <v>328</v>
      </c>
      <c r="AC422" s="385"/>
      <c r="AD422" s="435" t="s">
        <v>466</v>
      </c>
    </row>
    <row r="423" spans="1:30" ht="16.5" thickBot="1" x14ac:dyDescent="0.3">
      <c r="A423" s="416" t="str">
        <f>RIGHT('[1]8ª'!$A$5:$D$5,12)</f>
        <v>8ª SÉRIE E.F</v>
      </c>
      <c r="B423" s="475">
        <v>37</v>
      </c>
      <c r="C423" s="476">
        <f>'8ª'!$B42</f>
        <v>0</v>
      </c>
      <c r="D423" s="477">
        <f>'8ª'!$C42</f>
        <v>0</v>
      </c>
      <c r="E423" s="478">
        <f>'8ª'!$D42</f>
        <v>0</v>
      </c>
      <c r="F423" s="478">
        <f>'8ª'!$E42</f>
        <v>0</v>
      </c>
      <c r="G423" s="479">
        <f>'8ª'!$F42</f>
        <v>0</v>
      </c>
      <c r="H423" s="477">
        <f>'8ª'!$G42</f>
        <v>0</v>
      </c>
      <c r="I423" s="480">
        <f>'8ª'!$H42</f>
        <v>0</v>
      </c>
      <c r="J423" s="477"/>
      <c r="K423" s="477">
        <f>'8ª'!$I42</f>
        <v>0</v>
      </c>
      <c r="L423" s="479">
        <f>'8ª'!$J42</f>
        <v>0</v>
      </c>
      <c r="M423" s="477"/>
      <c r="N423" s="252">
        <f>'8ª'!$K42</f>
        <v>0</v>
      </c>
      <c r="O423" s="477"/>
      <c r="P423" s="253" t="s">
        <v>110</v>
      </c>
      <c r="Q423" s="415" t="s">
        <v>250</v>
      </c>
      <c r="R423" s="481">
        <f>'8ª'!$L42</f>
        <v>0</v>
      </c>
      <c r="S423" s="481">
        <f>'8ª'!$M42</f>
        <v>0</v>
      </c>
      <c r="T423" s="481">
        <f>'8ª'!$N42</f>
        <v>0</v>
      </c>
      <c r="U423" s="481">
        <f>'8ª'!$O42</f>
        <v>0</v>
      </c>
      <c r="V423" s="481">
        <f>'8ª'!$P42</f>
        <v>0</v>
      </c>
      <c r="W423" s="481">
        <f>'8ª'!$Q42</f>
        <v>0</v>
      </c>
      <c r="X423" s="481">
        <f>'8ª'!$R42</f>
        <v>0</v>
      </c>
      <c r="Y423" s="481">
        <f>'8ª'!$S42</f>
        <v>0</v>
      </c>
      <c r="Z423" s="482">
        <f>'8ª'!$T42</f>
        <v>0</v>
      </c>
      <c r="AA423" s="483">
        <f>'8ª'!$U42</f>
        <v>0</v>
      </c>
      <c r="AB423" s="385" t="s">
        <v>328</v>
      </c>
      <c r="AC423" s="385"/>
      <c r="AD423" s="435" t="s">
        <v>466</v>
      </c>
    </row>
    <row r="424" spans="1:30" ht="16.5" thickBot="1" x14ac:dyDescent="0.3">
      <c r="A424" s="416" t="str">
        <f>RIGHT('[1]8ª'!$A$5:$D$5,12)</f>
        <v>8ª SÉRIE E.F</v>
      </c>
      <c r="B424" s="475">
        <v>38</v>
      </c>
      <c r="C424" s="476">
        <f>'8ª'!$B43</f>
        <v>0</v>
      </c>
      <c r="D424" s="477">
        <f>'8ª'!$C43</f>
        <v>0</v>
      </c>
      <c r="E424" s="478">
        <f>'8ª'!$D43</f>
        <v>0</v>
      </c>
      <c r="F424" s="478">
        <f>'8ª'!$E43</f>
        <v>0</v>
      </c>
      <c r="G424" s="479">
        <f>'8ª'!$F43</f>
        <v>0</v>
      </c>
      <c r="H424" s="477">
        <f>'8ª'!$G43</f>
        <v>0</v>
      </c>
      <c r="I424" s="480">
        <f>'8ª'!$H43</f>
        <v>0</v>
      </c>
      <c r="J424" s="477"/>
      <c r="K424" s="477">
        <f>'8ª'!$I43</f>
        <v>0</v>
      </c>
      <c r="L424" s="479">
        <f>'8ª'!$J43</f>
        <v>0</v>
      </c>
      <c r="M424" s="477"/>
      <c r="N424" s="252">
        <f>'8ª'!$K43</f>
        <v>0</v>
      </c>
      <c r="O424" s="477"/>
      <c r="P424" s="253" t="s">
        <v>110</v>
      </c>
      <c r="Q424" s="415" t="s">
        <v>250</v>
      </c>
      <c r="R424" s="481">
        <f>'8ª'!$L43</f>
        <v>0</v>
      </c>
      <c r="S424" s="481">
        <f>'8ª'!$M43</f>
        <v>0</v>
      </c>
      <c r="T424" s="481">
        <f>'8ª'!$N43</f>
        <v>0</v>
      </c>
      <c r="U424" s="481">
        <f>'8ª'!$O43</f>
        <v>0</v>
      </c>
      <c r="V424" s="481">
        <f>'8ª'!$P43</f>
        <v>0</v>
      </c>
      <c r="W424" s="481">
        <f>'8ª'!$Q43</f>
        <v>0</v>
      </c>
      <c r="X424" s="481">
        <f>'8ª'!$R43</f>
        <v>0</v>
      </c>
      <c r="Y424" s="481">
        <f>'8ª'!$S43</f>
        <v>0</v>
      </c>
      <c r="Z424" s="482">
        <f>'8ª'!$T43</f>
        <v>0</v>
      </c>
      <c r="AA424" s="483">
        <f>'8ª'!$U43</f>
        <v>0</v>
      </c>
      <c r="AB424" s="385" t="s">
        <v>328</v>
      </c>
      <c r="AC424" s="385"/>
      <c r="AD424" s="435" t="s">
        <v>466</v>
      </c>
    </row>
    <row r="425" spans="1:30" ht="16.5" thickBot="1" x14ac:dyDescent="0.3">
      <c r="A425" s="416" t="str">
        <f>RIGHT('[1]8ª'!$A$5:$D$5,12)</f>
        <v>8ª SÉRIE E.F</v>
      </c>
      <c r="B425" s="475">
        <v>39</v>
      </c>
      <c r="C425" s="476">
        <f>'8ª'!$B44</f>
        <v>0</v>
      </c>
      <c r="D425" s="477">
        <f>'8ª'!$C44</f>
        <v>0</v>
      </c>
      <c r="E425" s="478">
        <f>'8ª'!$D44</f>
        <v>0</v>
      </c>
      <c r="F425" s="478">
        <f>'8ª'!$E44</f>
        <v>0</v>
      </c>
      <c r="G425" s="479">
        <f>'8ª'!$F44</f>
        <v>0</v>
      </c>
      <c r="H425" s="477">
        <f>'8ª'!$G44</f>
        <v>0</v>
      </c>
      <c r="I425" s="480">
        <f>'8ª'!$H44</f>
        <v>0</v>
      </c>
      <c r="J425" s="477"/>
      <c r="K425" s="477">
        <f>'8ª'!$I44</f>
        <v>0</v>
      </c>
      <c r="L425" s="479">
        <f>'8ª'!$J44</f>
        <v>0</v>
      </c>
      <c r="M425" s="477"/>
      <c r="N425" s="252">
        <f>'8ª'!$K44</f>
        <v>0</v>
      </c>
      <c r="O425" s="477"/>
      <c r="P425" s="253" t="s">
        <v>110</v>
      </c>
      <c r="Q425" s="415" t="s">
        <v>250</v>
      </c>
      <c r="R425" s="481">
        <f>'8ª'!$L44</f>
        <v>0</v>
      </c>
      <c r="S425" s="481">
        <f>'8ª'!$M44</f>
        <v>0</v>
      </c>
      <c r="T425" s="481">
        <f>'8ª'!$N44</f>
        <v>0</v>
      </c>
      <c r="U425" s="481">
        <f>'8ª'!$O44</f>
        <v>0</v>
      </c>
      <c r="V425" s="481">
        <f>'8ª'!$P44</f>
        <v>0</v>
      </c>
      <c r="W425" s="481">
        <f>'8ª'!$Q44</f>
        <v>0</v>
      </c>
      <c r="X425" s="481">
        <f>'8ª'!$R44</f>
        <v>0</v>
      </c>
      <c r="Y425" s="481">
        <f>'8ª'!$S44</f>
        <v>0</v>
      </c>
      <c r="Z425" s="482">
        <f>'8ª'!$T44</f>
        <v>0</v>
      </c>
      <c r="AA425" s="483">
        <f>'8ª'!$U44</f>
        <v>0</v>
      </c>
      <c r="AB425" s="385" t="s">
        <v>328</v>
      </c>
      <c r="AC425" s="385"/>
      <c r="AD425" s="435" t="s">
        <v>466</v>
      </c>
    </row>
    <row r="426" spans="1:30" ht="16.5" thickBot="1" x14ac:dyDescent="0.3">
      <c r="A426" s="416" t="str">
        <f>RIGHT('[1]8ª'!$A$5:$D$5,12)</f>
        <v>8ª SÉRIE E.F</v>
      </c>
      <c r="B426" s="475">
        <v>40</v>
      </c>
      <c r="C426" s="476">
        <f>'8ª'!$B45</f>
        <v>0</v>
      </c>
      <c r="D426" s="477">
        <f>'8ª'!$C45</f>
        <v>0</v>
      </c>
      <c r="E426" s="478">
        <f>'8ª'!$D45</f>
        <v>0</v>
      </c>
      <c r="F426" s="478">
        <f>'8ª'!$E45</f>
        <v>0</v>
      </c>
      <c r="G426" s="479">
        <f>'8ª'!$F45</f>
        <v>0</v>
      </c>
      <c r="H426" s="477">
        <f>'8ª'!$G45</f>
        <v>0</v>
      </c>
      <c r="I426" s="480">
        <f>'8ª'!$H45</f>
        <v>0</v>
      </c>
      <c r="J426" s="477"/>
      <c r="K426" s="477">
        <f>'8ª'!$I45</f>
        <v>0</v>
      </c>
      <c r="L426" s="479">
        <f>'8ª'!$J45</f>
        <v>0</v>
      </c>
      <c r="M426" s="477"/>
      <c r="N426" s="252">
        <f>'8ª'!$K45</f>
        <v>0</v>
      </c>
      <c r="O426" s="477"/>
      <c r="P426" s="253" t="s">
        <v>110</v>
      </c>
      <c r="Q426" s="415" t="s">
        <v>250</v>
      </c>
      <c r="R426" s="481">
        <f>'8ª'!$L45</f>
        <v>0</v>
      </c>
      <c r="S426" s="481">
        <f>'8ª'!$M45</f>
        <v>0</v>
      </c>
      <c r="T426" s="481">
        <f>'8ª'!$N45</f>
        <v>0</v>
      </c>
      <c r="U426" s="481">
        <f>'8ª'!$O45</f>
        <v>0</v>
      </c>
      <c r="V426" s="481">
        <f>'8ª'!$P45</f>
        <v>0</v>
      </c>
      <c r="W426" s="481">
        <f>'8ª'!$Q45</f>
        <v>0</v>
      </c>
      <c r="X426" s="481">
        <f>'8ª'!$R45</f>
        <v>0</v>
      </c>
      <c r="Y426" s="481">
        <f>'8ª'!$S45</f>
        <v>0</v>
      </c>
      <c r="Z426" s="482">
        <f>'8ª'!$T45</f>
        <v>0</v>
      </c>
      <c r="AA426" s="483">
        <f>'8ª'!$U45</f>
        <v>0</v>
      </c>
      <c r="AB426" s="385" t="s">
        <v>328</v>
      </c>
      <c r="AC426" s="385"/>
      <c r="AD426" s="435" t="s">
        <v>466</v>
      </c>
    </row>
    <row r="427" spans="1:30" ht="16.5" thickBot="1" x14ac:dyDescent="0.3">
      <c r="A427" s="416" t="str">
        <f>RIGHT('[1]8ª'!$A$5:$D$5,12)</f>
        <v>8ª SÉRIE E.F</v>
      </c>
      <c r="B427" s="475">
        <v>41</v>
      </c>
      <c r="C427" s="476">
        <f>'8ª'!$B46</f>
        <v>0</v>
      </c>
      <c r="D427" s="477">
        <f>'8ª'!$C46</f>
        <v>0</v>
      </c>
      <c r="E427" s="478">
        <f>'8ª'!$D46</f>
        <v>0</v>
      </c>
      <c r="F427" s="478">
        <f>'8ª'!$E46</f>
        <v>0</v>
      </c>
      <c r="G427" s="479">
        <f>'8ª'!$F46</f>
        <v>0</v>
      </c>
      <c r="H427" s="477">
        <f>'8ª'!$G46</f>
        <v>0</v>
      </c>
      <c r="I427" s="480">
        <f>'8ª'!$H46</f>
        <v>0</v>
      </c>
      <c r="J427" s="477"/>
      <c r="K427" s="477">
        <f>'8ª'!$I46</f>
        <v>0</v>
      </c>
      <c r="L427" s="479">
        <f>'8ª'!$J46</f>
        <v>0</v>
      </c>
      <c r="M427" s="477"/>
      <c r="N427" s="252">
        <f>'8ª'!$K46</f>
        <v>0</v>
      </c>
      <c r="O427" s="477"/>
      <c r="P427" s="253" t="s">
        <v>110</v>
      </c>
      <c r="Q427" s="415" t="s">
        <v>250</v>
      </c>
      <c r="R427" s="481">
        <f>'8ª'!$L46</f>
        <v>0</v>
      </c>
      <c r="S427" s="481">
        <f>'8ª'!$M46</f>
        <v>0</v>
      </c>
      <c r="T427" s="481">
        <f>'8ª'!$N46</f>
        <v>0</v>
      </c>
      <c r="U427" s="481">
        <f>'8ª'!$O46</f>
        <v>0</v>
      </c>
      <c r="V427" s="481">
        <f>'8ª'!$P46</f>
        <v>0</v>
      </c>
      <c r="W427" s="481">
        <f>'8ª'!$Q46</f>
        <v>0</v>
      </c>
      <c r="X427" s="481">
        <f>'8ª'!$R46</f>
        <v>0</v>
      </c>
      <c r="Y427" s="481">
        <f>'8ª'!$S46</f>
        <v>0</v>
      </c>
      <c r="Z427" s="482">
        <f>'8ª'!$T46</f>
        <v>0</v>
      </c>
      <c r="AA427" s="483">
        <f>'8ª'!$U46</f>
        <v>0</v>
      </c>
      <c r="AB427" s="385" t="s">
        <v>328</v>
      </c>
      <c r="AC427" s="385"/>
      <c r="AD427" s="435" t="s">
        <v>466</v>
      </c>
    </row>
    <row r="428" spans="1:30" ht="16.5" thickBot="1" x14ac:dyDescent="0.3">
      <c r="A428" s="416" t="str">
        <f>RIGHT('[1]8ª'!$A$5:$D$5,12)</f>
        <v>8ª SÉRIE E.F</v>
      </c>
      <c r="B428" s="475">
        <v>42</v>
      </c>
      <c r="C428" s="476">
        <f>'8ª'!$B47</f>
        <v>0</v>
      </c>
      <c r="D428" s="477">
        <f>'8ª'!$C47</f>
        <v>0</v>
      </c>
      <c r="E428" s="478">
        <f>'8ª'!$D47</f>
        <v>0</v>
      </c>
      <c r="F428" s="478">
        <f>'8ª'!$E47</f>
        <v>0</v>
      </c>
      <c r="G428" s="479">
        <f>'8ª'!$F47</f>
        <v>0</v>
      </c>
      <c r="H428" s="477">
        <f>'8ª'!$G47</f>
        <v>0</v>
      </c>
      <c r="I428" s="480">
        <f>'8ª'!$H47</f>
        <v>0</v>
      </c>
      <c r="J428" s="477"/>
      <c r="K428" s="477">
        <f>'8ª'!$I47</f>
        <v>0</v>
      </c>
      <c r="L428" s="479">
        <f>'8ª'!$J47</f>
        <v>0</v>
      </c>
      <c r="M428" s="477"/>
      <c r="N428" s="252">
        <f>'8ª'!$K47</f>
        <v>0</v>
      </c>
      <c r="O428" s="477"/>
      <c r="P428" s="253" t="s">
        <v>110</v>
      </c>
      <c r="Q428" s="415" t="s">
        <v>250</v>
      </c>
      <c r="R428" s="481">
        <f>'8ª'!$L47</f>
        <v>0</v>
      </c>
      <c r="S428" s="481">
        <f>'8ª'!$M47</f>
        <v>0</v>
      </c>
      <c r="T428" s="481">
        <f>'8ª'!$N47</f>
        <v>0</v>
      </c>
      <c r="U428" s="481">
        <f>'8ª'!$O47</f>
        <v>0</v>
      </c>
      <c r="V428" s="481">
        <f>'8ª'!$P47</f>
        <v>0</v>
      </c>
      <c r="W428" s="481">
        <f>'8ª'!$Q47</f>
        <v>0</v>
      </c>
      <c r="X428" s="481">
        <f>'8ª'!$R47</f>
        <v>0</v>
      </c>
      <c r="Y428" s="481">
        <f>'8ª'!$S47</f>
        <v>0</v>
      </c>
      <c r="Z428" s="482">
        <f>'8ª'!$T47</f>
        <v>0</v>
      </c>
      <c r="AA428" s="483">
        <f>'8ª'!$U47</f>
        <v>0</v>
      </c>
      <c r="AB428" s="385" t="s">
        <v>328</v>
      </c>
      <c r="AC428" s="385"/>
      <c r="AD428" s="435" t="s">
        <v>466</v>
      </c>
    </row>
    <row r="429" spans="1:30" ht="16.5" thickBot="1" x14ac:dyDescent="0.3">
      <c r="A429" s="416" t="str">
        <f>RIGHT('[1]8ª'!$A$5:$D$5,12)</f>
        <v>8ª SÉRIE E.F</v>
      </c>
      <c r="B429" s="475">
        <v>43</v>
      </c>
      <c r="C429" s="476">
        <f>'8ª'!$B48</f>
        <v>0</v>
      </c>
      <c r="D429" s="477">
        <f>'8ª'!$C48</f>
        <v>0</v>
      </c>
      <c r="E429" s="478">
        <f>'8ª'!$D48</f>
        <v>0</v>
      </c>
      <c r="F429" s="478">
        <f>'8ª'!$E48</f>
        <v>0</v>
      </c>
      <c r="G429" s="479">
        <f>'8ª'!$F48</f>
        <v>0</v>
      </c>
      <c r="H429" s="477">
        <f>'8ª'!$G48</f>
        <v>0</v>
      </c>
      <c r="I429" s="480">
        <f>'8ª'!$H48</f>
        <v>0</v>
      </c>
      <c r="J429" s="477"/>
      <c r="K429" s="477">
        <f>'8ª'!$I48</f>
        <v>0</v>
      </c>
      <c r="L429" s="479">
        <f>'8ª'!$J48</f>
        <v>0</v>
      </c>
      <c r="M429" s="477"/>
      <c r="N429" s="252">
        <f>'8ª'!$K48</f>
        <v>0</v>
      </c>
      <c r="O429" s="477"/>
      <c r="P429" s="253" t="s">
        <v>110</v>
      </c>
      <c r="Q429" s="415" t="s">
        <v>250</v>
      </c>
      <c r="R429" s="481">
        <f>'8ª'!$L48</f>
        <v>0</v>
      </c>
      <c r="S429" s="481">
        <f>'8ª'!$M48</f>
        <v>0</v>
      </c>
      <c r="T429" s="481">
        <f>'8ª'!$N48</f>
        <v>0</v>
      </c>
      <c r="U429" s="481">
        <f>'8ª'!$O48</f>
        <v>0</v>
      </c>
      <c r="V429" s="481">
        <f>'8ª'!$P48</f>
        <v>0</v>
      </c>
      <c r="W429" s="481">
        <f>'8ª'!$Q48</f>
        <v>0</v>
      </c>
      <c r="X429" s="481">
        <f>'8ª'!$R48</f>
        <v>0</v>
      </c>
      <c r="Y429" s="481">
        <f>'8ª'!$S48</f>
        <v>0</v>
      </c>
      <c r="Z429" s="482">
        <f>'8ª'!$T48</f>
        <v>0</v>
      </c>
      <c r="AA429" s="483">
        <f>'8ª'!$U48</f>
        <v>0</v>
      </c>
      <c r="AB429" s="385" t="s">
        <v>328</v>
      </c>
      <c r="AC429" s="385"/>
      <c r="AD429" s="435" t="s">
        <v>466</v>
      </c>
    </row>
    <row r="430" spans="1:30" ht="16.5" thickBot="1" x14ac:dyDescent="0.3">
      <c r="A430" s="416" t="str">
        <f>RIGHT('[1]8ª'!$A$5:$D$5,12)</f>
        <v>8ª SÉRIE E.F</v>
      </c>
      <c r="B430" s="475">
        <v>44</v>
      </c>
      <c r="C430" s="476">
        <f>'8ª'!$B49</f>
        <v>0</v>
      </c>
      <c r="D430" s="477">
        <f>'8ª'!$C49</f>
        <v>0</v>
      </c>
      <c r="E430" s="478">
        <f>'8ª'!$D49</f>
        <v>0</v>
      </c>
      <c r="F430" s="478">
        <f>'8ª'!$E49</f>
        <v>0</v>
      </c>
      <c r="G430" s="479">
        <f>'8ª'!$F49</f>
        <v>0</v>
      </c>
      <c r="H430" s="477">
        <f>'8ª'!$G49</f>
        <v>0</v>
      </c>
      <c r="I430" s="480">
        <f>'8ª'!$H49</f>
        <v>0</v>
      </c>
      <c r="J430" s="477"/>
      <c r="K430" s="477">
        <f>'8ª'!$I49</f>
        <v>0</v>
      </c>
      <c r="L430" s="479">
        <f>'8ª'!$J49</f>
        <v>0</v>
      </c>
      <c r="M430" s="477"/>
      <c r="N430" s="252">
        <f>'8ª'!$K49</f>
        <v>0</v>
      </c>
      <c r="O430" s="477"/>
      <c r="P430" s="253" t="s">
        <v>110</v>
      </c>
      <c r="Q430" s="415" t="s">
        <v>250</v>
      </c>
      <c r="R430" s="481">
        <f>'8ª'!$L49</f>
        <v>0</v>
      </c>
      <c r="S430" s="481">
        <f>'8ª'!$M49</f>
        <v>0</v>
      </c>
      <c r="T430" s="481">
        <f>'8ª'!$N49</f>
        <v>0</v>
      </c>
      <c r="U430" s="481">
        <f>'8ª'!$O49</f>
        <v>0</v>
      </c>
      <c r="V430" s="481">
        <f>'8ª'!$P49</f>
        <v>0</v>
      </c>
      <c r="W430" s="481">
        <f>'8ª'!$Q49</f>
        <v>0</v>
      </c>
      <c r="X430" s="481">
        <f>'8ª'!$R49</f>
        <v>0</v>
      </c>
      <c r="Y430" s="481">
        <f>'8ª'!$S49</f>
        <v>0</v>
      </c>
      <c r="Z430" s="482">
        <f>'8ª'!$T49</f>
        <v>0</v>
      </c>
      <c r="AA430" s="483">
        <f>'8ª'!$U49</f>
        <v>0</v>
      </c>
      <c r="AB430" s="385" t="s">
        <v>328</v>
      </c>
      <c r="AC430" s="385"/>
      <c r="AD430" s="435" t="s">
        <v>466</v>
      </c>
    </row>
    <row r="431" spans="1:30" ht="16.5" thickBot="1" x14ac:dyDescent="0.3">
      <c r="A431" s="416" t="str">
        <f>RIGHT('[1]8ª'!$A$5:$D$5,12)</f>
        <v>8ª SÉRIE E.F</v>
      </c>
      <c r="B431" s="475">
        <v>45</v>
      </c>
      <c r="C431" s="476">
        <f>'8ª'!$B50</f>
        <v>0</v>
      </c>
      <c r="D431" s="477">
        <f>'8ª'!$C50</f>
        <v>0</v>
      </c>
      <c r="E431" s="478">
        <f>'8ª'!$D50</f>
        <v>0</v>
      </c>
      <c r="F431" s="478">
        <f>'8ª'!$E50</f>
        <v>0</v>
      </c>
      <c r="G431" s="479">
        <f>'8ª'!$F50</f>
        <v>0</v>
      </c>
      <c r="H431" s="477">
        <f>'8ª'!$G50</f>
        <v>0</v>
      </c>
      <c r="I431" s="480">
        <f>'8ª'!$H50</f>
        <v>0</v>
      </c>
      <c r="J431" s="477"/>
      <c r="K431" s="477">
        <f>'8ª'!$I50</f>
        <v>0</v>
      </c>
      <c r="L431" s="479">
        <f>'8ª'!$J50</f>
        <v>0</v>
      </c>
      <c r="M431" s="477"/>
      <c r="N431" s="252">
        <f>'8ª'!$K50</f>
        <v>0</v>
      </c>
      <c r="O431" s="477"/>
      <c r="P431" s="253" t="s">
        <v>110</v>
      </c>
      <c r="Q431" s="415" t="s">
        <v>250</v>
      </c>
      <c r="R431" s="481">
        <f>'8ª'!$L50</f>
        <v>0</v>
      </c>
      <c r="S431" s="481">
        <f>'8ª'!$M50</f>
        <v>0</v>
      </c>
      <c r="T431" s="481">
        <f>'8ª'!$N50</f>
        <v>0</v>
      </c>
      <c r="U431" s="481">
        <f>'8ª'!$O50</f>
        <v>0</v>
      </c>
      <c r="V431" s="481">
        <f>'8ª'!$P50</f>
        <v>0</v>
      </c>
      <c r="W431" s="481">
        <f>'8ª'!$Q50</f>
        <v>0</v>
      </c>
      <c r="X431" s="481">
        <f>'8ª'!$R50</f>
        <v>0</v>
      </c>
      <c r="Y431" s="481">
        <f>'8ª'!$S50</f>
        <v>0</v>
      </c>
      <c r="Z431" s="482">
        <f>'8ª'!$T50</f>
        <v>0</v>
      </c>
      <c r="AA431" s="483">
        <f>'8ª'!$U50</f>
        <v>0</v>
      </c>
      <c r="AB431" s="385" t="s">
        <v>328</v>
      </c>
      <c r="AC431" s="385"/>
      <c r="AD431" s="435" t="s">
        <v>466</v>
      </c>
    </row>
    <row r="432" spans="1:30" ht="16.5" thickBot="1" x14ac:dyDescent="0.3">
      <c r="A432" s="416" t="str">
        <f>RIGHT('[1]8ª'!$A$5:$D$5,12)</f>
        <v>8ª SÉRIE E.F</v>
      </c>
      <c r="B432" s="475">
        <v>46</v>
      </c>
      <c r="C432" s="476">
        <f>'8ª'!$B51</f>
        <v>0</v>
      </c>
      <c r="D432" s="477">
        <f>'8ª'!$C51</f>
        <v>0</v>
      </c>
      <c r="E432" s="478">
        <f>'8ª'!$D51</f>
        <v>0</v>
      </c>
      <c r="F432" s="478">
        <f>'8ª'!$E51</f>
        <v>0</v>
      </c>
      <c r="G432" s="479">
        <f>'8ª'!$F51</f>
        <v>0</v>
      </c>
      <c r="H432" s="477">
        <f>'8ª'!$G51</f>
        <v>0</v>
      </c>
      <c r="I432" s="480">
        <f>'8ª'!$H51</f>
        <v>0</v>
      </c>
      <c r="J432" s="477"/>
      <c r="K432" s="477">
        <f>'8ª'!$I51</f>
        <v>0</v>
      </c>
      <c r="L432" s="479">
        <f>'8ª'!$J51</f>
        <v>0</v>
      </c>
      <c r="M432" s="477"/>
      <c r="N432" s="252">
        <f>'8ª'!$K51</f>
        <v>0</v>
      </c>
      <c r="O432" s="477"/>
      <c r="P432" s="253" t="s">
        <v>110</v>
      </c>
      <c r="Q432" s="415" t="s">
        <v>250</v>
      </c>
      <c r="R432" s="481">
        <f>'8ª'!$L51</f>
        <v>0</v>
      </c>
      <c r="S432" s="481">
        <f>'8ª'!$M51</f>
        <v>0</v>
      </c>
      <c r="T432" s="481">
        <f>'8ª'!$N51</f>
        <v>0</v>
      </c>
      <c r="U432" s="481">
        <f>'8ª'!$O51</f>
        <v>0</v>
      </c>
      <c r="V432" s="481">
        <f>'8ª'!$P51</f>
        <v>0</v>
      </c>
      <c r="W432" s="481">
        <f>'8ª'!$Q51</f>
        <v>0</v>
      </c>
      <c r="X432" s="481">
        <f>'8ª'!$R51</f>
        <v>0</v>
      </c>
      <c r="Y432" s="481">
        <f>'8ª'!$S51</f>
        <v>0</v>
      </c>
      <c r="Z432" s="482">
        <f>'8ª'!$T51</f>
        <v>0</v>
      </c>
      <c r="AA432" s="483">
        <f>'8ª'!$U51</f>
        <v>0</v>
      </c>
      <c r="AB432" s="385" t="s">
        <v>328</v>
      </c>
      <c r="AC432" s="385"/>
      <c r="AD432" s="435" t="s">
        <v>466</v>
      </c>
    </row>
    <row r="433" spans="1:30" ht="16.5" thickBot="1" x14ac:dyDescent="0.3">
      <c r="A433" s="416" t="str">
        <f>RIGHT('[1]8ª'!$A$5:$D$5,12)</f>
        <v>8ª SÉRIE E.F</v>
      </c>
      <c r="B433" s="475">
        <v>47</v>
      </c>
      <c r="C433" s="476">
        <f>'8ª'!$B52</f>
        <v>0</v>
      </c>
      <c r="D433" s="477">
        <f>'8ª'!$C52</f>
        <v>0</v>
      </c>
      <c r="E433" s="478">
        <f>'8ª'!$D52</f>
        <v>0</v>
      </c>
      <c r="F433" s="478">
        <f>'8ª'!$E52</f>
        <v>0</v>
      </c>
      <c r="G433" s="479">
        <f>'8ª'!$F52</f>
        <v>0</v>
      </c>
      <c r="H433" s="477">
        <f>'8ª'!$G52</f>
        <v>0</v>
      </c>
      <c r="I433" s="480">
        <f>'8ª'!$H52</f>
        <v>0</v>
      </c>
      <c r="J433" s="477"/>
      <c r="K433" s="477">
        <f>'8ª'!$I52</f>
        <v>0</v>
      </c>
      <c r="L433" s="479">
        <f>'8ª'!$J52</f>
        <v>0</v>
      </c>
      <c r="M433" s="477"/>
      <c r="N433" s="252">
        <f>'8ª'!$K52</f>
        <v>0</v>
      </c>
      <c r="O433" s="477"/>
      <c r="P433" s="253" t="s">
        <v>110</v>
      </c>
      <c r="Q433" s="415" t="s">
        <v>250</v>
      </c>
      <c r="R433" s="481">
        <f>'8ª'!$L52</f>
        <v>0</v>
      </c>
      <c r="S433" s="481">
        <f>'8ª'!$M52</f>
        <v>0</v>
      </c>
      <c r="T433" s="481">
        <f>'8ª'!$N52</f>
        <v>0</v>
      </c>
      <c r="U433" s="481">
        <f>'8ª'!$O52</f>
        <v>0</v>
      </c>
      <c r="V433" s="481">
        <f>'8ª'!$P52</f>
        <v>0</v>
      </c>
      <c r="W433" s="481">
        <f>'8ª'!$Q52</f>
        <v>0</v>
      </c>
      <c r="X433" s="481">
        <f>'8ª'!$R52</f>
        <v>0</v>
      </c>
      <c r="Y433" s="481">
        <f>'8ª'!$S52</f>
        <v>0</v>
      </c>
      <c r="Z433" s="482">
        <f>'8ª'!$T52</f>
        <v>0</v>
      </c>
      <c r="AA433" s="483">
        <f>'8ª'!$U52</f>
        <v>0</v>
      </c>
      <c r="AB433" s="385" t="s">
        <v>328</v>
      </c>
      <c r="AC433" s="385"/>
      <c r="AD433" s="435" t="s">
        <v>466</v>
      </c>
    </row>
    <row r="434" spans="1:30" ht="16.5" thickBot="1" x14ac:dyDescent="0.3">
      <c r="A434" s="416" t="str">
        <f>RIGHT('[1]8ª'!$A$5:$D$5,12)</f>
        <v>8ª SÉRIE E.F</v>
      </c>
      <c r="B434" s="475">
        <v>48</v>
      </c>
      <c r="C434" s="476">
        <f>'8ª'!$B53</f>
        <v>0</v>
      </c>
      <c r="D434" s="477">
        <f>'8ª'!$C53</f>
        <v>0</v>
      </c>
      <c r="E434" s="478">
        <f>'8ª'!$D53</f>
        <v>0</v>
      </c>
      <c r="F434" s="478">
        <f>'8ª'!$E53</f>
        <v>0</v>
      </c>
      <c r="G434" s="479">
        <f>'8ª'!$F53</f>
        <v>0</v>
      </c>
      <c r="H434" s="477">
        <f>'8ª'!$G53</f>
        <v>0</v>
      </c>
      <c r="I434" s="480">
        <f>'8ª'!$H53</f>
        <v>0</v>
      </c>
      <c r="J434" s="477"/>
      <c r="K434" s="477">
        <f>'8ª'!$I53</f>
        <v>0</v>
      </c>
      <c r="L434" s="479">
        <f>'8ª'!$J53</f>
        <v>0</v>
      </c>
      <c r="M434" s="477"/>
      <c r="N434" s="252">
        <f>'8ª'!$K53</f>
        <v>0</v>
      </c>
      <c r="O434" s="477"/>
      <c r="P434" s="253" t="s">
        <v>110</v>
      </c>
      <c r="Q434" s="415" t="s">
        <v>250</v>
      </c>
      <c r="R434" s="481">
        <f>'8ª'!$L53</f>
        <v>0</v>
      </c>
      <c r="S434" s="481">
        <f>'8ª'!$M53</f>
        <v>0</v>
      </c>
      <c r="T434" s="481">
        <f>'8ª'!$N53</f>
        <v>0</v>
      </c>
      <c r="U434" s="481">
        <f>'8ª'!$O53</f>
        <v>0</v>
      </c>
      <c r="V434" s="481">
        <f>'8ª'!$P53</f>
        <v>0</v>
      </c>
      <c r="W434" s="481">
        <f>'8ª'!$Q53</f>
        <v>0</v>
      </c>
      <c r="X434" s="481">
        <f>'8ª'!$R53</f>
        <v>0</v>
      </c>
      <c r="Y434" s="481">
        <f>'8ª'!$S53</f>
        <v>0</v>
      </c>
      <c r="Z434" s="482">
        <f>'8ª'!$T53</f>
        <v>0</v>
      </c>
      <c r="AA434" s="483">
        <f>'8ª'!$U53</f>
        <v>0</v>
      </c>
      <c r="AB434" s="385" t="s">
        <v>328</v>
      </c>
      <c r="AC434" s="385"/>
      <c r="AD434" s="435" t="s">
        <v>466</v>
      </c>
    </row>
    <row r="435" spans="1:30" ht="16.5" thickBot="1" x14ac:dyDescent="0.3">
      <c r="A435" s="416" t="str">
        <f>RIGHT('[1]8ª'!$A$5:$D$5,12)</f>
        <v>8ª SÉRIE E.F</v>
      </c>
      <c r="B435" s="475">
        <v>49</v>
      </c>
      <c r="C435" s="476">
        <f>'8ª'!$B54</f>
        <v>0</v>
      </c>
      <c r="D435" s="477">
        <f>'8ª'!$C54</f>
        <v>0</v>
      </c>
      <c r="E435" s="478">
        <f>'8ª'!$D54</f>
        <v>0</v>
      </c>
      <c r="F435" s="478">
        <f>'8ª'!$E54</f>
        <v>0</v>
      </c>
      <c r="G435" s="479">
        <f>'8ª'!$F54</f>
        <v>0</v>
      </c>
      <c r="H435" s="477">
        <f>'8ª'!$G54</f>
        <v>0</v>
      </c>
      <c r="I435" s="480">
        <f>'8ª'!$H54</f>
        <v>0</v>
      </c>
      <c r="J435" s="477"/>
      <c r="K435" s="477">
        <f>'8ª'!$I54</f>
        <v>0</v>
      </c>
      <c r="L435" s="479">
        <f>'8ª'!$J54</f>
        <v>0</v>
      </c>
      <c r="M435" s="477"/>
      <c r="N435" s="252">
        <f>'8ª'!$K54</f>
        <v>0</v>
      </c>
      <c r="O435" s="477"/>
      <c r="P435" s="253" t="s">
        <v>110</v>
      </c>
      <c r="Q435" s="415" t="s">
        <v>250</v>
      </c>
      <c r="R435" s="481">
        <f>'8ª'!$L54</f>
        <v>0</v>
      </c>
      <c r="S435" s="481">
        <f>'8ª'!$M54</f>
        <v>0</v>
      </c>
      <c r="T435" s="481">
        <f>'8ª'!$N54</f>
        <v>0</v>
      </c>
      <c r="U435" s="481">
        <f>'8ª'!$O54</f>
        <v>0</v>
      </c>
      <c r="V435" s="481">
        <f>'8ª'!$P54</f>
        <v>0</v>
      </c>
      <c r="W435" s="481">
        <f>'8ª'!$Q54</f>
        <v>0</v>
      </c>
      <c r="X435" s="481">
        <f>'8ª'!$R54</f>
        <v>0</v>
      </c>
      <c r="Y435" s="481">
        <f>'8ª'!$S54</f>
        <v>0</v>
      </c>
      <c r="Z435" s="482">
        <f>'8ª'!$T54</f>
        <v>0</v>
      </c>
      <c r="AA435" s="483">
        <f>'8ª'!$U54</f>
        <v>0</v>
      </c>
      <c r="AB435" s="385" t="s">
        <v>328</v>
      </c>
      <c r="AC435" s="385"/>
      <c r="AD435" s="435" t="s">
        <v>466</v>
      </c>
    </row>
    <row r="436" spans="1:30" ht="16.5" thickBot="1" x14ac:dyDescent="0.3">
      <c r="A436" s="416" t="str">
        <f>RIGHT('[1]8ª'!$A$5:$D$5,12)</f>
        <v>8ª SÉRIE E.F</v>
      </c>
      <c r="B436" s="475">
        <v>50</v>
      </c>
      <c r="C436" s="476">
        <f>'8ª'!$B55</f>
        <v>0</v>
      </c>
      <c r="D436" s="477">
        <f>'8ª'!$C55</f>
        <v>0</v>
      </c>
      <c r="E436" s="478">
        <f>'8ª'!$D55</f>
        <v>0</v>
      </c>
      <c r="F436" s="478">
        <f>'8ª'!$E55</f>
        <v>0</v>
      </c>
      <c r="G436" s="479">
        <f>'8ª'!$F55</f>
        <v>0</v>
      </c>
      <c r="H436" s="477">
        <f>'8ª'!$G55</f>
        <v>0</v>
      </c>
      <c r="I436" s="480">
        <f>'8ª'!$H55</f>
        <v>0</v>
      </c>
      <c r="J436" s="477"/>
      <c r="K436" s="477">
        <f>'8ª'!$I55</f>
        <v>0</v>
      </c>
      <c r="L436" s="479">
        <f>'8ª'!$J55</f>
        <v>0</v>
      </c>
      <c r="M436" s="477"/>
      <c r="N436" s="252">
        <f>'8ª'!$K55</f>
        <v>0</v>
      </c>
      <c r="O436" s="477"/>
      <c r="P436" s="253" t="s">
        <v>110</v>
      </c>
      <c r="Q436" s="415" t="s">
        <v>250</v>
      </c>
      <c r="R436" s="481">
        <f>'8ª'!$L55</f>
        <v>0</v>
      </c>
      <c r="S436" s="481">
        <f>'8ª'!$M55</f>
        <v>0</v>
      </c>
      <c r="T436" s="481">
        <f>'8ª'!$N55</f>
        <v>0</v>
      </c>
      <c r="U436" s="481">
        <f>'8ª'!$O55</f>
        <v>0</v>
      </c>
      <c r="V436" s="481">
        <f>'8ª'!$P55</f>
        <v>0</v>
      </c>
      <c r="W436" s="481">
        <f>'8ª'!$Q55</f>
        <v>0</v>
      </c>
      <c r="X436" s="481">
        <f>'8ª'!$R55</f>
        <v>0</v>
      </c>
      <c r="Y436" s="481">
        <f>'8ª'!$S55</f>
        <v>0</v>
      </c>
      <c r="Z436" s="482">
        <f>'8ª'!$T55</f>
        <v>0</v>
      </c>
      <c r="AA436" s="483">
        <f>'8ª'!$U55</f>
        <v>0</v>
      </c>
      <c r="AB436" s="385" t="s">
        <v>328</v>
      </c>
      <c r="AC436" s="385"/>
      <c r="AD436" s="435" t="s">
        <v>466</v>
      </c>
    </row>
    <row r="437" spans="1:30" ht="16.5" thickBot="1" x14ac:dyDescent="0.3">
      <c r="A437" s="416" t="str">
        <f>RIGHT('[1]8ª'!$A$5:$D$5,12)</f>
        <v>8ª SÉRIE E.F</v>
      </c>
      <c r="B437" s="475">
        <v>51</v>
      </c>
      <c r="C437" s="476">
        <f>'8ª'!$B56</f>
        <v>0</v>
      </c>
      <c r="D437" s="477">
        <f>'8ª'!$C56</f>
        <v>0</v>
      </c>
      <c r="E437" s="478">
        <f>'8ª'!$D56</f>
        <v>0</v>
      </c>
      <c r="F437" s="478">
        <f>'8ª'!$E56</f>
        <v>0</v>
      </c>
      <c r="G437" s="479">
        <f>'8ª'!$F56</f>
        <v>0</v>
      </c>
      <c r="H437" s="477">
        <f>'8ª'!$G56</f>
        <v>0</v>
      </c>
      <c r="I437" s="480">
        <f>'8ª'!$H56</f>
        <v>0</v>
      </c>
      <c r="J437" s="477"/>
      <c r="K437" s="477">
        <f>'8ª'!$I56</f>
        <v>0</v>
      </c>
      <c r="L437" s="479">
        <f>'8ª'!$J56</f>
        <v>0</v>
      </c>
      <c r="M437" s="477"/>
      <c r="N437" s="252">
        <f>'8ª'!$K56</f>
        <v>0</v>
      </c>
      <c r="O437" s="477"/>
      <c r="P437" s="253" t="s">
        <v>110</v>
      </c>
      <c r="Q437" s="415" t="s">
        <v>250</v>
      </c>
      <c r="R437" s="481">
        <f>'8ª'!$L56</f>
        <v>0</v>
      </c>
      <c r="S437" s="481">
        <f>'8ª'!$M56</f>
        <v>0</v>
      </c>
      <c r="T437" s="481">
        <f>'8ª'!$N56</f>
        <v>0</v>
      </c>
      <c r="U437" s="481">
        <f>'8ª'!$O56</f>
        <v>0</v>
      </c>
      <c r="V437" s="481">
        <f>'8ª'!$P56</f>
        <v>0</v>
      </c>
      <c r="W437" s="481">
        <f>'8ª'!$Q56</f>
        <v>0</v>
      </c>
      <c r="X437" s="481">
        <f>'8ª'!$R56</f>
        <v>0</v>
      </c>
      <c r="Y437" s="481">
        <f>'8ª'!$S56</f>
        <v>0</v>
      </c>
      <c r="Z437" s="482">
        <f>'8ª'!$T56</f>
        <v>0</v>
      </c>
      <c r="AA437" s="483">
        <f>'8ª'!$U56</f>
        <v>0</v>
      </c>
      <c r="AB437" s="385" t="s">
        <v>328</v>
      </c>
      <c r="AC437" s="385"/>
      <c r="AD437" s="435" t="s">
        <v>466</v>
      </c>
    </row>
    <row r="438" spans="1:30" ht="16.5" thickBot="1" x14ac:dyDescent="0.3">
      <c r="A438" s="416" t="str">
        <f>RIGHT('[1]8ª'!$A$5:$D$5,12)</f>
        <v>8ª SÉRIE E.F</v>
      </c>
      <c r="B438" s="475">
        <v>52</v>
      </c>
      <c r="C438" s="476">
        <f>'8ª'!$B57</f>
        <v>0</v>
      </c>
      <c r="D438" s="477">
        <f>'8ª'!$C57</f>
        <v>0</v>
      </c>
      <c r="E438" s="478">
        <f>'8ª'!$D57</f>
        <v>0</v>
      </c>
      <c r="F438" s="478">
        <f>'8ª'!$E57</f>
        <v>0</v>
      </c>
      <c r="G438" s="479">
        <f>'8ª'!$F57</f>
        <v>0</v>
      </c>
      <c r="H438" s="477">
        <f>'8ª'!$G57</f>
        <v>0</v>
      </c>
      <c r="I438" s="480">
        <f>'8ª'!$H57</f>
        <v>0</v>
      </c>
      <c r="J438" s="477"/>
      <c r="K438" s="477">
        <f>'8ª'!$I57</f>
        <v>0</v>
      </c>
      <c r="L438" s="479">
        <f>'8ª'!$J57</f>
        <v>0</v>
      </c>
      <c r="M438" s="477"/>
      <c r="N438" s="252">
        <f>'8ª'!$K57</f>
        <v>0</v>
      </c>
      <c r="O438" s="477"/>
      <c r="P438" s="253" t="s">
        <v>110</v>
      </c>
      <c r="Q438" s="415" t="s">
        <v>250</v>
      </c>
      <c r="R438" s="481">
        <f>'8ª'!$L57</f>
        <v>0</v>
      </c>
      <c r="S438" s="481">
        <f>'8ª'!$M57</f>
        <v>0</v>
      </c>
      <c r="T438" s="481">
        <f>'8ª'!$N57</f>
        <v>0</v>
      </c>
      <c r="U438" s="481">
        <f>'8ª'!$O57</f>
        <v>0</v>
      </c>
      <c r="V438" s="481">
        <f>'8ª'!$P57</f>
        <v>0</v>
      </c>
      <c r="W438" s="481">
        <f>'8ª'!$Q57</f>
        <v>0</v>
      </c>
      <c r="X438" s="481">
        <f>'8ª'!$R57</f>
        <v>0</v>
      </c>
      <c r="Y438" s="481">
        <f>'8ª'!$S57</f>
        <v>0</v>
      </c>
      <c r="Z438" s="482">
        <f>'8ª'!$T57</f>
        <v>0</v>
      </c>
      <c r="AA438" s="483">
        <f>'8ª'!$U57</f>
        <v>0</v>
      </c>
      <c r="AB438" s="385" t="s">
        <v>328</v>
      </c>
      <c r="AC438" s="385"/>
      <c r="AD438" s="435" t="s">
        <v>466</v>
      </c>
    </row>
    <row r="439" spans="1:30" ht="16.5" thickBot="1" x14ac:dyDescent="0.3">
      <c r="A439" s="416" t="str">
        <f>RIGHT('[1]8ª'!$A$5:$D$5,12)</f>
        <v>8ª SÉRIE E.F</v>
      </c>
      <c r="B439" s="475">
        <v>53</v>
      </c>
      <c r="C439" s="476">
        <f>'8ª'!$B58</f>
        <v>0</v>
      </c>
      <c r="D439" s="477">
        <f>'8ª'!$C58</f>
        <v>0</v>
      </c>
      <c r="E439" s="478">
        <f>'8ª'!$D58</f>
        <v>0</v>
      </c>
      <c r="F439" s="478">
        <f>'8ª'!$E58</f>
        <v>0</v>
      </c>
      <c r="G439" s="479">
        <f>'8ª'!$F58</f>
        <v>0</v>
      </c>
      <c r="H439" s="477">
        <f>'8ª'!$G58</f>
        <v>0</v>
      </c>
      <c r="I439" s="480">
        <f>'8ª'!$H58</f>
        <v>0</v>
      </c>
      <c r="J439" s="477"/>
      <c r="K439" s="477">
        <f>'8ª'!$I58</f>
        <v>0</v>
      </c>
      <c r="L439" s="479">
        <f>'8ª'!$J58</f>
        <v>0</v>
      </c>
      <c r="M439" s="477"/>
      <c r="N439" s="252">
        <f>'8ª'!$K58</f>
        <v>0</v>
      </c>
      <c r="O439" s="477"/>
      <c r="P439" s="253" t="s">
        <v>110</v>
      </c>
      <c r="Q439" s="415" t="s">
        <v>250</v>
      </c>
      <c r="R439" s="481">
        <f>'8ª'!$L58</f>
        <v>0</v>
      </c>
      <c r="S439" s="481">
        <f>'8ª'!$M58</f>
        <v>0</v>
      </c>
      <c r="T439" s="481">
        <f>'8ª'!$N58</f>
        <v>0</v>
      </c>
      <c r="U439" s="481">
        <f>'8ª'!$O58</f>
        <v>0</v>
      </c>
      <c r="V439" s="481">
        <f>'8ª'!$P58</f>
        <v>0</v>
      </c>
      <c r="W439" s="481">
        <f>'8ª'!$Q58</f>
        <v>0</v>
      </c>
      <c r="X439" s="481">
        <f>'8ª'!$R58</f>
        <v>0</v>
      </c>
      <c r="Y439" s="481">
        <f>'8ª'!$S58</f>
        <v>0</v>
      </c>
      <c r="Z439" s="482">
        <f>'8ª'!$T58</f>
        <v>0</v>
      </c>
      <c r="AA439" s="483">
        <f>'8ª'!$U58</f>
        <v>0</v>
      </c>
      <c r="AB439" s="385" t="s">
        <v>328</v>
      </c>
      <c r="AC439" s="385"/>
      <c r="AD439" s="435" t="s">
        <v>466</v>
      </c>
    </row>
    <row r="440" spans="1:30" ht="16.5" thickBot="1" x14ac:dyDescent="0.3">
      <c r="A440" s="416" t="str">
        <f>RIGHT('[1]8ª'!$A$5:$D$5,12)</f>
        <v>8ª SÉRIE E.F</v>
      </c>
      <c r="B440" s="475">
        <v>54</v>
      </c>
      <c r="C440" s="476">
        <f>'8ª'!$B59</f>
        <v>0</v>
      </c>
      <c r="D440" s="477">
        <f>'8ª'!$C59</f>
        <v>0</v>
      </c>
      <c r="E440" s="478">
        <f>'8ª'!$D59</f>
        <v>0</v>
      </c>
      <c r="F440" s="478">
        <f>'8ª'!$E59</f>
        <v>0</v>
      </c>
      <c r="G440" s="479">
        <f>'8ª'!$F59</f>
        <v>0</v>
      </c>
      <c r="H440" s="477">
        <f>'8ª'!$G59</f>
        <v>0</v>
      </c>
      <c r="I440" s="480">
        <f>'8ª'!$H59</f>
        <v>0</v>
      </c>
      <c r="J440" s="477"/>
      <c r="K440" s="477">
        <f>'8ª'!$I59</f>
        <v>0</v>
      </c>
      <c r="L440" s="479">
        <f>'8ª'!$J59</f>
        <v>0</v>
      </c>
      <c r="M440" s="477"/>
      <c r="N440" s="252">
        <f>'8ª'!$K59</f>
        <v>0</v>
      </c>
      <c r="O440" s="477"/>
      <c r="P440" s="253" t="s">
        <v>110</v>
      </c>
      <c r="Q440" s="415" t="s">
        <v>250</v>
      </c>
      <c r="R440" s="481">
        <f>'8ª'!$L59</f>
        <v>0</v>
      </c>
      <c r="S440" s="481">
        <f>'8ª'!$M59</f>
        <v>0</v>
      </c>
      <c r="T440" s="481">
        <f>'8ª'!$N59</f>
        <v>0</v>
      </c>
      <c r="U440" s="481">
        <f>'8ª'!$O59</f>
        <v>0</v>
      </c>
      <c r="V440" s="481">
        <f>'8ª'!$P59</f>
        <v>0</v>
      </c>
      <c r="W440" s="481">
        <f>'8ª'!$Q59</f>
        <v>0</v>
      </c>
      <c r="X440" s="481">
        <f>'8ª'!$R59</f>
        <v>0</v>
      </c>
      <c r="Y440" s="481">
        <f>'8ª'!$S59</f>
        <v>0</v>
      </c>
      <c r="Z440" s="482">
        <f>'8ª'!$T59</f>
        <v>0</v>
      </c>
      <c r="AA440" s="483">
        <f>'8ª'!$U59</f>
        <v>0</v>
      </c>
      <c r="AB440" s="385" t="s">
        <v>328</v>
      </c>
      <c r="AC440" s="385"/>
      <c r="AD440" s="435" t="s">
        <v>466</v>
      </c>
    </row>
    <row r="441" spans="1:30" ht="16.5" thickBot="1" x14ac:dyDescent="0.3">
      <c r="A441" s="416" t="str">
        <f>RIGHT('[1]8ª'!$A$5:$D$5,12)</f>
        <v>8ª SÉRIE E.F</v>
      </c>
      <c r="B441" s="475">
        <v>55</v>
      </c>
      <c r="C441" s="476">
        <f>'8ª'!$B60</f>
        <v>0</v>
      </c>
      <c r="D441" s="477">
        <f>'8ª'!$C60</f>
        <v>0</v>
      </c>
      <c r="E441" s="478">
        <f>'8ª'!$D60</f>
        <v>0</v>
      </c>
      <c r="F441" s="478">
        <f>'8ª'!$E60</f>
        <v>0</v>
      </c>
      <c r="G441" s="479">
        <f>'8ª'!$F60</f>
        <v>0</v>
      </c>
      <c r="H441" s="477">
        <f>'8ª'!$G60</f>
        <v>0</v>
      </c>
      <c r="I441" s="480">
        <f>'8ª'!$H60</f>
        <v>0</v>
      </c>
      <c r="J441" s="477"/>
      <c r="K441" s="477">
        <f>'8ª'!$I60</f>
        <v>0</v>
      </c>
      <c r="L441" s="479">
        <f>'8ª'!$J60</f>
        <v>0</v>
      </c>
      <c r="M441" s="477"/>
      <c r="N441" s="252">
        <f>'8ª'!$K60</f>
        <v>0</v>
      </c>
      <c r="O441" s="477"/>
      <c r="P441" s="253" t="s">
        <v>110</v>
      </c>
      <c r="Q441" s="415" t="s">
        <v>250</v>
      </c>
      <c r="R441" s="481">
        <f>'8ª'!$L60</f>
        <v>0</v>
      </c>
      <c r="S441" s="481">
        <f>'8ª'!$M60</f>
        <v>0</v>
      </c>
      <c r="T441" s="481">
        <f>'8ª'!$N60</f>
        <v>0</v>
      </c>
      <c r="U441" s="481">
        <f>'8ª'!$O60</f>
        <v>0</v>
      </c>
      <c r="V441" s="481">
        <f>'8ª'!$P60</f>
        <v>0</v>
      </c>
      <c r="W441" s="481">
        <f>'8ª'!$Q60</f>
        <v>0</v>
      </c>
      <c r="X441" s="481">
        <f>'8ª'!$R60</f>
        <v>0</v>
      </c>
      <c r="Y441" s="481">
        <f>'8ª'!$S60</f>
        <v>0</v>
      </c>
      <c r="Z441" s="482">
        <f>'8ª'!$T60</f>
        <v>0</v>
      </c>
      <c r="AA441" s="483">
        <f>'8ª'!$U60</f>
        <v>0</v>
      </c>
      <c r="AB441" s="385" t="s">
        <v>328</v>
      </c>
      <c r="AC441" s="385"/>
      <c r="AD441" s="435" t="s">
        <v>466</v>
      </c>
    </row>
    <row r="442" spans="1:30" s="488" customFormat="1" ht="15.75" x14ac:dyDescent="0.25">
      <c r="A442" s="484" t="str">
        <f>RIGHT('[1]1ª EM'!$A$5:$D$5,12)</f>
        <v>1ª SÉRIE E.M</v>
      </c>
      <c r="B442" s="388">
        <v>1</v>
      </c>
      <c r="C442" s="389">
        <f>'1ª EM'!$B7</f>
        <v>18378</v>
      </c>
      <c r="D442" s="390" t="str">
        <f>'1ª EM'!$C7</f>
        <v>ALEXANDRINA PILAR</v>
      </c>
      <c r="E442" s="391" t="str">
        <f>'1ª EM'!$D7</f>
        <v>F</v>
      </c>
      <c r="F442" s="391" t="str">
        <f>'1ª EM'!$E7</f>
        <v>MA</v>
      </c>
      <c r="G442" s="392">
        <f>'1ª EM'!$F7</f>
        <v>38204</v>
      </c>
      <c r="H442" s="390">
        <f>'1ª EM'!$G7</f>
        <v>0</v>
      </c>
      <c r="I442" s="485">
        <f>'1ª EM'!$H7</f>
        <v>7142872</v>
      </c>
      <c r="J442" s="390"/>
      <c r="K442" s="390">
        <f>'1ª EM'!$I7</f>
        <v>0</v>
      </c>
      <c r="L442" s="392" t="str">
        <f ca="1">'1ª EM'!$J7</f>
        <v/>
      </c>
      <c r="M442" s="390"/>
      <c r="N442" s="394">
        <f ca="1">'1ª EM'!$K7</f>
        <v>21</v>
      </c>
      <c r="O442" s="390"/>
      <c r="P442" s="486" t="s">
        <v>110</v>
      </c>
      <c r="Q442" s="487" t="s">
        <v>251</v>
      </c>
      <c r="R442" s="489" t="str">
        <f>'1ª EM'!$L7</f>
        <v>Não</v>
      </c>
      <c r="S442" s="489" t="str">
        <f>'1ª EM'!$M7</f>
        <v>-</v>
      </c>
      <c r="T442" s="489" t="str">
        <f>'1ª EM'!$N7</f>
        <v>-</v>
      </c>
      <c r="U442" s="489" t="str">
        <f>'1ª EM'!$O7</f>
        <v>-</v>
      </c>
      <c r="V442" s="489" t="str">
        <f>'1ª EM'!$P7</f>
        <v>-</v>
      </c>
      <c r="W442" s="489" t="str">
        <f>'1ª EM'!$Q7</f>
        <v>-</v>
      </c>
      <c r="X442" s="489" t="str">
        <f>'1ª EM'!$R7</f>
        <v>-</v>
      </c>
      <c r="Y442" s="489" t="str">
        <f>'1ª EM'!$S7</f>
        <v>-</v>
      </c>
      <c r="Z442" s="490">
        <f>'1ª EM'!$T7</f>
        <v>0</v>
      </c>
      <c r="AA442" s="490">
        <f>'1ª EM'!$U7</f>
        <v>0</v>
      </c>
      <c r="AB442" s="491" t="s">
        <v>329</v>
      </c>
      <c r="AC442" s="491"/>
      <c r="AD442" s="435" t="s">
        <v>466</v>
      </c>
    </row>
    <row r="443" spans="1:30" ht="15.75" x14ac:dyDescent="0.25">
      <c r="A443" s="416" t="str">
        <f>RIGHT('[1]1ª EM'!$A$5:$D$5,12)</f>
        <v>1ª SÉRIE E.M</v>
      </c>
      <c r="B443" s="451">
        <v>2</v>
      </c>
      <c r="C443" s="248">
        <f>'1ª EM'!$B8</f>
        <v>18909</v>
      </c>
      <c r="D443" s="362" t="str">
        <f>'1ª EM'!$C8</f>
        <v>ALINE FERNANDA FONTES PINHEIRO</v>
      </c>
      <c r="E443" s="249" t="str">
        <f>'1ª EM'!$D8</f>
        <v>F</v>
      </c>
      <c r="F443" s="249" t="str">
        <f>'1ª EM'!$E8</f>
        <v>MA</v>
      </c>
      <c r="G443" s="250">
        <f>'1ª EM'!$F8</f>
        <v>32042</v>
      </c>
      <c r="H443" s="362">
        <f>'1ª EM'!$G8</f>
        <v>0</v>
      </c>
      <c r="I443" s="364">
        <f>'1ª EM'!$H8</f>
        <v>0</v>
      </c>
      <c r="J443" s="362"/>
      <c r="K443" s="362">
        <f>'1ª EM'!$I8</f>
        <v>0</v>
      </c>
      <c r="L443" s="250" t="str">
        <f ca="1">'1ª EM'!$J8</f>
        <v>DISP.IDADE</v>
      </c>
      <c r="M443" s="362"/>
      <c r="N443" s="252">
        <f ca="1">'1ª EM'!$K8</f>
        <v>38</v>
      </c>
      <c r="O443" s="362"/>
      <c r="P443" s="253" t="s">
        <v>110</v>
      </c>
      <c r="Q443" s="415" t="s">
        <v>251</v>
      </c>
      <c r="R443" s="383" t="str">
        <f>'1ª EM'!$L8</f>
        <v>Não</v>
      </c>
      <c r="S443" s="383" t="str">
        <f>'1ª EM'!$M8</f>
        <v>-</v>
      </c>
      <c r="T443" s="383" t="str">
        <f>'1ª EM'!$N8</f>
        <v>-</v>
      </c>
      <c r="U443" s="383" t="str">
        <f>'1ª EM'!$O8</f>
        <v>-</v>
      </c>
      <c r="V443" s="383" t="str">
        <f>'1ª EM'!$P8</f>
        <v>-</v>
      </c>
      <c r="W443" s="383" t="str">
        <f>'1ª EM'!$Q8</f>
        <v>-</v>
      </c>
      <c r="X443" s="383" t="str">
        <f>'1ª EM'!$R8</f>
        <v>-</v>
      </c>
      <c r="Y443" s="383" t="str">
        <f>'1ª EM'!$S8</f>
        <v>-</v>
      </c>
      <c r="Z443" s="384">
        <f>'1ª EM'!$T8</f>
        <v>0</v>
      </c>
      <c r="AA443" s="384">
        <f>'1ª EM'!$U8</f>
        <v>0</v>
      </c>
      <c r="AB443" s="385" t="s">
        <v>329</v>
      </c>
      <c r="AC443" s="385"/>
      <c r="AD443" s="435" t="s">
        <v>466</v>
      </c>
    </row>
    <row r="444" spans="1:30" ht="15.75" x14ac:dyDescent="0.25">
      <c r="A444" s="416" t="str">
        <f>RIGHT('[1]1ª EM'!$A$5:$D$5,12)</f>
        <v>1ª SÉRIE E.M</v>
      </c>
      <c r="B444" s="451">
        <v>3</v>
      </c>
      <c r="C444" s="248">
        <f>'1ª EM'!$B9</f>
        <v>18893</v>
      </c>
      <c r="D444" s="362" t="str">
        <f>'1ª EM'!$C9</f>
        <v>CRISTIANE OLIVEIRA SILVA GUALBERTO</v>
      </c>
      <c r="E444" s="249" t="str">
        <f>'1ª EM'!$D9</f>
        <v>F</v>
      </c>
      <c r="F444" s="249" t="str">
        <f>'1ª EM'!$E9</f>
        <v>MA</v>
      </c>
      <c r="G444" s="250">
        <f>'1ª EM'!$F9</f>
        <v>32111</v>
      </c>
      <c r="H444" s="362">
        <f>'1ª EM'!$G9</f>
        <v>0</v>
      </c>
      <c r="I444" s="364" t="str">
        <f>'1ª EM'!$H9</f>
        <v>38946716-9</v>
      </c>
      <c r="J444" s="362"/>
      <c r="K444" s="362">
        <f>'1ª EM'!$I9</f>
        <v>0</v>
      </c>
      <c r="L444" s="250" t="str">
        <f ca="1">'1ª EM'!$J9</f>
        <v>DISP.IDADE</v>
      </c>
      <c r="M444" s="362"/>
      <c r="N444" s="252">
        <f ca="1">'1ª EM'!$K9</f>
        <v>37</v>
      </c>
      <c r="O444" s="362"/>
      <c r="P444" s="253" t="s">
        <v>110</v>
      </c>
      <c r="Q444" s="415" t="s">
        <v>251</v>
      </c>
      <c r="R444" s="383" t="str">
        <f>'1ª EM'!$L9</f>
        <v>Não</v>
      </c>
      <c r="S444" s="383" t="str">
        <f>'1ª EM'!$M9</f>
        <v>-</v>
      </c>
      <c r="T444" s="383" t="str">
        <f>'1ª EM'!$N9</f>
        <v>-</v>
      </c>
      <c r="U444" s="383" t="str">
        <f>'1ª EM'!$O9</f>
        <v>-</v>
      </c>
      <c r="V444" s="383" t="str">
        <f>'1ª EM'!$P9</f>
        <v>-</v>
      </c>
      <c r="W444" s="383" t="str">
        <f>'1ª EM'!$Q9</f>
        <v>-</v>
      </c>
      <c r="X444" s="383" t="str">
        <f>'1ª EM'!$R9</f>
        <v>-</v>
      </c>
      <c r="Y444" s="383" t="str">
        <f>'1ª EM'!$S9</f>
        <v>-</v>
      </c>
      <c r="Z444" s="384">
        <f>'1ª EM'!$T9</f>
        <v>0</v>
      </c>
      <c r="AA444" s="384">
        <f>'1ª EM'!$U9</f>
        <v>0</v>
      </c>
      <c r="AB444" s="385" t="s">
        <v>329</v>
      </c>
      <c r="AC444" s="385"/>
      <c r="AD444" s="435" t="s">
        <v>466</v>
      </c>
    </row>
    <row r="445" spans="1:30" ht="15.75" x14ac:dyDescent="0.25">
      <c r="A445" s="416" t="str">
        <f>RIGHT('[1]1ª EM'!$A$5:$D$5,12)</f>
        <v>1ª SÉRIE E.M</v>
      </c>
      <c r="B445" s="451">
        <v>4</v>
      </c>
      <c r="C445" s="248">
        <f>'1ª EM'!$B10</f>
        <v>18907</v>
      </c>
      <c r="D445" s="362" t="str">
        <f>'1ª EM'!$C10</f>
        <v>DAILTON ALVES SANTANA</v>
      </c>
      <c r="E445" s="249" t="str">
        <f>'1ª EM'!$D10</f>
        <v>M</v>
      </c>
      <c r="F445" s="249" t="str">
        <f>'1ª EM'!$E10</f>
        <v>MA</v>
      </c>
      <c r="G445" s="250">
        <f>'1ª EM'!$F10</f>
        <v>25646</v>
      </c>
      <c r="H445" s="362">
        <f>'1ª EM'!$G10</f>
        <v>0</v>
      </c>
      <c r="I445" s="364">
        <f>'1ª EM'!$H10</f>
        <v>212981237</v>
      </c>
      <c r="J445" s="362"/>
      <c r="K445" s="362">
        <f>'1ª EM'!$I10</f>
        <v>0</v>
      </c>
      <c r="L445" s="250" t="str">
        <f ca="1">'1ª EM'!$J10</f>
        <v>DISP.IDADE</v>
      </c>
      <c r="M445" s="362"/>
      <c r="N445" s="252">
        <f ca="1">'1ª EM'!$K10</f>
        <v>55</v>
      </c>
      <c r="O445" s="362"/>
      <c r="P445" s="253" t="s">
        <v>110</v>
      </c>
      <c r="Q445" s="415" t="s">
        <v>251</v>
      </c>
      <c r="R445" s="383" t="str">
        <f>'1ª EM'!$L10</f>
        <v>Não</v>
      </c>
      <c r="S445" s="383" t="str">
        <f>'1ª EM'!$M10</f>
        <v>-</v>
      </c>
      <c r="T445" s="383" t="str">
        <f>'1ª EM'!$N10</f>
        <v>-</v>
      </c>
      <c r="U445" s="383" t="str">
        <f>'1ª EM'!$O10</f>
        <v>-</v>
      </c>
      <c r="V445" s="383" t="str">
        <f>'1ª EM'!$P10</f>
        <v>-</v>
      </c>
      <c r="W445" s="383" t="str">
        <f>'1ª EM'!$Q10</f>
        <v>-</v>
      </c>
      <c r="X445" s="383" t="str">
        <f>'1ª EM'!$R10</f>
        <v>-</v>
      </c>
      <c r="Y445" s="383" t="str">
        <f>'1ª EM'!$S10</f>
        <v>-</v>
      </c>
      <c r="Z445" s="384">
        <f>'1ª EM'!$T10</f>
        <v>0</v>
      </c>
      <c r="AA445" s="384">
        <f>'1ª EM'!$U10</f>
        <v>0</v>
      </c>
      <c r="AB445" s="385" t="s">
        <v>329</v>
      </c>
      <c r="AC445" s="385"/>
      <c r="AD445" s="435" t="s">
        <v>466</v>
      </c>
    </row>
    <row r="446" spans="1:30" ht="15.75" x14ac:dyDescent="0.25">
      <c r="A446" s="416" t="str">
        <f>RIGHT('[1]1ª EM'!$A$5:$D$5,12)</f>
        <v>1ª SÉRIE E.M</v>
      </c>
      <c r="B446" s="451">
        <v>5</v>
      </c>
      <c r="C446" s="248">
        <f>'1ª EM'!$B11</f>
        <v>18924</v>
      </c>
      <c r="D446" s="362" t="str">
        <f>'1ª EM'!$C11</f>
        <v>DANIELLY SANTOS SANCHES</v>
      </c>
      <c r="E446" s="249" t="str">
        <f>'1ª EM'!$D11</f>
        <v>F</v>
      </c>
      <c r="F446" s="249" t="str">
        <f>'1ª EM'!$E11</f>
        <v>MA</v>
      </c>
      <c r="G446" s="250">
        <f>'1ª EM'!$F11</f>
        <v>31224</v>
      </c>
      <c r="H446" s="362">
        <f>'1ª EM'!$G11</f>
        <v>1002353051</v>
      </c>
      <c r="I446" s="364">
        <f>'1ª EM'!$H11</f>
        <v>0</v>
      </c>
      <c r="J446" s="362"/>
      <c r="K446" s="362">
        <f>'1ª EM'!$I11</f>
        <v>0</v>
      </c>
      <c r="L446" s="250" t="str">
        <f ca="1">'1ª EM'!$J11</f>
        <v>DISP.IDADE</v>
      </c>
      <c r="M446" s="362"/>
      <c r="N446" s="252">
        <f ca="1">'1ª EM'!$K11</f>
        <v>40</v>
      </c>
      <c r="O446" s="362"/>
      <c r="P446" s="253" t="s">
        <v>110</v>
      </c>
      <c r="Q446" s="415" t="s">
        <v>251</v>
      </c>
      <c r="R446" s="383" t="str">
        <f>'1ª EM'!$L11</f>
        <v>Não</v>
      </c>
      <c r="S446" s="383" t="str">
        <f>'1ª EM'!$M11</f>
        <v>-</v>
      </c>
      <c r="T446" s="383" t="str">
        <f>'1ª EM'!$N11</f>
        <v>-</v>
      </c>
      <c r="U446" s="383" t="str">
        <f>'1ª EM'!$O11</f>
        <v>-</v>
      </c>
      <c r="V446" s="383" t="str">
        <f>'1ª EM'!$P11</f>
        <v>-</v>
      </c>
      <c r="W446" s="383" t="str">
        <f>'1ª EM'!$Q11</f>
        <v>-</v>
      </c>
      <c r="X446" s="383" t="str">
        <f>'1ª EM'!$R11</f>
        <v>-</v>
      </c>
      <c r="Y446" s="383" t="str">
        <f>'1ª EM'!$S11</f>
        <v>-</v>
      </c>
      <c r="Z446" s="384">
        <f>'1ª EM'!$T11</f>
        <v>0</v>
      </c>
      <c r="AA446" s="384">
        <f>'1ª EM'!$U11</f>
        <v>0</v>
      </c>
      <c r="AB446" s="385" t="s">
        <v>329</v>
      </c>
      <c r="AC446" s="385"/>
      <c r="AD446" s="435" t="s">
        <v>466</v>
      </c>
    </row>
    <row r="447" spans="1:30" ht="15.75" x14ac:dyDescent="0.25">
      <c r="A447" s="416" t="str">
        <f>RIGHT('[1]1ª EM'!$A$5:$D$5,12)</f>
        <v>1ª SÉRIE E.M</v>
      </c>
      <c r="B447" s="451">
        <v>6</v>
      </c>
      <c r="C447" s="248">
        <f>'1ª EM'!$B12</f>
        <v>18849</v>
      </c>
      <c r="D447" s="362" t="str">
        <f>'1ª EM'!$C12</f>
        <v>DOMENICA CRISTINE DE SOUSA</v>
      </c>
      <c r="E447" s="249" t="str">
        <f>'1ª EM'!$D12</f>
        <v>F</v>
      </c>
      <c r="F447" s="249" t="str">
        <f>'1ª EM'!$E12</f>
        <v>MA</v>
      </c>
      <c r="G447" s="250">
        <f>'1ª EM'!$F12</f>
        <v>34965</v>
      </c>
      <c r="H447" s="362">
        <f>'1ª EM'!$G12</f>
        <v>0</v>
      </c>
      <c r="I447" s="364" t="str">
        <f>'1ª EM'!$H12</f>
        <v>43841041-5</v>
      </c>
      <c r="J447" s="362"/>
      <c r="K447" s="362">
        <f>'1ª EM'!$I12</f>
        <v>0</v>
      </c>
      <c r="L447" s="250" t="str">
        <f ca="1">'1ª EM'!$J12</f>
        <v>DISP.IDADE</v>
      </c>
      <c r="M447" s="362"/>
      <c r="N447" s="252">
        <f ca="1">'1ª EM'!$K12</f>
        <v>30</v>
      </c>
      <c r="O447" s="362"/>
      <c r="P447" s="253" t="s">
        <v>110</v>
      </c>
      <c r="Q447" s="415" t="s">
        <v>251</v>
      </c>
      <c r="R447" s="383" t="str">
        <f>'1ª EM'!$L12</f>
        <v>Não</v>
      </c>
      <c r="S447" s="383" t="str">
        <f>'1ª EM'!$M12</f>
        <v>-</v>
      </c>
      <c r="T447" s="383" t="str">
        <f>'1ª EM'!$N12</f>
        <v>-</v>
      </c>
      <c r="U447" s="383" t="str">
        <f>'1ª EM'!$O12</f>
        <v>-</v>
      </c>
      <c r="V447" s="383" t="str">
        <f>'1ª EM'!$P12</f>
        <v>-</v>
      </c>
      <c r="W447" s="383" t="str">
        <f>'1ª EM'!$Q12</f>
        <v>-</v>
      </c>
      <c r="X447" s="383" t="str">
        <f>'1ª EM'!$R12</f>
        <v>-</v>
      </c>
      <c r="Y447" s="383" t="str">
        <f>'1ª EM'!$S12</f>
        <v>-</v>
      </c>
      <c r="Z447" s="384">
        <f>'1ª EM'!$T12</f>
        <v>0</v>
      </c>
      <c r="AA447" s="384">
        <f>'1ª EM'!$U12</f>
        <v>0</v>
      </c>
      <c r="AB447" s="385" t="s">
        <v>329</v>
      </c>
      <c r="AC447" s="385"/>
      <c r="AD447" s="435" t="s">
        <v>466</v>
      </c>
    </row>
    <row r="448" spans="1:30" ht="15.75" x14ac:dyDescent="0.25">
      <c r="A448" s="416" t="str">
        <f>RIGHT('[1]1ª EM'!$A$5:$D$5,12)</f>
        <v>1ª SÉRIE E.M</v>
      </c>
      <c r="B448" s="451">
        <v>7</v>
      </c>
      <c r="C448" s="248" t="e">
        <f>'1ª EM'!#REF!</f>
        <v>#REF!</v>
      </c>
      <c r="D448" s="362" t="e">
        <f>'1ª EM'!#REF!</f>
        <v>#REF!</v>
      </c>
      <c r="E448" s="249" t="e">
        <f>'1ª EM'!#REF!</f>
        <v>#REF!</v>
      </c>
      <c r="F448" s="249" t="e">
        <f>'1ª EM'!#REF!</f>
        <v>#REF!</v>
      </c>
      <c r="G448" s="250" t="e">
        <f>'1ª EM'!#REF!</f>
        <v>#REF!</v>
      </c>
      <c r="H448" s="362" t="e">
        <f>'1ª EM'!#REF!</f>
        <v>#REF!</v>
      </c>
      <c r="I448" s="364" t="e">
        <f>'1ª EM'!#REF!</f>
        <v>#REF!</v>
      </c>
      <c r="J448" s="362"/>
      <c r="K448" s="362" t="e">
        <f>'1ª EM'!#REF!</f>
        <v>#REF!</v>
      </c>
      <c r="L448" s="250" t="e">
        <f>'1ª EM'!#REF!</f>
        <v>#REF!</v>
      </c>
      <c r="M448" s="362"/>
      <c r="N448" s="252" t="e">
        <f>'1ª EM'!#REF!</f>
        <v>#REF!</v>
      </c>
      <c r="O448" s="362"/>
      <c r="P448" s="253" t="s">
        <v>110</v>
      </c>
      <c r="Q448" s="415" t="s">
        <v>251</v>
      </c>
      <c r="R448" s="383" t="e">
        <f>'1ª EM'!#REF!</f>
        <v>#REF!</v>
      </c>
      <c r="S448" s="383" t="e">
        <f>'1ª EM'!#REF!</f>
        <v>#REF!</v>
      </c>
      <c r="T448" s="383" t="e">
        <f>'1ª EM'!#REF!</f>
        <v>#REF!</v>
      </c>
      <c r="U448" s="383" t="e">
        <f>'1ª EM'!#REF!</f>
        <v>#REF!</v>
      </c>
      <c r="V448" s="383" t="e">
        <f>'1ª EM'!#REF!</f>
        <v>#REF!</v>
      </c>
      <c r="W448" s="383" t="e">
        <f>'1ª EM'!#REF!</f>
        <v>#REF!</v>
      </c>
      <c r="X448" s="383" t="e">
        <f>'1ª EM'!#REF!</f>
        <v>#REF!</v>
      </c>
      <c r="Y448" s="383" t="e">
        <f>'1ª EM'!#REF!</f>
        <v>#REF!</v>
      </c>
      <c r="Z448" s="384" t="e">
        <f>'1ª EM'!#REF!</f>
        <v>#REF!</v>
      </c>
      <c r="AA448" s="384" t="e">
        <f>'1ª EM'!#REF!</f>
        <v>#REF!</v>
      </c>
      <c r="AB448" s="385" t="s">
        <v>329</v>
      </c>
      <c r="AC448" s="385"/>
      <c r="AD448" s="435" t="s">
        <v>466</v>
      </c>
    </row>
    <row r="449" spans="1:30" ht="15.75" x14ac:dyDescent="0.25">
      <c r="A449" s="416" t="str">
        <f>RIGHT('[1]1ª EM'!$A$5:$D$5,12)</f>
        <v>1ª SÉRIE E.M</v>
      </c>
      <c r="B449" s="451">
        <v>8</v>
      </c>
      <c r="C449" s="248">
        <f>'1ª EM'!$B13</f>
        <v>18494</v>
      </c>
      <c r="D449" s="362" t="str">
        <f>'1ª EM'!$C13</f>
        <v>FLAVIA APARECIDA DELMONICO</v>
      </c>
      <c r="E449" s="249" t="str">
        <f>'1ª EM'!$D13</f>
        <v>F</v>
      </c>
      <c r="F449" s="249" t="str">
        <f>'1ª EM'!$E13</f>
        <v>MA</v>
      </c>
      <c r="G449" s="250">
        <f>'1ª EM'!$F13</f>
        <v>28207</v>
      </c>
      <c r="H449" s="362">
        <f>'1ª EM'!$G13</f>
        <v>0</v>
      </c>
      <c r="I449" s="364" t="str">
        <f>'1ª EM'!$H13</f>
        <v>27292451-9</v>
      </c>
      <c r="J449" s="362"/>
      <c r="K449" s="362">
        <f>'1ª EM'!$I13</f>
        <v>0</v>
      </c>
      <c r="L449" s="250" t="str">
        <f ca="1">'1ª EM'!$J13</f>
        <v>DISP.IDADE</v>
      </c>
      <c r="M449" s="362"/>
      <c r="N449" s="252">
        <f ca="1">'1ª EM'!$K13</f>
        <v>48</v>
      </c>
      <c r="O449" s="362"/>
      <c r="P449" s="253" t="s">
        <v>110</v>
      </c>
      <c r="Q449" s="415" t="s">
        <v>251</v>
      </c>
      <c r="R449" s="383" t="str">
        <f>'1ª EM'!$L13</f>
        <v>Não</v>
      </c>
      <c r="S449" s="383" t="str">
        <f>'1ª EM'!$M13</f>
        <v>-</v>
      </c>
      <c r="T449" s="383" t="str">
        <f>'1ª EM'!$N13</f>
        <v>-</v>
      </c>
      <c r="U449" s="383" t="str">
        <f>'1ª EM'!$O13</f>
        <v>-</v>
      </c>
      <c r="V449" s="383" t="str">
        <f>'1ª EM'!$P13</f>
        <v>-</v>
      </c>
      <c r="W449" s="383" t="str">
        <f>'1ª EM'!$Q13</f>
        <v>-</v>
      </c>
      <c r="X449" s="383" t="str">
        <f>'1ª EM'!$R13</f>
        <v>-</v>
      </c>
      <c r="Y449" s="383" t="str">
        <f>'1ª EM'!$S13</f>
        <v>-</v>
      </c>
      <c r="Z449" s="384">
        <f>'1ª EM'!$T13</f>
        <v>0</v>
      </c>
      <c r="AA449" s="384">
        <f>'1ª EM'!$U13</f>
        <v>0</v>
      </c>
      <c r="AB449" s="385" t="s">
        <v>329</v>
      </c>
      <c r="AC449" s="385"/>
      <c r="AD449" s="435" t="s">
        <v>466</v>
      </c>
    </row>
    <row r="450" spans="1:30" ht="15.75" x14ac:dyDescent="0.25">
      <c r="A450" s="416" t="str">
        <f>RIGHT('[1]1ª EM'!$A$5:$D$5,12)</f>
        <v>1ª SÉRIE E.M</v>
      </c>
      <c r="B450" s="451">
        <v>9</v>
      </c>
      <c r="C450" s="248">
        <f>'1ª EM'!$B14</f>
        <v>17409</v>
      </c>
      <c r="D450" s="362" t="str">
        <f>'1ª EM'!$C14</f>
        <v>ISABELY CUSTODIO</v>
      </c>
      <c r="E450" s="249" t="str">
        <f>'1ª EM'!$D14</f>
        <v>F</v>
      </c>
      <c r="F450" s="249" t="str">
        <f>'1ª EM'!$E14</f>
        <v>MA</v>
      </c>
      <c r="G450" s="250">
        <f>'1ª EM'!$F14</f>
        <v>37551</v>
      </c>
      <c r="H450" s="362">
        <f>'1ª EM'!$G14</f>
        <v>1057976672</v>
      </c>
      <c r="I450" s="364">
        <f>'1ª EM'!$H14</f>
        <v>0</v>
      </c>
      <c r="J450" s="362"/>
      <c r="K450" s="362">
        <f>'1ª EM'!$I14</f>
        <v>0</v>
      </c>
      <c r="L450" s="250" t="str">
        <f ca="1">'1ª EM'!$J14</f>
        <v/>
      </c>
      <c r="M450" s="362"/>
      <c r="N450" s="252">
        <f ca="1">'1ª EM'!$K14</f>
        <v>22</v>
      </c>
      <c r="O450" s="362"/>
      <c r="P450" s="253" t="s">
        <v>110</v>
      </c>
      <c r="Q450" s="415" t="s">
        <v>251</v>
      </c>
      <c r="R450" s="383" t="str">
        <f>'1ª EM'!$L14</f>
        <v>Não</v>
      </c>
      <c r="S450" s="383" t="str">
        <f>'1ª EM'!$M14</f>
        <v>-</v>
      </c>
      <c r="T450" s="383" t="str">
        <f>'1ª EM'!$N14</f>
        <v>-</v>
      </c>
      <c r="U450" s="383" t="str">
        <f>'1ª EM'!$O14</f>
        <v>-</v>
      </c>
      <c r="V450" s="383" t="str">
        <f>'1ª EM'!$P14</f>
        <v>-</v>
      </c>
      <c r="W450" s="383" t="str">
        <f>'1ª EM'!$Q14</f>
        <v>-</v>
      </c>
      <c r="X450" s="383" t="str">
        <f>'1ª EM'!$R14</f>
        <v>-</v>
      </c>
      <c r="Y450" s="383" t="str">
        <f>'1ª EM'!$S14</f>
        <v>-</v>
      </c>
      <c r="Z450" s="384">
        <f>'1ª EM'!$T14</f>
        <v>0</v>
      </c>
      <c r="AA450" s="384">
        <f>'1ª EM'!$U14</f>
        <v>0</v>
      </c>
      <c r="AB450" s="385" t="s">
        <v>329</v>
      </c>
      <c r="AC450" s="385"/>
      <c r="AD450" s="435" t="s">
        <v>466</v>
      </c>
    </row>
    <row r="451" spans="1:30" ht="15.75" x14ac:dyDescent="0.25">
      <c r="A451" s="416" t="str">
        <f>RIGHT('[1]1ª EM'!$A$5:$D$5,12)</f>
        <v>1ª SÉRIE E.M</v>
      </c>
      <c r="B451" s="451">
        <v>10</v>
      </c>
      <c r="C451" s="248">
        <f>'1ª EM'!$B15</f>
        <v>13988</v>
      </c>
      <c r="D451" s="362" t="str">
        <f>'1ª EM'!$C15</f>
        <v>JOSÉ LUCAS FERNANDES DE LIMA ALMEIDA</v>
      </c>
      <c r="E451" s="249" t="str">
        <f>'1ª EM'!$D15</f>
        <v>M</v>
      </c>
      <c r="F451" s="249" t="str">
        <f>'1ª EM'!$E15</f>
        <v>MA</v>
      </c>
      <c r="G451" s="250">
        <f>'1ª EM'!$F15</f>
        <v>39191</v>
      </c>
      <c r="H451" s="362">
        <f>'1ª EM'!$G15</f>
        <v>1098519164</v>
      </c>
      <c r="I451" s="364">
        <f>'1ª EM'!$H15</f>
        <v>0</v>
      </c>
      <c r="J451" s="362"/>
      <c r="K451" s="362">
        <f>'1ª EM'!$I15</f>
        <v>0</v>
      </c>
      <c r="L451" s="250" t="str">
        <f ca="1">'1ª EM'!$J15</f>
        <v/>
      </c>
      <c r="M451" s="362"/>
      <c r="N451" s="252">
        <f ca="1">'1ª EM'!$K15</f>
        <v>18</v>
      </c>
      <c r="O451" s="362"/>
      <c r="P451" s="253" t="s">
        <v>110</v>
      </c>
      <c r="Q451" s="415" t="s">
        <v>251</v>
      </c>
      <c r="R451" s="383" t="str">
        <f>'1ª EM'!$L15</f>
        <v>Não</v>
      </c>
      <c r="S451" s="383" t="str">
        <f>'1ª EM'!$M15</f>
        <v>-</v>
      </c>
      <c r="T451" s="383" t="str">
        <f>'1ª EM'!$N15</f>
        <v>-</v>
      </c>
      <c r="U451" s="383" t="str">
        <f>'1ª EM'!$O15</f>
        <v>-</v>
      </c>
      <c r="V451" s="383" t="str">
        <f>'1ª EM'!$P15</f>
        <v>-</v>
      </c>
      <c r="W451" s="383" t="str">
        <f>'1ª EM'!$Q15</f>
        <v>-</v>
      </c>
      <c r="X451" s="383" t="str">
        <f>'1ª EM'!$R15</f>
        <v>-</v>
      </c>
      <c r="Y451" s="383" t="str">
        <f>'1ª EM'!$S15</f>
        <v>-</v>
      </c>
      <c r="Z451" s="384">
        <f>'1ª EM'!$T15</f>
        <v>0</v>
      </c>
      <c r="AA451" s="384">
        <f>'1ª EM'!$U15</f>
        <v>0</v>
      </c>
      <c r="AB451" s="385" t="s">
        <v>329</v>
      </c>
      <c r="AC451" s="385"/>
      <c r="AD451" s="435" t="s">
        <v>466</v>
      </c>
    </row>
    <row r="452" spans="1:30" ht="15.75" x14ac:dyDescent="0.25">
      <c r="A452" s="416" t="str">
        <f>RIGHT('[1]1ª EM'!$A$5:$D$5,12)</f>
        <v>1ª SÉRIE E.M</v>
      </c>
      <c r="B452" s="451">
        <v>11</v>
      </c>
      <c r="C452" s="248">
        <f>'1ª EM'!$B16</f>
        <v>18896</v>
      </c>
      <c r="D452" s="362" t="str">
        <f>'1ª EM'!$C16</f>
        <v>LARISSA DE OLIVEIRA MORAES</v>
      </c>
      <c r="E452" s="249" t="str">
        <f>'1ª EM'!$D16</f>
        <v>F</v>
      </c>
      <c r="F452" s="249" t="str">
        <f>'1ª EM'!$E16</f>
        <v>MA</v>
      </c>
      <c r="G452" s="250">
        <f>'1ª EM'!$F16</f>
        <v>39252</v>
      </c>
      <c r="H452" s="362">
        <f>'1ª EM'!$G16</f>
        <v>0</v>
      </c>
      <c r="I452" s="364" t="str">
        <f>'1ª EM'!$H16</f>
        <v>59368267-1</v>
      </c>
      <c r="J452" s="362"/>
      <c r="K452" s="362">
        <f>'1ª EM'!$I16</f>
        <v>0</v>
      </c>
      <c r="L452" s="250" t="str">
        <f>'1ª EM'!$J16</f>
        <v>DISP. TRABALHO</v>
      </c>
      <c r="M452" s="362"/>
      <c r="N452" s="252">
        <f ca="1">'1ª EM'!$K16</f>
        <v>18</v>
      </c>
      <c r="O452" s="362"/>
      <c r="P452" s="253" t="s">
        <v>110</v>
      </c>
      <c r="Q452" s="415" t="s">
        <v>251</v>
      </c>
      <c r="R452" s="383" t="str">
        <f>'1ª EM'!$L16</f>
        <v>Não</v>
      </c>
      <c r="S452" s="383" t="str">
        <f>'1ª EM'!$M16</f>
        <v>-</v>
      </c>
      <c r="T452" s="383" t="str">
        <f>'1ª EM'!$N16</f>
        <v>-</v>
      </c>
      <c r="U452" s="383" t="str">
        <f>'1ª EM'!$O16</f>
        <v>-</v>
      </c>
      <c r="V452" s="383" t="str">
        <f>'1ª EM'!$P16</f>
        <v>-</v>
      </c>
      <c r="W452" s="383" t="str">
        <f>'1ª EM'!$Q16</f>
        <v>-</v>
      </c>
      <c r="X452" s="383" t="str">
        <f>'1ª EM'!$R16</f>
        <v>-</v>
      </c>
      <c r="Y452" s="383" t="str">
        <f>'1ª EM'!$S16</f>
        <v>-</v>
      </c>
      <c r="Z452" s="384">
        <f>'1ª EM'!$T16</f>
        <v>0</v>
      </c>
      <c r="AA452" s="384">
        <f>'1ª EM'!$U16</f>
        <v>0</v>
      </c>
      <c r="AB452" s="385" t="s">
        <v>329</v>
      </c>
      <c r="AC452" s="385"/>
      <c r="AD452" s="435" t="s">
        <v>466</v>
      </c>
    </row>
    <row r="453" spans="1:30" ht="15.75" x14ac:dyDescent="0.25">
      <c r="A453" s="416" t="str">
        <f>RIGHT('[1]1ª EM'!$A$5:$D$5,12)</f>
        <v>1ª SÉRIE E.M</v>
      </c>
      <c r="B453" s="451">
        <v>12</v>
      </c>
      <c r="C453" s="248">
        <f>'1ª EM'!$B17</f>
        <v>18534</v>
      </c>
      <c r="D453" s="362" t="str">
        <f>'1ª EM'!$C17</f>
        <v>LUCAS RANIERE LUCIO DA SILVA SANTOS</v>
      </c>
      <c r="E453" s="249" t="str">
        <f>'1ª EM'!$D17</f>
        <v>M</v>
      </c>
      <c r="F453" s="249" t="str">
        <f>'1ª EM'!$E17</f>
        <v>MA</v>
      </c>
      <c r="G453" s="250">
        <f>'1ª EM'!$F17</f>
        <v>34824</v>
      </c>
      <c r="H453" s="362" t="str">
        <f>'1ª EM'!$G17</f>
        <v>110431248-7</v>
      </c>
      <c r="I453" s="364" t="str">
        <f>'1ª EM'!$H17</f>
        <v>56165597-2</v>
      </c>
      <c r="J453" s="362"/>
      <c r="K453" s="362">
        <f>'1ª EM'!$I17</f>
        <v>0</v>
      </c>
      <c r="L453" s="250" t="str">
        <f>'1ª EM'!$J17</f>
        <v>DISP. TRABALHO</v>
      </c>
      <c r="M453" s="362"/>
      <c r="N453" s="252">
        <f ca="1">'1ª EM'!$K17</f>
        <v>30</v>
      </c>
      <c r="O453" s="362"/>
      <c r="P453" s="253" t="s">
        <v>110</v>
      </c>
      <c r="Q453" s="415" t="s">
        <v>251</v>
      </c>
      <c r="R453" s="383" t="str">
        <f>'1ª EM'!$L17</f>
        <v>Não</v>
      </c>
      <c r="S453" s="383" t="str">
        <f>'1ª EM'!$M17</f>
        <v>-</v>
      </c>
      <c r="T453" s="383" t="str">
        <f>'1ª EM'!$N17</f>
        <v>-</v>
      </c>
      <c r="U453" s="383" t="str">
        <f>'1ª EM'!$O17</f>
        <v>-</v>
      </c>
      <c r="V453" s="383" t="str">
        <f>'1ª EM'!$P17</f>
        <v>-</v>
      </c>
      <c r="W453" s="383" t="str">
        <f>'1ª EM'!$Q17</f>
        <v>-</v>
      </c>
      <c r="X453" s="383" t="str">
        <f>'1ª EM'!$R17</f>
        <v>-</v>
      </c>
      <c r="Y453" s="383" t="str">
        <f>'1ª EM'!$S17</f>
        <v>-</v>
      </c>
      <c r="Z453" s="384">
        <f>'1ª EM'!$T17</f>
        <v>0</v>
      </c>
      <c r="AA453" s="384">
        <f>'1ª EM'!$U17</f>
        <v>0</v>
      </c>
      <c r="AB453" s="385" t="s">
        <v>329</v>
      </c>
      <c r="AC453" s="385"/>
      <c r="AD453" s="435" t="s">
        <v>466</v>
      </c>
    </row>
    <row r="454" spans="1:30" ht="15.75" x14ac:dyDescent="0.25">
      <c r="A454" s="416" t="str">
        <f>RIGHT('[1]1ª EM'!$A$5:$D$5,12)</f>
        <v>1ª SÉRIE E.M</v>
      </c>
      <c r="B454" s="451">
        <v>13</v>
      </c>
      <c r="C454" s="248">
        <f>'1ª EM'!$B18</f>
        <v>15276</v>
      </c>
      <c r="D454" s="362" t="str">
        <f>'1ª EM'!$C18</f>
        <v>LUIS GUSTAVO COSTA SILVA</v>
      </c>
      <c r="E454" s="249" t="str">
        <f>'1ª EM'!$D18</f>
        <v>M</v>
      </c>
      <c r="F454" s="249" t="str">
        <f>'1ª EM'!$E18</f>
        <v>MA</v>
      </c>
      <c r="G454" s="250">
        <f>'1ª EM'!$F18</f>
        <v>39102</v>
      </c>
      <c r="H454" s="362" t="str">
        <f>'1ª EM'!$G18</f>
        <v>113268824-3</v>
      </c>
      <c r="I454" s="364" t="str">
        <f>'1ª EM'!$H18</f>
        <v>60206334-6</v>
      </c>
      <c r="J454" s="362"/>
      <c r="K454" s="362">
        <f>'1ª EM'!$I18</f>
        <v>0</v>
      </c>
      <c r="L454" s="250" t="str">
        <f ca="1">'1ª EM'!$J18</f>
        <v/>
      </c>
      <c r="M454" s="362"/>
      <c r="N454" s="252">
        <f ca="1">'1ª EM'!$K18</f>
        <v>18</v>
      </c>
      <c r="O454" s="362"/>
      <c r="P454" s="253" t="s">
        <v>110</v>
      </c>
      <c r="Q454" s="415" t="s">
        <v>251</v>
      </c>
      <c r="R454" s="383" t="str">
        <f>'1ª EM'!$L18</f>
        <v>Não</v>
      </c>
      <c r="S454" s="383" t="str">
        <f>'1ª EM'!$M18</f>
        <v>-</v>
      </c>
      <c r="T454" s="383" t="str">
        <f>'1ª EM'!$N18</f>
        <v>-</v>
      </c>
      <c r="U454" s="383" t="str">
        <f>'1ª EM'!$O18</f>
        <v>-</v>
      </c>
      <c r="V454" s="383" t="str">
        <f>'1ª EM'!$P18</f>
        <v>-</v>
      </c>
      <c r="W454" s="383" t="str">
        <f>'1ª EM'!$Q18</f>
        <v>-</v>
      </c>
      <c r="X454" s="383" t="str">
        <f>'1ª EM'!$R18</f>
        <v>-</v>
      </c>
      <c r="Y454" s="383" t="str">
        <f>'1ª EM'!$S18</f>
        <v>-</v>
      </c>
      <c r="Z454" s="384">
        <f>'1ª EM'!$T18</f>
        <v>0</v>
      </c>
      <c r="AA454" s="384">
        <f>'1ª EM'!$U18</f>
        <v>0</v>
      </c>
      <c r="AB454" s="385" t="s">
        <v>329</v>
      </c>
      <c r="AC454" s="385"/>
      <c r="AD454" s="435" t="s">
        <v>466</v>
      </c>
    </row>
    <row r="455" spans="1:30" ht="15.75" x14ac:dyDescent="0.25">
      <c r="A455" s="416" t="str">
        <f>RIGHT('[1]1ª EM'!$A$5:$D$5,12)</f>
        <v>1ª SÉRIE E.M</v>
      </c>
      <c r="B455" s="451">
        <v>14</v>
      </c>
      <c r="C455" s="248">
        <f>'1ª EM'!$B19</f>
        <v>18140</v>
      </c>
      <c r="D455" s="362" t="str">
        <f>'1ª EM'!$C19</f>
        <v>MARCELO DE SOUSA SILVA</v>
      </c>
      <c r="E455" s="249" t="str">
        <f>'1ª EM'!$D19</f>
        <v>M</v>
      </c>
      <c r="F455" s="249" t="str">
        <f>'1ª EM'!$E19</f>
        <v>MA</v>
      </c>
      <c r="G455" s="250">
        <f>'1ª EM'!$F19</f>
        <v>29821</v>
      </c>
      <c r="H455" s="362" t="str">
        <f>'1ª EM'!$G19</f>
        <v>33876244-9</v>
      </c>
      <c r="I455" s="364" t="str">
        <f>'1ª EM'!$H19</f>
        <v>33876244-9</v>
      </c>
      <c r="J455" s="362"/>
      <c r="K455" s="362">
        <f>'1ª EM'!$I19</f>
        <v>0</v>
      </c>
      <c r="L455" s="250" t="str">
        <f ca="1">'1ª EM'!$J19</f>
        <v>DISP.IDADE</v>
      </c>
      <c r="M455" s="362"/>
      <c r="N455" s="252">
        <f ca="1">'1ª EM'!$K19</f>
        <v>44</v>
      </c>
      <c r="O455" s="362"/>
      <c r="P455" s="253" t="s">
        <v>110</v>
      </c>
      <c r="Q455" s="415" t="s">
        <v>251</v>
      </c>
      <c r="R455" s="383" t="str">
        <f>'1ª EM'!$L19</f>
        <v>Não</v>
      </c>
      <c r="S455" s="383" t="str">
        <f>'1ª EM'!$M19</f>
        <v>-</v>
      </c>
      <c r="T455" s="383" t="str">
        <f>'1ª EM'!$N19</f>
        <v>-</v>
      </c>
      <c r="U455" s="383" t="str">
        <f>'1ª EM'!$O19</f>
        <v>-</v>
      </c>
      <c r="V455" s="383" t="str">
        <f>'1ª EM'!$P19</f>
        <v>-</v>
      </c>
      <c r="W455" s="383" t="str">
        <f>'1ª EM'!$Q19</f>
        <v>-</v>
      </c>
      <c r="X455" s="383" t="str">
        <f>'1ª EM'!$R19</f>
        <v>-</v>
      </c>
      <c r="Y455" s="383" t="str">
        <f>'1ª EM'!$S19</f>
        <v>-</v>
      </c>
      <c r="Z455" s="384">
        <f>'1ª EM'!$T19</f>
        <v>0</v>
      </c>
      <c r="AA455" s="384">
        <f>'1ª EM'!$U19</f>
        <v>0</v>
      </c>
      <c r="AB455" s="385" t="s">
        <v>329</v>
      </c>
      <c r="AC455" s="385"/>
      <c r="AD455" s="435" t="s">
        <v>466</v>
      </c>
    </row>
    <row r="456" spans="1:30" ht="15.75" x14ac:dyDescent="0.25">
      <c r="A456" s="416" t="str">
        <f>RIGHT('[1]1ª EM'!$A$5:$D$5,12)</f>
        <v>1ª SÉRIE E.M</v>
      </c>
      <c r="B456" s="451">
        <v>15</v>
      </c>
      <c r="C456" s="248">
        <f>'1ª EM'!$B20</f>
        <v>18898</v>
      </c>
      <c r="D456" s="362" t="str">
        <f>'1ª EM'!$C20</f>
        <v>MARCELO LUIS GUIMARAES BARBOSA</v>
      </c>
      <c r="E456" s="249" t="str">
        <f>'1ª EM'!$D20</f>
        <v>M</v>
      </c>
      <c r="F456" s="249" t="str">
        <f>'1ª EM'!$E20</f>
        <v>MA</v>
      </c>
      <c r="G456" s="250">
        <f>'1ª EM'!$F20</f>
        <v>29386</v>
      </c>
      <c r="H456" s="362">
        <f>'1ª EM'!$G20</f>
        <v>0</v>
      </c>
      <c r="I456" s="364" t="str">
        <f>'1ª EM'!$H20</f>
        <v>32352901-1</v>
      </c>
      <c r="J456" s="362"/>
      <c r="K456" s="362">
        <f>'1ª EM'!$I20</f>
        <v>0</v>
      </c>
      <c r="L456" s="250" t="str">
        <f ca="1">'1ª EM'!$J20</f>
        <v>DISP.IDADE</v>
      </c>
      <c r="M456" s="362"/>
      <c r="N456" s="252">
        <f ca="1">'1ª EM'!$K20</f>
        <v>45</v>
      </c>
      <c r="O456" s="362"/>
      <c r="P456" s="253" t="s">
        <v>110</v>
      </c>
      <c r="Q456" s="415" t="s">
        <v>251</v>
      </c>
      <c r="R456" s="383" t="str">
        <f>'1ª EM'!$L20</f>
        <v>Não</v>
      </c>
      <c r="S456" s="383" t="str">
        <f>'1ª EM'!$M20</f>
        <v>-</v>
      </c>
      <c r="T456" s="383" t="str">
        <f>'1ª EM'!$N20</f>
        <v>-</v>
      </c>
      <c r="U456" s="383" t="str">
        <f>'1ª EM'!$O20</f>
        <v>-</v>
      </c>
      <c r="V456" s="383" t="str">
        <f>'1ª EM'!$P20</f>
        <v>-</v>
      </c>
      <c r="W456" s="383" t="str">
        <f>'1ª EM'!$Q20</f>
        <v>-</v>
      </c>
      <c r="X456" s="383" t="str">
        <f>'1ª EM'!$R20</f>
        <v>-</v>
      </c>
      <c r="Y456" s="383" t="str">
        <f>'1ª EM'!$S20</f>
        <v>-</v>
      </c>
      <c r="Z456" s="384">
        <f>'1ª EM'!$T20</f>
        <v>0</v>
      </c>
      <c r="AA456" s="384">
        <f>'1ª EM'!$U20</f>
        <v>0</v>
      </c>
      <c r="AB456" s="385" t="s">
        <v>329</v>
      </c>
      <c r="AC456" s="385"/>
      <c r="AD456" s="435" t="s">
        <v>466</v>
      </c>
    </row>
    <row r="457" spans="1:30" ht="15.75" x14ac:dyDescent="0.25">
      <c r="A457" s="416" t="str">
        <f>RIGHT('[1]1ª EM'!$A$5:$D$5,12)</f>
        <v>1ª SÉRIE E.M</v>
      </c>
      <c r="B457" s="451">
        <v>16</v>
      </c>
      <c r="C457" s="248">
        <f>'1ª EM'!$B21</f>
        <v>18913</v>
      </c>
      <c r="D457" s="362" t="str">
        <f>'1ª EM'!$C21</f>
        <v>MARIA DE LOURDES CAVALCANTI CERQUEIRA LEITE</v>
      </c>
      <c r="E457" s="249" t="str">
        <f>'1ª EM'!$D21</f>
        <v>F</v>
      </c>
      <c r="F457" s="249" t="str">
        <f>'1ª EM'!$E21</f>
        <v>MA</v>
      </c>
      <c r="G457" s="250">
        <f>'1ª EM'!$F21</f>
        <v>23927</v>
      </c>
      <c r="H457" s="362">
        <f>'1ª EM'!$G21</f>
        <v>1212465945</v>
      </c>
      <c r="I457" s="364">
        <f>'1ª EM'!$H21</f>
        <v>0</v>
      </c>
      <c r="J457" s="362"/>
      <c r="K457" s="362">
        <f>'1ª EM'!$I21</f>
        <v>0</v>
      </c>
      <c r="L457" s="250" t="str">
        <f ca="1">'1ª EM'!$J21</f>
        <v>DISP.IDADE</v>
      </c>
      <c r="M457" s="362"/>
      <c r="N457" s="252">
        <f ca="1">'1ª EM'!$K21</f>
        <v>60</v>
      </c>
      <c r="O457" s="362"/>
      <c r="P457" s="253" t="s">
        <v>110</v>
      </c>
      <c r="Q457" s="415" t="s">
        <v>251</v>
      </c>
      <c r="R457" s="383" t="str">
        <f>'1ª EM'!$L21</f>
        <v>Não</v>
      </c>
      <c r="S457" s="383" t="str">
        <f>'1ª EM'!$M21</f>
        <v>-</v>
      </c>
      <c r="T457" s="383" t="str">
        <f>'1ª EM'!$N21</f>
        <v>-</v>
      </c>
      <c r="U457" s="383" t="str">
        <f>'1ª EM'!$O21</f>
        <v>-</v>
      </c>
      <c r="V457" s="383" t="str">
        <f>'1ª EM'!$P21</f>
        <v>-</v>
      </c>
      <c r="W457" s="383" t="str">
        <f>'1ª EM'!$Q21</f>
        <v>-</v>
      </c>
      <c r="X457" s="383" t="str">
        <f>'1ª EM'!$R21</f>
        <v>-</v>
      </c>
      <c r="Y457" s="383" t="str">
        <f>'1ª EM'!$S21</f>
        <v>-</v>
      </c>
      <c r="Z457" s="384">
        <f>'1ª EM'!$T21</f>
        <v>0</v>
      </c>
      <c r="AA457" s="384">
        <f>'1ª EM'!$U21</f>
        <v>0</v>
      </c>
      <c r="AB457" s="385" t="s">
        <v>329</v>
      </c>
      <c r="AC457" s="385"/>
      <c r="AD457" s="435" t="s">
        <v>466</v>
      </c>
    </row>
    <row r="458" spans="1:30" ht="15.75" x14ac:dyDescent="0.25">
      <c r="A458" s="416" t="str">
        <f>RIGHT('[1]1ª EM'!$A$5:$D$5,12)</f>
        <v>1ª SÉRIE E.M</v>
      </c>
      <c r="B458" s="451">
        <v>17</v>
      </c>
      <c r="C458" s="248">
        <f>'1ª EM'!$B22</f>
        <v>18901</v>
      </c>
      <c r="D458" s="362" t="str">
        <f>'1ª EM'!$C22</f>
        <v>NATALIA APARECIDA LOPEZ SIMPLINI</v>
      </c>
      <c r="E458" s="249" t="str">
        <f>'1ª EM'!$D22</f>
        <v>F</v>
      </c>
      <c r="F458" s="249" t="str">
        <f>'1ª EM'!$E22</f>
        <v>MA</v>
      </c>
      <c r="G458" s="250">
        <f>'1ª EM'!$F22</f>
        <v>31133</v>
      </c>
      <c r="H458" s="362">
        <f>'1ª EM'!$G22</f>
        <v>0</v>
      </c>
      <c r="I458" s="364" t="str">
        <f>'1ª EM'!$H22</f>
        <v>45582017-X</v>
      </c>
      <c r="J458" s="362"/>
      <c r="K458" s="362">
        <f>'1ª EM'!$I22</f>
        <v>0</v>
      </c>
      <c r="L458" s="250" t="str">
        <f ca="1">'1ª EM'!$J22</f>
        <v>DISP.IDADE</v>
      </c>
      <c r="M458" s="362"/>
      <c r="N458" s="252">
        <f ca="1">'1ª EM'!$K22</f>
        <v>40</v>
      </c>
      <c r="O458" s="362"/>
      <c r="P458" s="253" t="s">
        <v>110</v>
      </c>
      <c r="Q458" s="415" t="s">
        <v>251</v>
      </c>
      <c r="R458" s="383" t="str">
        <f>'1ª EM'!$L22</f>
        <v>Não</v>
      </c>
      <c r="S458" s="383" t="str">
        <f>'1ª EM'!$M22</f>
        <v>-</v>
      </c>
      <c r="T458" s="383" t="str">
        <f>'1ª EM'!$N22</f>
        <v>-</v>
      </c>
      <c r="U458" s="383" t="str">
        <f>'1ª EM'!$O22</f>
        <v>-</v>
      </c>
      <c r="V458" s="383" t="str">
        <f>'1ª EM'!$P22</f>
        <v>-</v>
      </c>
      <c r="W458" s="383" t="str">
        <f>'1ª EM'!$Q22</f>
        <v>-</v>
      </c>
      <c r="X458" s="383" t="str">
        <f>'1ª EM'!$R22</f>
        <v>-</v>
      </c>
      <c r="Y458" s="383" t="str">
        <f>'1ª EM'!$S22</f>
        <v>-</v>
      </c>
      <c r="Z458" s="384">
        <f>'1ª EM'!$T22</f>
        <v>0</v>
      </c>
      <c r="AA458" s="384">
        <f>'1ª EM'!$U22</f>
        <v>0</v>
      </c>
      <c r="AB458" s="385" t="s">
        <v>329</v>
      </c>
      <c r="AC458" s="385"/>
      <c r="AD458" s="435" t="s">
        <v>466</v>
      </c>
    </row>
    <row r="459" spans="1:30" ht="15.75" x14ac:dyDescent="0.25">
      <c r="A459" s="416" t="str">
        <f>RIGHT('[1]1ª EM'!$A$5:$D$5,12)</f>
        <v>1ª SÉRIE E.M</v>
      </c>
      <c r="B459" s="451">
        <v>18</v>
      </c>
      <c r="C459" s="248">
        <f>'1ª EM'!$B23</f>
        <v>18309</v>
      </c>
      <c r="D459" s="362" t="str">
        <f>'1ª EM'!$C23</f>
        <v>ROSELENE PEREIRA DA SILVA</v>
      </c>
      <c r="E459" s="249" t="str">
        <f>'1ª EM'!$D23</f>
        <v>F</v>
      </c>
      <c r="F459" s="249" t="str">
        <f>'1ª EM'!$E23</f>
        <v>MA</v>
      </c>
      <c r="G459" s="250">
        <f>'1ª EM'!$F23</f>
        <v>32317</v>
      </c>
      <c r="H459" s="362">
        <f>'1ª EM'!$G23</f>
        <v>0</v>
      </c>
      <c r="I459" s="364" t="str">
        <f>'1ª EM'!$H23</f>
        <v>32635145-0</v>
      </c>
      <c r="J459" s="362"/>
      <c r="K459" s="362">
        <f>'1ª EM'!$I23</f>
        <v>0</v>
      </c>
      <c r="L459" s="250" t="str">
        <f ca="1">'1ª EM'!$J23</f>
        <v>DISP.IDADE</v>
      </c>
      <c r="M459" s="362"/>
      <c r="N459" s="252">
        <f ca="1">'1ª EM'!$K23</f>
        <v>37</v>
      </c>
      <c r="O459" s="362"/>
      <c r="P459" s="253" t="s">
        <v>110</v>
      </c>
      <c r="Q459" s="415" t="s">
        <v>251</v>
      </c>
      <c r="R459" s="383" t="str">
        <f>'1ª EM'!$L23</f>
        <v>Não</v>
      </c>
      <c r="S459" s="383" t="str">
        <f>'1ª EM'!$M23</f>
        <v>-</v>
      </c>
      <c r="T459" s="383" t="str">
        <f>'1ª EM'!$N23</f>
        <v>-</v>
      </c>
      <c r="U459" s="383" t="str">
        <f>'1ª EM'!$O23</f>
        <v>-</v>
      </c>
      <c r="V459" s="383" t="str">
        <f>'1ª EM'!$P23</f>
        <v>-</v>
      </c>
      <c r="W459" s="383" t="str">
        <f>'1ª EM'!$Q23</f>
        <v>-</v>
      </c>
      <c r="X459" s="383" t="str">
        <f>'1ª EM'!$R23</f>
        <v>-</v>
      </c>
      <c r="Y459" s="383" t="str">
        <f>'1ª EM'!$S23</f>
        <v>-</v>
      </c>
      <c r="Z459" s="384">
        <f>'1ª EM'!$T23</f>
        <v>0</v>
      </c>
      <c r="AA459" s="384">
        <f>'1ª EM'!$U23</f>
        <v>0</v>
      </c>
      <c r="AB459" s="385" t="s">
        <v>329</v>
      </c>
      <c r="AC459" s="385"/>
      <c r="AD459" s="435" t="s">
        <v>466</v>
      </c>
    </row>
    <row r="460" spans="1:30" ht="15.75" x14ac:dyDescent="0.25">
      <c r="A460" s="416" t="str">
        <f>RIGHT('[1]1ª EM'!$A$5:$D$5,12)</f>
        <v>1ª SÉRIE E.M</v>
      </c>
      <c r="B460" s="451">
        <v>19</v>
      </c>
      <c r="C460" s="248">
        <f>'1ª EM'!$B24</f>
        <v>14616</v>
      </c>
      <c r="D460" s="362" t="str">
        <f>'1ª EM'!$C24</f>
        <v>SARAH BEATRIZ COSTA SOUSA</v>
      </c>
      <c r="E460" s="249" t="str">
        <f>'1ª EM'!$D24</f>
        <v>F</v>
      </c>
      <c r="F460" s="249" t="str">
        <f>'1ª EM'!$E24</f>
        <v>MA</v>
      </c>
      <c r="G460" s="250">
        <f>'1ª EM'!$F24</f>
        <v>39181</v>
      </c>
      <c r="H460" s="362">
        <f>'1ª EM'!$G24</f>
        <v>0</v>
      </c>
      <c r="I460" s="364" t="str">
        <f>'1ª EM'!$H24</f>
        <v>63269396-4</v>
      </c>
      <c r="J460" s="362"/>
      <c r="K460" s="362">
        <f>'1ª EM'!$I24</f>
        <v>0</v>
      </c>
      <c r="L460" s="250" t="str">
        <f ca="1">'1ª EM'!$J24</f>
        <v/>
      </c>
      <c r="M460" s="362"/>
      <c r="N460" s="252">
        <f ca="1">'1ª EM'!$K24</f>
        <v>18</v>
      </c>
      <c r="O460" s="362"/>
      <c r="P460" s="253" t="s">
        <v>110</v>
      </c>
      <c r="Q460" s="415" t="s">
        <v>251</v>
      </c>
      <c r="R460" s="383" t="str">
        <f>'1ª EM'!$L24</f>
        <v>Não</v>
      </c>
      <c r="S460" s="383" t="str">
        <f>'1ª EM'!$M24</f>
        <v>-</v>
      </c>
      <c r="T460" s="383" t="str">
        <f>'1ª EM'!$N24</f>
        <v>-</v>
      </c>
      <c r="U460" s="383" t="str">
        <f>'1ª EM'!$O24</f>
        <v>-</v>
      </c>
      <c r="V460" s="383" t="str">
        <f>'1ª EM'!$P24</f>
        <v>-</v>
      </c>
      <c r="W460" s="383" t="str">
        <f>'1ª EM'!$Q24</f>
        <v>-</v>
      </c>
      <c r="X460" s="383" t="str">
        <f>'1ª EM'!$R24</f>
        <v>-</v>
      </c>
      <c r="Y460" s="383" t="str">
        <f>'1ª EM'!$S24</f>
        <v>-</v>
      </c>
      <c r="Z460" s="384">
        <f>'1ª EM'!$T24</f>
        <v>0</v>
      </c>
      <c r="AA460" s="384">
        <f>'1ª EM'!$U24</f>
        <v>0</v>
      </c>
      <c r="AB460" s="385" t="s">
        <v>329</v>
      </c>
      <c r="AC460" s="385"/>
      <c r="AD460" s="435" t="s">
        <v>466</v>
      </c>
    </row>
    <row r="461" spans="1:30" ht="15.75" x14ac:dyDescent="0.25">
      <c r="A461" s="416" t="str">
        <f>RIGHT('[1]1ª EM'!$A$5:$D$5,12)</f>
        <v>1ª SÉRIE E.M</v>
      </c>
      <c r="B461" s="451">
        <v>20</v>
      </c>
      <c r="C461" s="248">
        <f>'1ª EM'!$B25</f>
        <v>18894</v>
      </c>
      <c r="D461" s="362" t="str">
        <f>'1ª EM'!$C25</f>
        <v>VANDERLI MARIA SILVA MARQUES</v>
      </c>
      <c r="E461" s="249" t="str">
        <f>'1ª EM'!$D25</f>
        <v>F</v>
      </c>
      <c r="F461" s="249" t="str">
        <f>'1ª EM'!$E25</f>
        <v>MC</v>
      </c>
      <c r="G461" s="250">
        <f>'1ª EM'!$F25</f>
        <v>23006</v>
      </c>
      <c r="H461" s="362">
        <f>'1ª EM'!$G25</f>
        <v>0</v>
      </c>
      <c r="I461" s="364" t="str">
        <f>'1ª EM'!$H25</f>
        <v>33072703-5</v>
      </c>
      <c r="J461" s="362"/>
      <c r="K461" s="362" t="str">
        <f>'1ª EM'!$I25</f>
        <v>MC - 04/08</v>
      </c>
      <c r="L461" s="250" t="str">
        <f ca="1">'1ª EM'!$J25</f>
        <v>DISP.IDADE</v>
      </c>
      <c r="M461" s="362"/>
      <c r="N461" s="252">
        <f ca="1">'1ª EM'!$K25</f>
        <v>62</v>
      </c>
      <c r="O461" s="362"/>
      <c r="P461" s="253" t="s">
        <v>110</v>
      </c>
      <c r="Q461" s="415" t="s">
        <v>251</v>
      </c>
      <c r="R461" s="383" t="str">
        <f>'1ª EM'!$L25</f>
        <v>Não</v>
      </c>
      <c r="S461" s="383" t="str">
        <f>'1ª EM'!$M25</f>
        <v>-</v>
      </c>
      <c r="T461" s="383" t="str">
        <f>'1ª EM'!$N25</f>
        <v>-</v>
      </c>
      <c r="U461" s="383" t="str">
        <f>'1ª EM'!$O25</f>
        <v>-</v>
      </c>
      <c r="V461" s="383" t="str">
        <f>'1ª EM'!$P25</f>
        <v>-</v>
      </c>
      <c r="W461" s="383" t="str">
        <f>'1ª EM'!$Q25</f>
        <v>-</v>
      </c>
      <c r="X461" s="383" t="str">
        <f>'1ª EM'!$R25</f>
        <v>-</v>
      </c>
      <c r="Y461" s="383" t="str">
        <f>'1ª EM'!$S25</f>
        <v>-</v>
      </c>
      <c r="Z461" s="384" t="str">
        <f>'1ª EM'!$T25</f>
        <v>Sem Informação</v>
      </c>
      <c r="AA461" s="384" t="str">
        <f>'1ª EM'!$U25</f>
        <v>MC por Solicitação do Responsavel</v>
      </c>
      <c r="AB461" s="385" t="s">
        <v>329</v>
      </c>
      <c r="AC461" s="385"/>
      <c r="AD461" s="435" t="s">
        <v>466</v>
      </c>
    </row>
    <row r="462" spans="1:30" ht="15.75" x14ac:dyDescent="0.25">
      <c r="A462" s="416" t="str">
        <f>RIGHT('[1]1ª EM'!$A$5:$D$5,12)</f>
        <v>1ª SÉRIE E.M</v>
      </c>
      <c r="B462" s="451">
        <v>21</v>
      </c>
      <c r="C462" s="248">
        <f>'1ª EM'!$B26</f>
        <v>18479</v>
      </c>
      <c r="D462" s="362" t="str">
        <f>'1ª EM'!$C26</f>
        <v>VITOR GABRIEL DOS SANTOS</v>
      </c>
      <c r="E462" s="249" t="str">
        <f>'1ª EM'!$D26</f>
        <v>M</v>
      </c>
      <c r="F462" s="249" t="str">
        <f>'1ª EM'!$E26</f>
        <v>MA</v>
      </c>
      <c r="G462" s="250">
        <f>'1ª EM'!$F26</f>
        <v>38824</v>
      </c>
      <c r="H462" s="362" t="str">
        <f>'1ª EM'!$G26</f>
        <v>109839956-0</v>
      </c>
      <c r="I462" s="364" t="str">
        <f>'1ª EM'!$H26</f>
        <v>65654232-9</v>
      </c>
      <c r="J462" s="362"/>
      <c r="K462" s="362">
        <f>'1ª EM'!$I26</f>
        <v>0</v>
      </c>
      <c r="L462" s="250" t="str">
        <f ca="1">'1ª EM'!$J26</f>
        <v/>
      </c>
      <c r="M462" s="362"/>
      <c r="N462" s="252">
        <f ca="1">'1ª EM'!$K26</f>
        <v>19</v>
      </c>
      <c r="O462" s="362"/>
      <c r="P462" s="253" t="s">
        <v>110</v>
      </c>
      <c r="Q462" s="415" t="s">
        <v>251</v>
      </c>
      <c r="R462" s="383" t="str">
        <f>'1ª EM'!$L26</f>
        <v>Não</v>
      </c>
      <c r="S462" s="383" t="str">
        <f>'1ª EM'!$M26</f>
        <v>-</v>
      </c>
      <c r="T462" s="383" t="str">
        <f>'1ª EM'!$N26</f>
        <v>-</v>
      </c>
      <c r="U462" s="383" t="str">
        <f>'1ª EM'!$O26</f>
        <v>-</v>
      </c>
      <c r="V462" s="383" t="str">
        <f>'1ª EM'!$P26</f>
        <v>-</v>
      </c>
      <c r="W462" s="383" t="str">
        <f>'1ª EM'!$Q26</f>
        <v>-</v>
      </c>
      <c r="X462" s="383" t="str">
        <f>'1ª EM'!$R26</f>
        <v>-</v>
      </c>
      <c r="Y462" s="383" t="str">
        <f>'1ª EM'!$S26</f>
        <v>-</v>
      </c>
      <c r="Z462" s="384">
        <f>'1ª EM'!$T26</f>
        <v>0</v>
      </c>
      <c r="AA462" s="384">
        <f>'1ª EM'!$U26</f>
        <v>0</v>
      </c>
      <c r="AB462" s="385" t="s">
        <v>329</v>
      </c>
      <c r="AC462" s="385"/>
      <c r="AD462" s="435" t="s">
        <v>466</v>
      </c>
    </row>
    <row r="463" spans="1:30" ht="15.75" x14ac:dyDescent="0.25">
      <c r="A463" s="416" t="str">
        <f>RIGHT('[1]1ª EM'!$A$5:$D$5,12)</f>
        <v>1ª SÉRIE E.M</v>
      </c>
      <c r="B463" s="451">
        <v>22</v>
      </c>
      <c r="C463" s="248">
        <f>'1ª EM'!$B27</f>
        <v>18532</v>
      </c>
      <c r="D463" s="362" t="str">
        <f>'1ª EM'!$C27</f>
        <v xml:space="preserve">WILLIGTON FRANCISCO DE MELO </v>
      </c>
      <c r="E463" s="249" t="str">
        <f>'1ª EM'!$D27</f>
        <v>M</v>
      </c>
      <c r="F463" s="249" t="str">
        <f>'1ª EM'!$E27</f>
        <v>MA</v>
      </c>
      <c r="G463" s="250">
        <f>'1ª EM'!$F27</f>
        <v>27456</v>
      </c>
      <c r="H463" s="362" t="str">
        <f>'1ª EM'!$G27</f>
        <v>104151881-X</v>
      </c>
      <c r="I463" s="364" t="str">
        <f>'1ª EM'!$H27</f>
        <v>25618282-6</v>
      </c>
      <c r="J463" s="362"/>
      <c r="K463" s="362">
        <f>'1ª EM'!$I27</f>
        <v>0</v>
      </c>
      <c r="L463" s="250" t="str">
        <f ca="1">'1ª EM'!$J27</f>
        <v>DISP.IDADE</v>
      </c>
      <c r="M463" s="362"/>
      <c r="N463" s="252">
        <f ca="1">'1ª EM'!$K27</f>
        <v>50</v>
      </c>
      <c r="O463" s="362"/>
      <c r="P463" s="253" t="s">
        <v>110</v>
      </c>
      <c r="Q463" s="415" t="s">
        <v>251</v>
      </c>
      <c r="R463" s="383" t="str">
        <f>'1ª EM'!$L27</f>
        <v>Não</v>
      </c>
      <c r="S463" s="383" t="str">
        <f>'1ª EM'!$M27</f>
        <v>-</v>
      </c>
      <c r="T463" s="383" t="str">
        <f>'1ª EM'!$N27</f>
        <v>-</v>
      </c>
      <c r="U463" s="383" t="str">
        <f>'1ª EM'!$O27</f>
        <v>-</v>
      </c>
      <c r="V463" s="383" t="str">
        <f>'1ª EM'!$P27</f>
        <v>-</v>
      </c>
      <c r="W463" s="383" t="str">
        <f>'1ª EM'!$Q27</f>
        <v>-</v>
      </c>
      <c r="X463" s="383" t="str">
        <f>'1ª EM'!$R27</f>
        <v>-</v>
      </c>
      <c r="Y463" s="383" t="str">
        <f>'1ª EM'!$S27</f>
        <v>-</v>
      </c>
      <c r="Z463" s="384">
        <f>'1ª EM'!$T27</f>
        <v>0</v>
      </c>
      <c r="AA463" s="384">
        <f>'1ª EM'!$U27</f>
        <v>0</v>
      </c>
      <c r="AB463" s="385" t="s">
        <v>329</v>
      </c>
      <c r="AC463" s="385"/>
      <c r="AD463" s="435" t="s">
        <v>466</v>
      </c>
    </row>
    <row r="464" spans="1:30" ht="15.75" x14ac:dyDescent="0.25">
      <c r="A464" s="416" t="str">
        <f>RIGHT('[1]1ª EM'!$A$5:$D$5,12)</f>
        <v>1ª SÉRIE E.M</v>
      </c>
      <c r="B464" s="451">
        <v>23</v>
      </c>
      <c r="C464" s="248">
        <f>'1ª EM'!$B28</f>
        <v>16662</v>
      </c>
      <c r="D464" s="362" t="str">
        <f>'1ª EM'!$C28</f>
        <v>JOSE VITOR RAMOS SALVINO</v>
      </c>
      <c r="E464" s="249" t="str">
        <f>'1ª EM'!$D28</f>
        <v>M</v>
      </c>
      <c r="F464" s="249" t="str">
        <f>'1ª EM'!$E28</f>
        <v>MA</v>
      </c>
      <c r="G464" s="250">
        <f>'1ª EM'!$F28</f>
        <v>38341</v>
      </c>
      <c r="H464" s="362" t="str">
        <f>'1ª EM'!$G28</f>
        <v>105199593-0</v>
      </c>
      <c r="I464" s="364">
        <f>'1ª EM'!$H28</f>
        <v>0</v>
      </c>
      <c r="J464" s="362"/>
      <c r="K464" s="362" t="str">
        <f>'1ª EM'!$I28</f>
        <v>TR 19/08</v>
      </c>
      <c r="L464" s="250" t="str">
        <f ca="1">'1ª EM'!$J28</f>
        <v/>
      </c>
      <c r="M464" s="362"/>
      <c r="N464" s="252">
        <f ca="1">'1ª EM'!$K28</f>
        <v>20</v>
      </c>
      <c r="O464" s="362"/>
      <c r="P464" s="253" t="s">
        <v>110</v>
      </c>
      <c r="Q464" s="415" t="s">
        <v>251</v>
      </c>
      <c r="R464" s="383" t="str">
        <f>'1ª EM'!$L28</f>
        <v>Não</v>
      </c>
      <c r="S464" s="383" t="str">
        <f>'1ª EM'!$M28</f>
        <v>-</v>
      </c>
      <c r="T464" s="383" t="str">
        <f>'1ª EM'!$N28</f>
        <v>-</v>
      </c>
      <c r="U464" s="383" t="str">
        <f>'1ª EM'!$O28</f>
        <v>-</v>
      </c>
      <c r="V464" s="383" t="str">
        <f>'1ª EM'!$P28</f>
        <v>-</v>
      </c>
      <c r="W464" s="383" t="str">
        <f>'1ª EM'!$Q28</f>
        <v>-</v>
      </c>
      <c r="X464" s="383" t="str">
        <f>'1ª EM'!$R28</f>
        <v>-</v>
      </c>
      <c r="Y464" s="383" t="str">
        <f>'1ª EM'!$S28</f>
        <v>-</v>
      </c>
      <c r="Z464" s="384">
        <f>'1ª EM'!$T28</f>
        <v>0</v>
      </c>
      <c r="AA464" s="384">
        <f>'1ª EM'!$U28</f>
        <v>0</v>
      </c>
      <c r="AB464" s="385" t="s">
        <v>329</v>
      </c>
      <c r="AC464" s="385"/>
      <c r="AD464" s="435" t="s">
        <v>466</v>
      </c>
    </row>
    <row r="465" spans="1:30" ht="15.75" x14ac:dyDescent="0.25">
      <c r="A465" s="416" t="str">
        <f>RIGHT('[1]1ª EM'!$A$5:$D$5,12)</f>
        <v>1ª SÉRIE E.M</v>
      </c>
      <c r="B465" s="451">
        <v>24</v>
      </c>
      <c r="C465" s="248">
        <f>'1ª EM'!$B29</f>
        <v>18957</v>
      </c>
      <c r="D465" s="362" t="str">
        <f>'1ª EM'!$C29</f>
        <v>THAIS AUGUSTA DA CRUZ BOTELHO</v>
      </c>
      <c r="E465" s="249" t="str">
        <f>'1ª EM'!$D29</f>
        <v>F</v>
      </c>
      <c r="F465" s="249" t="str">
        <f>'1ª EM'!$E29</f>
        <v>MA</v>
      </c>
      <c r="G465" s="250">
        <f>'1ª EM'!$F29</f>
        <v>30630</v>
      </c>
      <c r="H465" s="362">
        <f>'1ª EM'!$G29</f>
        <v>0</v>
      </c>
      <c r="I465" s="364">
        <f>'1ª EM'!$H29</f>
        <v>0</v>
      </c>
      <c r="J465" s="362"/>
      <c r="K465" s="362" t="str">
        <f>'1ª EM'!$I29</f>
        <v>TR 20/08</v>
      </c>
      <c r="L465" s="250" t="str">
        <f ca="1">'1ª EM'!$J29</f>
        <v>DISP.IDADE</v>
      </c>
      <c r="M465" s="362"/>
      <c r="N465" s="252">
        <f ca="1">'1ª EM'!$K29</f>
        <v>41</v>
      </c>
      <c r="O465" s="362"/>
      <c r="P465" s="253" t="s">
        <v>110</v>
      </c>
      <c r="Q465" s="415" t="s">
        <v>251</v>
      </c>
      <c r="R465" s="383" t="str">
        <f>'1ª EM'!$L29</f>
        <v>Não</v>
      </c>
      <c r="S465" s="383" t="str">
        <f>'1ª EM'!$M29</f>
        <v>-</v>
      </c>
      <c r="T465" s="383" t="str">
        <f>'1ª EM'!$N29</f>
        <v>-</v>
      </c>
      <c r="U465" s="383" t="str">
        <f>'1ª EM'!$O29</f>
        <v>-</v>
      </c>
      <c r="V465" s="383" t="str">
        <f>'1ª EM'!$P29</f>
        <v>-</v>
      </c>
      <c r="W465" s="383" t="str">
        <f>'1ª EM'!$Q29</f>
        <v>-</v>
      </c>
      <c r="X465" s="383" t="str">
        <f>'1ª EM'!$R29</f>
        <v>-</v>
      </c>
      <c r="Y465" s="383" t="str">
        <f>'1ª EM'!$S29</f>
        <v>-</v>
      </c>
      <c r="Z465" s="384">
        <f>'1ª EM'!$T29</f>
        <v>0</v>
      </c>
      <c r="AA465" s="384">
        <f>'1ª EM'!$U29</f>
        <v>0</v>
      </c>
      <c r="AB465" s="385" t="s">
        <v>329</v>
      </c>
      <c r="AC465" s="385"/>
      <c r="AD465" s="435" t="s">
        <v>466</v>
      </c>
    </row>
    <row r="466" spans="1:30" ht="15.75" x14ac:dyDescent="0.25">
      <c r="A466" s="416" t="str">
        <f>RIGHT('[1]1ª EM'!$A$5:$D$5,12)</f>
        <v>1ª SÉRIE E.M</v>
      </c>
      <c r="B466" s="451">
        <v>25</v>
      </c>
      <c r="C466" s="248">
        <f>'1ª EM'!$B30</f>
        <v>18963</v>
      </c>
      <c r="D466" s="362" t="str">
        <f>'1ª EM'!$C30</f>
        <v>ALEX RAFAEL DE OLIVEIRA DA SILVA</v>
      </c>
      <c r="E466" s="249" t="str">
        <f>'1ª EM'!$D30</f>
        <v>M</v>
      </c>
      <c r="F466" s="249" t="str">
        <f>'1ª EM'!$E30</f>
        <v>MA</v>
      </c>
      <c r="G466" s="250">
        <f>'1ª EM'!$F30</f>
        <v>39238</v>
      </c>
      <c r="H466" s="362" t="str">
        <f>'1ª EM'!$G30</f>
        <v>110249581-5</v>
      </c>
      <c r="I466" s="364">
        <f>'1ª EM'!$H30</f>
        <v>0</v>
      </c>
      <c r="J466" s="362"/>
      <c r="K466" s="362" t="str">
        <f>'1ª EM'!$I30</f>
        <v>TR 20/08</v>
      </c>
      <c r="L466" s="250" t="str">
        <f ca="1">'1ª EM'!$J30</f>
        <v/>
      </c>
      <c r="M466" s="362"/>
      <c r="N466" s="252">
        <f ca="1">'1ª EM'!$K30</f>
        <v>18</v>
      </c>
      <c r="O466" s="362"/>
      <c r="P466" s="253" t="s">
        <v>110</v>
      </c>
      <c r="Q466" s="415" t="s">
        <v>251</v>
      </c>
      <c r="R466" s="383" t="str">
        <f>'1ª EM'!$L30</f>
        <v>Não</v>
      </c>
      <c r="S466" s="383" t="str">
        <f>'1ª EM'!$M30</f>
        <v>-</v>
      </c>
      <c r="T466" s="383" t="str">
        <f>'1ª EM'!$N30</f>
        <v>-</v>
      </c>
      <c r="U466" s="383" t="str">
        <f>'1ª EM'!$O30</f>
        <v>-</v>
      </c>
      <c r="V466" s="383" t="str">
        <f>'1ª EM'!$P30</f>
        <v>-</v>
      </c>
      <c r="W466" s="383" t="str">
        <f>'1ª EM'!$Q30</f>
        <v>-</v>
      </c>
      <c r="X466" s="383" t="str">
        <f>'1ª EM'!$R30</f>
        <v>-</v>
      </c>
      <c r="Y466" s="383" t="str">
        <f>'1ª EM'!$S30</f>
        <v>-</v>
      </c>
      <c r="Z466" s="384">
        <f>'1ª EM'!$T30</f>
        <v>0</v>
      </c>
      <c r="AA466" s="384">
        <f>'1ª EM'!$U30</f>
        <v>0</v>
      </c>
      <c r="AB466" s="385" t="s">
        <v>329</v>
      </c>
      <c r="AC466" s="385"/>
      <c r="AD466" s="435" t="s">
        <v>466</v>
      </c>
    </row>
    <row r="467" spans="1:30" ht="15.75" x14ac:dyDescent="0.25">
      <c r="A467" s="416" t="str">
        <f>RIGHT('[1]1ª EM'!$A$5:$D$5,12)</f>
        <v>1ª SÉRIE E.M</v>
      </c>
      <c r="B467" s="451">
        <v>26</v>
      </c>
      <c r="C467" s="248">
        <f>'1ª EM'!$B31</f>
        <v>18850</v>
      </c>
      <c r="D467" s="362" t="str">
        <f>'1ª EM'!$C31</f>
        <v>RYQUELMI LUIS SERRANO JOSE</v>
      </c>
      <c r="E467" s="249" t="str">
        <f>'1ª EM'!$D31</f>
        <v>M</v>
      </c>
      <c r="F467" s="249" t="str">
        <f>'1ª EM'!$E31</f>
        <v>MA</v>
      </c>
      <c r="G467" s="250">
        <f>'1ª EM'!$F31</f>
        <v>39092</v>
      </c>
      <c r="H467" s="362" t="str">
        <f>'1ª EM'!$G31</f>
        <v>110941503-5</v>
      </c>
      <c r="I467" s="364">
        <f>'1ª EM'!$H31</f>
        <v>0</v>
      </c>
      <c r="J467" s="362"/>
      <c r="K467" s="362" t="str">
        <f>'1ª EM'!$I31</f>
        <v>TR 22/08</v>
      </c>
      <c r="L467" s="250" t="str">
        <f ca="1">'1ª EM'!$J31</f>
        <v/>
      </c>
      <c r="M467" s="362"/>
      <c r="N467" s="252">
        <f ca="1">'1ª EM'!$K31</f>
        <v>18</v>
      </c>
      <c r="O467" s="362"/>
      <c r="P467" s="253" t="s">
        <v>110</v>
      </c>
      <c r="Q467" s="415" t="s">
        <v>251</v>
      </c>
      <c r="R467" s="383" t="str">
        <f>'1ª EM'!$L31</f>
        <v>Não</v>
      </c>
      <c r="S467" s="383" t="str">
        <f>'1ª EM'!$M31</f>
        <v>-</v>
      </c>
      <c r="T467" s="383" t="str">
        <f>'1ª EM'!$N31</f>
        <v>-</v>
      </c>
      <c r="U467" s="383" t="str">
        <f>'1ª EM'!$O31</f>
        <v>-</v>
      </c>
      <c r="V467" s="383" t="str">
        <f>'1ª EM'!$P31</f>
        <v>-</v>
      </c>
      <c r="W467" s="383" t="str">
        <f>'1ª EM'!$Q31</f>
        <v>-</v>
      </c>
      <c r="X467" s="383" t="str">
        <f>'1ª EM'!$R31</f>
        <v>-</v>
      </c>
      <c r="Y467" s="383" t="str">
        <f>'1ª EM'!$S31</f>
        <v>-</v>
      </c>
      <c r="Z467" s="384">
        <f>'1ª EM'!$T31</f>
        <v>0</v>
      </c>
      <c r="AA467" s="384">
        <f>'1ª EM'!$U31</f>
        <v>0</v>
      </c>
      <c r="AB467" s="385" t="s">
        <v>329</v>
      </c>
      <c r="AC467" s="385"/>
      <c r="AD467" s="435" t="s">
        <v>466</v>
      </c>
    </row>
    <row r="468" spans="1:30" ht="15.75" x14ac:dyDescent="0.25">
      <c r="A468" s="416" t="str">
        <f>RIGHT('[1]1ª EM'!$A$5:$D$5,12)</f>
        <v>1ª SÉRIE E.M</v>
      </c>
      <c r="B468" s="451">
        <v>27</v>
      </c>
      <c r="C468" s="248">
        <f>'1ª EM'!$B32</f>
        <v>18966</v>
      </c>
      <c r="D468" s="362" t="str">
        <f>'1ª EM'!$C32</f>
        <v>RAFAELA VITORIA GUIMARAES DOS SANTOS</v>
      </c>
      <c r="E468" s="249" t="str">
        <f>'1ª EM'!$D32</f>
        <v>F</v>
      </c>
      <c r="F468" s="249" t="str">
        <f>'1ª EM'!$E32</f>
        <v xml:space="preserve">MA </v>
      </c>
      <c r="G468" s="250">
        <f>'1ª EM'!$F32</f>
        <v>39208</v>
      </c>
      <c r="H468" s="362" t="str">
        <f>'1ª EM'!$G32</f>
        <v>110694991-2</v>
      </c>
      <c r="I468" s="364">
        <f>'1ª EM'!$H32</f>
        <v>0</v>
      </c>
      <c r="J468" s="362"/>
      <c r="K468" s="362" t="str">
        <f>'1ª EM'!$I32</f>
        <v>TR 22/08</v>
      </c>
      <c r="L468" s="250" t="str">
        <f ca="1">'1ª EM'!$J32</f>
        <v/>
      </c>
      <c r="M468" s="362"/>
      <c r="N468" s="252">
        <f ca="1">'1ª EM'!$K32</f>
        <v>18</v>
      </c>
      <c r="O468" s="362"/>
      <c r="P468" s="253" t="s">
        <v>110</v>
      </c>
      <c r="Q468" s="415" t="s">
        <v>251</v>
      </c>
      <c r="R468" s="383" t="str">
        <f>'1ª EM'!$L32</f>
        <v>Não</v>
      </c>
      <c r="S468" s="383" t="str">
        <f>'1ª EM'!$M32</f>
        <v>-</v>
      </c>
      <c r="T468" s="383" t="str">
        <f>'1ª EM'!$N32</f>
        <v>-</v>
      </c>
      <c r="U468" s="383" t="str">
        <f>'1ª EM'!$O32</f>
        <v>-</v>
      </c>
      <c r="V468" s="383" t="str">
        <f>'1ª EM'!$P32</f>
        <v>-</v>
      </c>
      <c r="W468" s="383" t="str">
        <f>'1ª EM'!$Q32</f>
        <v>-</v>
      </c>
      <c r="X468" s="383" t="str">
        <f>'1ª EM'!$R32</f>
        <v>-</v>
      </c>
      <c r="Y468" s="383" t="str">
        <f>'1ª EM'!$S32</f>
        <v>-</v>
      </c>
      <c r="Z468" s="384">
        <f>'1ª EM'!$T32</f>
        <v>0</v>
      </c>
      <c r="AA468" s="384">
        <f>'1ª EM'!$U32</f>
        <v>0</v>
      </c>
      <c r="AB468" s="385" t="s">
        <v>329</v>
      </c>
      <c r="AC468" s="385"/>
      <c r="AD468" s="435" t="s">
        <v>466</v>
      </c>
    </row>
    <row r="469" spans="1:30" ht="15.75" x14ac:dyDescent="0.25">
      <c r="A469" s="416" t="str">
        <f>RIGHT('[1]1ª EM'!$A$5:$D$5,12)</f>
        <v>1ª SÉRIE E.M</v>
      </c>
      <c r="B469" s="451">
        <v>28</v>
      </c>
      <c r="C469" s="248">
        <f>'1ª EM'!$B33</f>
        <v>18967</v>
      </c>
      <c r="D469" s="362" t="str">
        <f>'1ª EM'!$C33</f>
        <v>KAIKE HENRIQUE LIMA DE CARVALHO</v>
      </c>
      <c r="E469" s="249" t="str">
        <f>'1ª EM'!$D33</f>
        <v>M</v>
      </c>
      <c r="F469" s="249" t="str">
        <f>'1ª EM'!$E33</f>
        <v>MA</v>
      </c>
      <c r="G469" s="250">
        <f>'1ª EM'!$F33</f>
        <v>38950</v>
      </c>
      <c r="H469" s="362" t="str">
        <f>'1ª EM'!$G33</f>
        <v>111325525-0</v>
      </c>
      <c r="I469" s="364">
        <f>'1ª EM'!$H33</f>
        <v>0</v>
      </c>
      <c r="J469" s="362"/>
      <c r="K469" s="362" t="str">
        <f>'1ª EM'!$I33</f>
        <v>TR 22/08</v>
      </c>
      <c r="L469" s="250" t="str">
        <f ca="1">'1ª EM'!$J33</f>
        <v/>
      </c>
      <c r="M469" s="362"/>
      <c r="N469" s="252">
        <f ca="1">'1ª EM'!$K33</f>
        <v>19</v>
      </c>
      <c r="O469" s="362"/>
      <c r="P469" s="253" t="s">
        <v>110</v>
      </c>
      <c r="Q469" s="415" t="s">
        <v>251</v>
      </c>
      <c r="R469" s="383" t="str">
        <f>'1ª EM'!$L33</f>
        <v>Não</v>
      </c>
      <c r="S469" s="383" t="str">
        <f>'1ª EM'!$M33</f>
        <v>-</v>
      </c>
      <c r="T469" s="383" t="str">
        <f>'1ª EM'!$N33</f>
        <v>-</v>
      </c>
      <c r="U469" s="383" t="str">
        <f>'1ª EM'!$O33</f>
        <v>-</v>
      </c>
      <c r="V469" s="383" t="str">
        <f>'1ª EM'!$P33</f>
        <v>-</v>
      </c>
      <c r="W469" s="383" t="str">
        <f>'1ª EM'!$Q33</f>
        <v>-</v>
      </c>
      <c r="X469" s="383" t="str">
        <f>'1ª EM'!$R33</f>
        <v>-</v>
      </c>
      <c r="Y469" s="383" t="str">
        <f>'1ª EM'!$S33</f>
        <v>-</v>
      </c>
      <c r="Z469" s="384">
        <f>'1ª EM'!$T33</f>
        <v>0</v>
      </c>
      <c r="AA469" s="384">
        <f>'1ª EM'!$U33</f>
        <v>0</v>
      </c>
      <c r="AB469" s="385" t="s">
        <v>329</v>
      </c>
      <c r="AC469" s="385"/>
      <c r="AD469" s="435" t="s">
        <v>466</v>
      </c>
    </row>
    <row r="470" spans="1:30" ht="15.75" x14ac:dyDescent="0.25">
      <c r="A470" s="416" t="str">
        <f>RIGHT('[1]1ª EM'!$A$5:$D$5,12)</f>
        <v>1ª SÉRIE E.M</v>
      </c>
      <c r="B470" s="451">
        <v>29</v>
      </c>
      <c r="C470" s="248">
        <f>'1ª EM'!$B34</f>
        <v>18338</v>
      </c>
      <c r="D470" s="362" t="str">
        <f>'1ª EM'!$C34</f>
        <v>WHENRY DA SILVA CHAGAS</v>
      </c>
      <c r="E470" s="249" t="str">
        <f>'1ª EM'!$D34</f>
        <v>M</v>
      </c>
      <c r="F470" s="249" t="str">
        <f>'1ª EM'!$E34</f>
        <v>MA</v>
      </c>
      <c r="G470" s="250">
        <f>'1ª EM'!$F34</f>
        <v>39253</v>
      </c>
      <c r="H470" s="362" t="str">
        <f>'1ª EM'!$G34</f>
        <v>109366012-0</v>
      </c>
      <c r="I470" s="364" t="str">
        <f>'1ª EM'!$H34</f>
        <v>53095655-X</v>
      </c>
      <c r="J470" s="362"/>
      <c r="K470" s="362" t="str">
        <f>'1ª EM'!$I34</f>
        <v>TR 28/08</v>
      </c>
      <c r="L470" s="250" t="str">
        <f ca="1">'1ª EM'!$J34</f>
        <v/>
      </c>
      <c r="M470" s="362"/>
      <c r="N470" s="252">
        <f ca="1">'1ª EM'!$K34</f>
        <v>18</v>
      </c>
      <c r="O470" s="362"/>
      <c r="P470" s="253" t="s">
        <v>110</v>
      </c>
      <c r="Q470" s="415" t="s">
        <v>251</v>
      </c>
      <c r="R470" s="383" t="str">
        <f>'1ª EM'!$L34</f>
        <v>Não</v>
      </c>
      <c r="S470" s="383" t="str">
        <f>'1ª EM'!$M34</f>
        <v>-</v>
      </c>
      <c r="T470" s="383" t="str">
        <f>'1ª EM'!$N34</f>
        <v>-</v>
      </c>
      <c r="U470" s="383" t="str">
        <f>'1ª EM'!$O34</f>
        <v>-</v>
      </c>
      <c r="V470" s="383" t="str">
        <f>'1ª EM'!$P34</f>
        <v>-</v>
      </c>
      <c r="W470" s="383" t="str">
        <f>'1ª EM'!$Q34</f>
        <v>-</v>
      </c>
      <c r="X470" s="383" t="str">
        <f>'1ª EM'!$R34</f>
        <v>-</v>
      </c>
      <c r="Y470" s="383" t="str">
        <f>'1ª EM'!$S34</f>
        <v>-</v>
      </c>
      <c r="Z470" s="384">
        <f>'1ª EM'!$T34</f>
        <v>0</v>
      </c>
      <c r="AA470" s="384">
        <f>'1ª EM'!$U34</f>
        <v>0</v>
      </c>
      <c r="AB470" s="385" t="s">
        <v>329</v>
      </c>
      <c r="AC470" s="385"/>
      <c r="AD470" s="435" t="s">
        <v>466</v>
      </c>
    </row>
    <row r="471" spans="1:30" ht="15.75" x14ac:dyDescent="0.25">
      <c r="A471" s="416" t="str">
        <f>RIGHT('[1]1ª EM'!$A$5:$D$5,12)</f>
        <v>1ª SÉRIE E.M</v>
      </c>
      <c r="B471" s="451">
        <v>30</v>
      </c>
      <c r="C471" s="248">
        <f>'1ª EM'!$B35</f>
        <v>0</v>
      </c>
      <c r="D471" s="362">
        <f>'1ª EM'!$C35</f>
        <v>0</v>
      </c>
      <c r="E471" s="249">
        <f>'1ª EM'!$D35</f>
        <v>0</v>
      </c>
      <c r="F471" s="249">
        <f>'1ª EM'!$E35</f>
        <v>0</v>
      </c>
      <c r="G471" s="250">
        <f>'1ª EM'!$F35</f>
        <v>0</v>
      </c>
      <c r="H471" s="362">
        <f>'1ª EM'!$G35</f>
        <v>0</v>
      </c>
      <c r="I471" s="364">
        <f>'1ª EM'!$H35</f>
        <v>0</v>
      </c>
      <c r="J471" s="362"/>
      <c r="K471" s="362">
        <f>'1ª EM'!$I35</f>
        <v>0</v>
      </c>
      <c r="L471" s="250" t="str">
        <f ca="1">'1ª EM'!$J35</f>
        <v/>
      </c>
      <c r="M471" s="362"/>
      <c r="N471" s="252" t="str">
        <f ca="1">'1ª EM'!$K35</f>
        <v/>
      </c>
      <c r="O471" s="362"/>
      <c r="P471" s="253" t="s">
        <v>110</v>
      </c>
      <c r="Q471" s="415" t="s">
        <v>251</v>
      </c>
      <c r="R471" s="383" t="str">
        <f>'1ª EM'!$L35</f>
        <v>Não</v>
      </c>
      <c r="S471" s="383" t="str">
        <f>'1ª EM'!$M35</f>
        <v>-</v>
      </c>
      <c r="T471" s="383" t="str">
        <f>'1ª EM'!$N35</f>
        <v>-</v>
      </c>
      <c r="U471" s="383" t="str">
        <f>'1ª EM'!$O35</f>
        <v>-</v>
      </c>
      <c r="V471" s="383" t="str">
        <f>'1ª EM'!$P35</f>
        <v>-</v>
      </c>
      <c r="W471" s="383" t="str">
        <f>'1ª EM'!$Q35</f>
        <v>-</v>
      </c>
      <c r="X471" s="383" t="str">
        <f>'1ª EM'!$R35</f>
        <v>-</v>
      </c>
      <c r="Y471" s="383" t="str">
        <f>'1ª EM'!$S35</f>
        <v>-</v>
      </c>
      <c r="Z471" s="384">
        <f>'1ª EM'!$T35</f>
        <v>0</v>
      </c>
      <c r="AA471" s="384">
        <f>'1ª EM'!$U35</f>
        <v>0</v>
      </c>
      <c r="AB471" s="385" t="s">
        <v>329</v>
      </c>
      <c r="AC471" s="385"/>
      <c r="AD471" s="435" t="s">
        <v>466</v>
      </c>
    </row>
    <row r="472" spans="1:30" ht="15.75" x14ac:dyDescent="0.25">
      <c r="A472" s="416" t="str">
        <f>RIGHT('[1]1ª EM'!$A$5:$D$5,12)</f>
        <v>1ª SÉRIE E.M</v>
      </c>
      <c r="B472" s="451">
        <v>31</v>
      </c>
      <c r="C472" s="248">
        <f>'1ª EM'!$B36</f>
        <v>0</v>
      </c>
      <c r="D472" s="362">
        <f>'1ª EM'!$C36</f>
        <v>0</v>
      </c>
      <c r="E472" s="249">
        <f>'1ª EM'!$D36</f>
        <v>0</v>
      </c>
      <c r="F472" s="249">
        <f>'1ª EM'!$E36</f>
        <v>0</v>
      </c>
      <c r="G472" s="250">
        <f>'1ª EM'!$F36</f>
        <v>0</v>
      </c>
      <c r="H472" s="362">
        <f>'1ª EM'!$G36</f>
        <v>0</v>
      </c>
      <c r="I472" s="364">
        <f>'1ª EM'!$H36</f>
        <v>0</v>
      </c>
      <c r="J472" s="362"/>
      <c r="K472" s="362">
        <f>'1ª EM'!$I36</f>
        <v>0</v>
      </c>
      <c r="L472" s="250">
        <f>'1ª EM'!$J36</f>
        <v>0</v>
      </c>
      <c r="M472" s="362"/>
      <c r="N472" s="252">
        <f>'1ª EM'!$K36</f>
        <v>0</v>
      </c>
      <c r="O472" s="362"/>
      <c r="P472" s="253" t="s">
        <v>110</v>
      </c>
      <c r="Q472" s="415" t="s">
        <v>251</v>
      </c>
      <c r="R472" s="383">
        <f>'1ª EM'!$L36</f>
        <v>0</v>
      </c>
      <c r="S472" s="383">
        <f>'1ª EM'!$M36</f>
        <v>0</v>
      </c>
      <c r="T472" s="383">
        <f>'1ª EM'!$N36</f>
        <v>0</v>
      </c>
      <c r="U472" s="383">
        <f>'1ª EM'!$O36</f>
        <v>0</v>
      </c>
      <c r="V472" s="383">
        <f>'1ª EM'!$P36</f>
        <v>0</v>
      </c>
      <c r="W472" s="383">
        <f>'1ª EM'!$Q36</f>
        <v>0</v>
      </c>
      <c r="X472" s="383">
        <f>'1ª EM'!$R36</f>
        <v>0</v>
      </c>
      <c r="Y472" s="383">
        <f>'1ª EM'!$S36</f>
        <v>0</v>
      </c>
      <c r="Z472" s="384">
        <f>'1ª EM'!$T36</f>
        <v>0</v>
      </c>
      <c r="AA472" s="384">
        <f>'1ª EM'!$U36</f>
        <v>0</v>
      </c>
      <c r="AB472" s="385" t="s">
        <v>329</v>
      </c>
      <c r="AC472" s="385"/>
      <c r="AD472" s="435" t="s">
        <v>466</v>
      </c>
    </row>
    <row r="473" spans="1:30" ht="15.75" x14ac:dyDescent="0.25">
      <c r="A473" s="416" t="str">
        <f>RIGHT('[1]1ª EM'!$A$5:$D$5,12)</f>
        <v>1ª SÉRIE E.M</v>
      </c>
      <c r="B473" s="451">
        <v>32</v>
      </c>
      <c r="C473" s="248">
        <f>'1ª EM'!$B37</f>
        <v>0</v>
      </c>
      <c r="D473" s="362">
        <f>'1ª EM'!$C37</f>
        <v>0</v>
      </c>
      <c r="E473" s="249">
        <f>'1ª EM'!$D37</f>
        <v>0</v>
      </c>
      <c r="F473" s="249">
        <f>'1ª EM'!$E37</f>
        <v>0</v>
      </c>
      <c r="G473" s="250">
        <f>'1ª EM'!$F37</f>
        <v>0</v>
      </c>
      <c r="H473" s="362">
        <f>'1ª EM'!$G37</f>
        <v>0</v>
      </c>
      <c r="I473" s="364">
        <f>'1ª EM'!$H37</f>
        <v>0</v>
      </c>
      <c r="J473" s="362"/>
      <c r="K473" s="362">
        <f>'1ª EM'!$I37</f>
        <v>0</v>
      </c>
      <c r="L473" s="250">
        <f>'1ª EM'!$J37</f>
        <v>0</v>
      </c>
      <c r="M473" s="362"/>
      <c r="N473" s="252">
        <f>'1ª EM'!$K37</f>
        <v>0</v>
      </c>
      <c r="O473" s="362"/>
      <c r="P473" s="253" t="s">
        <v>110</v>
      </c>
      <c r="Q473" s="415" t="s">
        <v>251</v>
      </c>
      <c r="R473" s="383">
        <f>'1ª EM'!$L37</f>
        <v>0</v>
      </c>
      <c r="S473" s="383">
        <f>'1ª EM'!$M37</f>
        <v>0</v>
      </c>
      <c r="T473" s="383">
        <f>'1ª EM'!$N37</f>
        <v>0</v>
      </c>
      <c r="U473" s="383">
        <f>'1ª EM'!$O37</f>
        <v>0</v>
      </c>
      <c r="V473" s="383">
        <f>'1ª EM'!$P37</f>
        <v>0</v>
      </c>
      <c r="W473" s="383">
        <f>'1ª EM'!$Q37</f>
        <v>0</v>
      </c>
      <c r="X473" s="383">
        <f>'1ª EM'!$R37</f>
        <v>0</v>
      </c>
      <c r="Y473" s="383">
        <f>'1ª EM'!$S37</f>
        <v>0</v>
      </c>
      <c r="Z473" s="384">
        <f>'1ª EM'!$T37</f>
        <v>0</v>
      </c>
      <c r="AA473" s="384">
        <f>'1ª EM'!$U37</f>
        <v>0</v>
      </c>
      <c r="AB473" s="385" t="s">
        <v>329</v>
      </c>
      <c r="AC473" s="385"/>
      <c r="AD473" s="435" t="s">
        <v>466</v>
      </c>
    </row>
    <row r="474" spans="1:30" ht="15.75" x14ac:dyDescent="0.25">
      <c r="A474" s="416" t="str">
        <f>RIGHT('[1]1ª EM'!$A$5:$D$5,12)</f>
        <v>1ª SÉRIE E.M</v>
      </c>
      <c r="B474" s="451">
        <v>33</v>
      </c>
      <c r="C474" s="248">
        <f>'1ª EM'!$B38</f>
        <v>0</v>
      </c>
      <c r="D474" s="362">
        <f>'1ª EM'!$C38</f>
        <v>0</v>
      </c>
      <c r="E474" s="249">
        <f>'1ª EM'!$D38</f>
        <v>0</v>
      </c>
      <c r="F474" s="249">
        <f>'1ª EM'!$E38</f>
        <v>0</v>
      </c>
      <c r="G474" s="250">
        <f>'1ª EM'!$F38</f>
        <v>0</v>
      </c>
      <c r="H474" s="362">
        <f>'1ª EM'!$G38</f>
        <v>0</v>
      </c>
      <c r="I474" s="364">
        <f>'1ª EM'!$H38</f>
        <v>0</v>
      </c>
      <c r="J474" s="362"/>
      <c r="K474" s="362">
        <f>'1ª EM'!$I38</f>
        <v>0</v>
      </c>
      <c r="L474" s="250">
        <f>'1ª EM'!$J38</f>
        <v>0</v>
      </c>
      <c r="M474" s="362"/>
      <c r="N474" s="252">
        <f>'1ª EM'!$K38</f>
        <v>0</v>
      </c>
      <c r="O474" s="362"/>
      <c r="P474" s="253" t="s">
        <v>110</v>
      </c>
      <c r="Q474" s="415" t="s">
        <v>251</v>
      </c>
      <c r="R474" s="383">
        <f>'1ª EM'!$L38</f>
        <v>0</v>
      </c>
      <c r="S474" s="383">
        <f>'1ª EM'!$M38</f>
        <v>0</v>
      </c>
      <c r="T474" s="383">
        <f>'1ª EM'!$N38</f>
        <v>0</v>
      </c>
      <c r="U474" s="383">
        <f>'1ª EM'!$O38</f>
        <v>0</v>
      </c>
      <c r="V474" s="383">
        <f>'1ª EM'!$P38</f>
        <v>0</v>
      </c>
      <c r="W474" s="383">
        <f>'1ª EM'!$Q38</f>
        <v>0</v>
      </c>
      <c r="X474" s="383">
        <f>'1ª EM'!$R38</f>
        <v>0</v>
      </c>
      <c r="Y474" s="383">
        <f>'1ª EM'!$S38</f>
        <v>0</v>
      </c>
      <c r="Z474" s="384">
        <f>'1ª EM'!$T38</f>
        <v>0</v>
      </c>
      <c r="AA474" s="384">
        <f>'1ª EM'!$U38</f>
        <v>0</v>
      </c>
      <c r="AB474" s="385" t="s">
        <v>329</v>
      </c>
      <c r="AC474" s="385"/>
      <c r="AD474" s="435" t="s">
        <v>466</v>
      </c>
    </row>
    <row r="475" spans="1:30" ht="15.75" x14ac:dyDescent="0.25">
      <c r="A475" s="416" t="str">
        <f>RIGHT('[1]1ª EM'!$A$5:$D$5,12)</f>
        <v>1ª SÉRIE E.M</v>
      </c>
      <c r="B475" s="451">
        <v>34</v>
      </c>
      <c r="C475" s="248">
        <f>'1ª EM'!$B39</f>
        <v>0</v>
      </c>
      <c r="D475" s="362">
        <f>'1ª EM'!$C39</f>
        <v>0</v>
      </c>
      <c r="E475" s="249">
        <f>'1ª EM'!$D39</f>
        <v>0</v>
      </c>
      <c r="F475" s="249">
        <f>'1ª EM'!$E39</f>
        <v>0</v>
      </c>
      <c r="G475" s="250">
        <f>'1ª EM'!$F39</f>
        <v>0</v>
      </c>
      <c r="H475" s="362">
        <f>'1ª EM'!$G39</f>
        <v>0</v>
      </c>
      <c r="I475" s="364">
        <f>'1ª EM'!$H39</f>
        <v>0</v>
      </c>
      <c r="J475" s="362"/>
      <c r="K475" s="362">
        <f>'1ª EM'!$I39</f>
        <v>0</v>
      </c>
      <c r="L475" s="250">
        <f>'1ª EM'!$J39</f>
        <v>0</v>
      </c>
      <c r="M475" s="362"/>
      <c r="N475" s="252">
        <f>'1ª EM'!$K39</f>
        <v>0</v>
      </c>
      <c r="O475" s="362"/>
      <c r="P475" s="253" t="s">
        <v>110</v>
      </c>
      <c r="Q475" s="415" t="s">
        <v>251</v>
      </c>
      <c r="R475" s="383">
        <f>'1ª EM'!$L39</f>
        <v>0</v>
      </c>
      <c r="S475" s="383">
        <f>'1ª EM'!$M39</f>
        <v>0</v>
      </c>
      <c r="T475" s="383">
        <f>'1ª EM'!$N39</f>
        <v>0</v>
      </c>
      <c r="U475" s="383">
        <f>'1ª EM'!$O39</f>
        <v>0</v>
      </c>
      <c r="V475" s="383">
        <f>'1ª EM'!$P39</f>
        <v>0</v>
      </c>
      <c r="W475" s="383">
        <f>'1ª EM'!$Q39</f>
        <v>0</v>
      </c>
      <c r="X475" s="383">
        <f>'1ª EM'!$R39</f>
        <v>0</v>
      </c>
      <c r="Y475" s="383">
        <f>'1ª EM'!$S39</f>
        <v>0</v>
      </c>
      <c r="Z475" s="384">
        <f>'1ª EM'!$T39</f>
        <v>0</v>
      </c>
      <c r="AA475" s="384">
        <f>'1ª EM'!$U39</f>
        <v>0</v>
      </c>
      <c r="AB475" s="385" t="s">
        <v>329</v>
      </c>
      <c r="AC475" s="385"/>
      <c r="AD475" s="435" t="s">
        <v>466</v>
      </c>
    </row>
    <row r="476" spans="1:30" ht="15.75" x14ac:dyDescent="0.25">
      <c r="A476" s="416" t="str">
        <f>RIGHT('[1]1ª EM'!$A$5:$D$5,12)</f>
        <v>1ª SÉRIE E.M</v>
      </c>
      <c r="B476" s="451">
        <v>35</v>
      </c>
      <c r="C476" s="248">
        <f>'1ª EM'!$B40</f>
        <v>0</v>
      </c>
      <c r="D476" s="362">
        <f>'1ª EM'!$C40</f>
        <v>0</v>
      </c>
      <c r="E476" s="249">
        <f>'1ª EM'!$D40</f>
        <v>0</v>
      </c>
      <c r="F476" s="249">
        <f>'1ª EM'!$E40</f>
        <v>0</v>
      </c>
      <c r="G476" s="250">
        <f>'1ª EM'!$F40</f>
        <v>0</v>
      </c>
      <c r="H476" s="362">
        <f>'1ª EM'!$G40</f>
        <v>0</v>
      </c>
      <c r="I476" s="364">
        <f>'1ª EM'!$H40</f>
        <v>0</v>
      </c>
      <c r="J476" s="362"/>
      <c r="K476" s="362">
        <f>'1ª EM'!$I40</f>
        <v>0</v>
      </c>
      <c r="L476" s="250">
        <f>'1ª EM'!$J40</f>
        <v>0</v>
      </c>
      <c r="M476" s="362"/>
      <c r="N476" s="252">
        <f>'1ª EM'!$K40</f>
        <v>0</v>
      </c>
      <c r="O476" s="362"/>
      <c r="P476" s="253" t="s">
        <v>110</v>
      </c>
      <c r="Q476" s="415" t="s">
        <v>251</v>
      </c>
      <c r="R476" s="383">
        <f>'1ª EM'!$L40</f>
        <v>0</v>
      </c>
      <c r="S476" s="383">
        <f>'1ª EM'!$M40</f>
        <v>0</v>
      </c>
      <c r="T476" s="383">
        <f>'1ª EM'!$N40</f>
        <v>0</v>
      </c>
      <c r="U476" s="383">
        <f>'1ª EM'!$O40</f>
        <v>0</v>
      </c>
      <c r="V476" s="383">
        <f>'1ª EM'!$P40</f>
        <v>0</v>
      </c>
      <c r="W476" s="383">
        <f>'1ª EM'!$Q40</f>
        <v>0</v>
      </c>
      <c r="X476" s="383">
        <f>'1ª EM'!$R40</f>
        <v>0</v>
      </c>
      <c r="Y476" s="383">
        <f>'1ª EM'!$S40</f>
        <v>0</v>
      </c>
      <c r="Z476" s="384">
        <f>'1ª EM'!$T40</f>
        <v>0</v>
      </c>
      <c r="AA476" s="384">
        <f>'1ª EM'!$U40</f>
        <v>0</v>
      </c>
      <c r="AB476" s="385" t="s">
        <v>329</v>
      </c>
      <c r="AC476" s="385"/>
      <c r="AD476" s="435" t="s">
        <v>466</v>
      </c>
    </row>
    <row r="477" spans="1:30" ht="15.75" x14ac:dyDescent="0.25">
      <c r="A477" s="416" t="str">
        <f>RIGHT('[1]1ª EM'!$A$5:$D$5,12)</f>
        <v>1ª SÉRIE E.M</v>
      </c>
      <c r="B477" s="451">
        <v>36</v>
      </c>
      <c r="C477" s="248">
        <f>'1ª EM'!$B41</f>
        <v>0</v>
      </c>
      <c r="D477" s="362">
        <f>'1ª EM'!$C41</f>
        <v>0</v>
      </c>
      <c r="E477" s="249">
        <f>'1ª EM'!$D41</f>
        <v>0</v>
      </c>
      <c r="F477" s="249">
        <f>'1ª EM'!$E41</f>
        <v>0</v>
      </c>
      <c r="G477" s="250">
        <f>'1ª EM'!$F41</f>
        <v>0</v>
      </c>
      <c r="H477" s="362">
        <f>'1ª EM'!$G41</f>
        <v>0</v>
      </c>
      <c r="I477" s="364">
        <f>'1ª EM'!$H41</f>
        <v>0</v>
      </c>
      <c r="J477" s="362"/>
      <c r="K477" s="362">
        <f>'1ª EM'!$I41</f>
        <v>0</v>
      </c>
      <c r="L477" s="250">
        <f>'1ª EM'!$J41</f>
        <v>0</v>
      </c>
      <c r="M477" s="362"/>
      <c r="N477" s="252">
        <f>'1ª EM'!$K41</f>
        <v>0</v>
      </c>
      <c r="O477" s="362"/>
      <c r="P477" s="253" t="s">
        <v>110</v>
      </c>
      <c r="Q477" s="415" t="s">
        <v>251</v>
      </c>
      <c r="R477" s="383">
        <f>'1ª EM'!$L41</f>
        <v>0</v>
      </c>
      <c r="S477" s="383">
        <f>'1ª EM'!$M41</f>
        <v>0</v>
      </c>
      <c r="T477" s="383">
        <f>'1ª EM'!$N41</f>
        <v>0</v>
      </c>
      <c r="U477" s="383">
        <f>'1ª EM'!$O41</f>
        <v>0</v>
      </c>
      <c r="V477" s="383">
        <f>'1ª EM'!$P41</f>
        <v>0</v>
      </c>
      <c r="W477" s="383">
        <f>'1ª EM'!$Q41</f>
        <v>0</v>
      </c>
      <c r="X477" s="383">
        <f>'1ª EM'!$R41</f>
        <v>0</v>
      </c>
      <c r="Y477" s="383">
        <f>'1ª EM'!$S41</f>
        <v>0</v>
      </c>
      <c r="Z477" s="384">
        <f>'1ª EM'!$T41</f>
        <v>0</v>
      </c>
      <c r="AA477" s="384">
        <f>'1ª EM'!$U41</f>
        <v>0</v>
      </c>
      <c r="AB477" s="385" t="s">
        <v>329</v>
      </c>
      <c r="AC477" s="385"/>
      <c r="AD477" s="435" t="s">
        <v>466</v>
      </c>
    </row>
    <row r="478" spans="1:30" ht="15.75" x14ac:dyDescent="0.25">
      <c r="A478" s="416" t="str">
        <f>RIGHT('[1]1ª EM'!$A$5:$D$5,12)</f>
        <v>1ª SÉRIE E.M</v>
      </c>
      <c r="B478" s="451">
        <v>37</v>
      </c>
      <c r="C478" s="248">
        <f>'1ª EM'!$B42</f>
        <v>0</v>
      </c>
      <c r="D478" s="362">
        <f>'1ª EM'!$C42</f>
        <v>0</v>
      </c>
      <c r="E478" s="249">
        <f>'1ª EM'!$D42</f>
        <v>0</v>
      </c>
      <c r="F478" s="249">
        <f>'1ª EM'!$E42</f>
        <v>0</v>
      </c>
      <c r="G478" s="250">
        <f>'1ª EM'!$F42</f>
        <v>0</v>
      </c>
      <c r="H478" s="362">
        <f>'1ª EM'!$G42</f>
        <v>0</v>
      </c>
      <c r="I478" s="364">
        <f>'1ª EM'!$H42</f>
        <v>0</v>
      </c>
      <c r="J478" s="362"/>
      <c r="K478" s="362">
        <f>'1ª EM'!$I42</f>
        <v>0</v>
      </c>
      <c r="L478" s="250">
        <f>'1ª EM'!$J42</f>
        <v>0</v>
      </c>
      <c r="M478" s="362"/>
      <c r="N478" s="252">
        <f>'1ª EM'!$K42</f>
        <v>0</v>
      </c>
      <c r="O478" s="362"/>
      <c r="P478" s="253" t="s">
        <v>110</v>
      </c>
      <c r="Q478" s="415" t="s">
        <v>251</v>
      </c>
      <c r="R478" s="383">
        <f>'1ª EM'!$L42</f>
        <v>0</v>
      </c>
      <c r="S478" s="383">
        <f>'1ª EM'!$M42</f>
        <v>0</v>
      </c>
      <c r="T478" s="383">
        <f>'1ª EM'!$N42</f>
        <v>0</v>
      </c>
      <c r="U478" s="383">
        <f>'1ª EM'!$O42</f>
        <v>0</v>
      </c>
      <c r="V478" s="383">
        <f>'1ª EM'!$P42</f>
        <v>0</v>
      </c>
      <c r="W478" s="383">
        <f>'1ª EM'!$Q42</f>
        <v>0</v>
      </c>
      <c r="X478" s="383">
        <f>'1ª EM'!$R42</f>
        <v>0</v>
      </c>
      <c r="Y478" s="383">
        <f>'1ª EM'!$S42</f>
        <v>0</v>
      </c>
      <c r="Z478" s="384">
        <f>'1ª EM'!$T42</f>
        <v>0</v>
      </c>
      <c r="AA478" s="384">
        <f>'1ª EM'!$U42</f>
        <v>0</v>
      </c>
      <c r="AB478" s="385" t="s">
        <v>329</v>
      </c>
      <c r="AC478" s="385"/>
      <c r="AD478" s="435" t="s">
        <v>466</v>
      </c>
    </row>
    <row r="479" spans="1:30" ht="15.75" x14ac:dyDescent="0.25">
      <c r="A479" s="416" t="str">
        <f>RIGHT('[1]1ª EM'!$A$5:$D$5,12)</f>
        <v>1ª SÉRIE E.M</v>
      </c>
      <c r="B479" s="451">
        <v>38</v>
      </c>
      <c r="C479" s="248">
        <f>'1ª EM'!$B43</f>
        <v>0</v>
      </c>
      <c r="D479" s="362">
        <f>'1ª EM'!$C43</f>
        <v>0</v>
      </c>
      <c r="E479" s="249">
        <f>'1ª EM'!$D43</f>
        <v>0</v>
      </c>
      <c r="F479" s="249">
        <f>'1ª EM'!$E43</f>
        <v>0</v>
      </c>
      <c r="G479" s="250">
        <f>'1ª EM'!$F43</f>
        <v>0</v>
      </c>
      <c r="H479" s="362">
        <f>'1ª EM'!$G43</f>
        <v>0</v>
      </c>
      <c r="I479" s="364">
        <f>'1ª EM'!$H43</f>
        <v>0</v>
      </c>
      <c r="J479" s="362"/>
      <c r="K479" s="362">
        <f>'1ª EM'!$I43</f>
        <v>0</v>
      </c>
      <c r="L479" s="250">
        <f>'1ª EM'!$J43</f>
        <v>0</v>
      </c>
      <c r="M479" s="362"/>
      <c r="N479" s="252">
        <f>'1ª EM'!$K43</f>
        <v>0</v>
      </c>
      <c r="O479" s="362"/>
      <c r="P479" s="253" t="s">
        <v>110</v>
      </c>
      <c r="Q479" s="415" t="s">
        <v>251</v>
      </c>
      <c r="R479" s="383">
        <f>'1ª EM'!$L43</f>
        <v>0</v>
      </c>
      <c r="S479" s="383">
        <f>'1ª EM'!$M43</f>
        <v>0</v>
      </c>
      <c r="T479" s="383">
        <f>'1ª EM'!$N43</f>
        <v>0</v>
      </c>
      <c r="U479" s="383">
        <f>'1ª EM'!$O43</f>
        <v>0</v>
      </c>
      <c r="V479" s="383">
        <f>'1ª EM'!$P43</f>
        <v>0</v>
      </c>
      <c r="W479" s="383">
        <f>'1ª EM'!$Q43</f>
        <v>0</v>
      </c>
      <c r="X479" s="383">
        <f>'1ª EM'!$R43</f>
        <v>0</v>
      </c>
      <c r="Y479" s="383">
        <f>'1ª EM'!$S43</f>
        <v>0</v>
      </c>
      <c r="Z479" s="384">
        <f>'1ª EM'!$T43</f>
        <v>0</v>
      </c>
      <c r="AA479" s="384">
        <f>'1ª EM'!$U43</f>
        <v>0</v>
      </c>
      <c r="AB479" s="385" t="s">
        <v>329</v>
      </c>
      <c r="AC479" s="385"/>
      <c r="AD479" s="435" t="s">
        <v>466</v>
      </c>
    </row>
    <row r="480" spans="1:30" ht="15.75" x14ac:dyDescent="0.25">
      <c r="A480" s="416" t="str">
        <f>RIGHT('[1]1ª EM'!$A$5:$D$5,12)</f>
        <v>1ª SÉRIE E.M</v>
      </c>
      <c r="B480" s="451">
        <v>39</v>
      </c>
      <c r="C480" s="248">
        <f>'1ª EM'!$B44</f>
        <v>0</v>
      </c>
      <c r="D480" s="362">
        <f>'1ª EM'!$C44</f>
        <v>0</v>
      </c>
      <c r="E480" s="249">
        <f>'1ª EM'!$D44</f>
        <v>0</v>
      </c>
      <c r="F480" s="249">
        <f>'1ª EM'!$E44</f>
        <v>0</v>
      </c>
      <c r="G480" s="250">
        <f>'1ª EM'!$F44</f>
        <v>0</v>
      </c>
      <c r="H480" s="362">
        <f>'1ª EM'!$G44</f>
        <v>0</v>
      </c>
      <c r="I480" s="364">
        <f>'1ª EM'!$H44</f>
        <v>0</v>
      </c>
      <c r="J480" s="362"/>
      <c r="K480" s="362">
        <f>'1ª EM'!$I44</f>
        <v>0</v>
      </c>
      <c r="L480" s="250">
        <f>'1ª EM'!$J44</f>
        <v>0</v>
      </c>
      <c r="M480" s="362"/>
      <c r="N480" s="252">
        <f>'1ª EM'!$K44</f>
        <v>0</v>
      </c>
      <c r="O480" s="362"/>
      <c r="P480" s="253" t="s">
        <v>110</v>
      </c>
      <c r="Q480" s="415" t="s">
        <v>251</v>
      </c>
      <c r="R480" s="383">
        <f>'1ª EM'!$L44</f>
        <v>0</v>
      </c>
      <c r="S480" s="383">
        <f>'1ª EM'!$M44</f>
        <v>0</v>
      </c>
      <c r="T480" s="383">
        <f>'1ª EM'!$N44</f>
        <v>0</v>
      </c>
      <c r="U480" s="383">
        <f>'1ª EM'!$O44</f>
        <v>0</v>
      </c>
      <c r="V480" s="383">
        <f>'1ª EM'!$P44</f>
        <v>0</v>
      </c>
      <c r="W480" s="383">
        <f>'1ª EM'!$Q44</f>
        <v>0</v>
      </c>
      <c r="X480" s="383">
        <f>'1ª EM'!$R44</f>
        <v>0</v>
      </c>
      <c r="Y480" s="383">
        <f>'1ª EM'!$S44</f>
        <v>0</v>
      </c>
      <c r="Z480" s="384">
        <f>'1ª EM'!$T44</f>
        <v>0</v>
      </c>
      <c r="AA480" s="384">
        <f>'1ª EM'!$U44</f>
        <v>0</v>
      </c>
      <c r="AB480" s="385" t="s">
        <v>329</v>
      </c>
      <c r="AC480" s="385"/>
      <c r="AD480" s="435" t="s">
        <v>466</v>
      </c>
    </row>
    <row r="481" spans="1:30" ht="15.75" x14ac:dyDescent="0.25">
      <c r="A481" s="416" t="str">
        <f>RIGHT('[1]1ª EM'!$A$5:$D$5,12)</f>
        <v>1ª SÉRIE E.M</v>
      </c>
      <c r="B481" s="451">
        <v>40</v>
      </c>
      <c r="C481" s="248">
        <f>'1ª EM'!$B45</f>
        <v>0</v>
      </c>
      <c r="D481" s="362">
        <f>'1ª EM'!$C45</f>
        <v>0</v>
      </c>
      <c r="E481" s="249">
        <f>'1ª EM'!$D45</f>
        <v>0</v>
      </c>
      <c r="F481" s="249">
        <f>'1ª EM'!$E45</f>
        <v>0</v>
      </c>
      <c r="G481" s="250">
        <f>'1ª EM'!$F45</f>
        <v>0</v>
      </c>
      <c r="H481" s="362">
        <f>'1ª EM'!$G45</f>
        <v>0</v>
      </c>
      <c r="I481" s="364">
        <f>'1ª EM'!$H45</f>
        <v>0</v>
      </c>
      <c r="J481" s="362"/>
      <c r="K481" s="362">
        <f>'1ª EM'!$I45</f>
        <v>0</v>
      </c>
      <c r="L481" s="250">
        <f>'1ª EM'!$J45</f>
        <v>0</v>
      </c>
      <c r="M481" s="362"/>
      <c r="N481" s="252">
        <f>'1ª EM'!$K45</f>
        <v>0</v>
      </c>
      <c r="O481" s="362"/>
      <c r="P481" s="253" t="s">
        <v>110</v>
      </c>
      <c r="Q481" s="415" t="s">
        <v>251</v>
      </c>
      <c r="R481" s="383">
        <f>'1ª EM'!$L45</f>
        <v>0</v>
      </c>
      <c r="S481" s="383">
        <f>'1ª EM'!$M45</f>
        <v>0</v>
      </c>
      <c r="T481" s="383">
        <f>'1ª EM'!$N45</f>
        <v>0</v>
      </c>
      <c r="U481" s="383">
        <f>'1ª EM'!$O45</f>
        <v>0</v>
      </c>
      <c r="V481" s="383">
        <f>'1ª EM'!$P45</f>
        <v>0</v>
      </c>
      <c r="W481" s="383">
        <f>'1ª EM'!$Q45</f>
        <v>0</v>
      </c>
      <c r="X481" s="383">
        <f>'1ª EM'!$R45</f>
        <v>0</v>
      </c>
      <c r="Y481" s="383">
        <f>'1ª EM'!$S45</f>
        <v>0</v>
      </c>
      <c r="Z481" s="384">
        <f>'1ª EM'!$T45</f>
        <v>0</v>
      </c>
      <c r="AA481" s="384">
        <f>'1ª EM'!$U45</f>
        <v>0</v>
      </c>
      <c r="AB481" s="385" t="s">
        <v>329</v>
      </c>
      <c r="AC481" s="385"/>
      <c r="AD481" s="435" t="s">
        <v>466</v>
      </c>
    </row>
    <row r="482" spans="1:30" ht="15.75" x14ac:dyDescent="0.25">
      <c r="A482" s="416" t="str">
        <f>RIGHT('[1]1ª EM'!$A$5:$D$5,12)</f>
        <v>1ª SÉRIE E.M</v>
      </c>
      <c r="B482" s="451">
        <v>41</v>
      </c>
      <c r="C482" s="248">
        <f>'1ª EM'!$B46</f>
        <v>0</v>
      </c>
      <c r="D482" s="362">
        <f>'1ª EM'!$C46</f>
        <v>0</v>
      </c>
      <c r="E482" s="249">
        <f>'1ª EM'!$D46</f>
        <v>0</v>
      </c>
      <c r="F482" s="249">
        <f>'1ª EM'!$E46</f>
        <v>0</v>
      </c>
      <c r="G482" s="250">
        <f>'1ª EM'!$F46</f>
        <v>0</v>
      </c>
      <c r="H482" s="362">
        <f>'1ª EM'!$G46</f>
        <v>0</v>
      </c>
      <c r="I482" s="364">
        <f>'1ª EM'!$H46</f>
        <v>0</v>
      </c>
      <c r="J482" s="362"/>
      <c r="K482" s="362">
        <f>'1ª EM'!$I46</f>
        <v>0</v>
      </c>
      <c r="L482" s="250">
        <f>'1ª EM'!$J46</f>
        <v>0</v>
      </c>
      <c r="M482" s="362"/>
      <c r="N482" s="252">
        <f>'1ª EM'!$K46</f>
        <v>0</v>
      </c>
      <c r="O482" s="362"/>
      <c r="P482" s="253" t="s">
        <v>110</v>
      </c>
      <c r="Q482" s="415" t="s">
        <v>251</v>
      </c>
      <c r="R482" s="383">
        <f>'1ª EM'!$L46</f>
        <v>0</v>
      </c>
      <c r="S482" s="383">
        <f>'1ª EM'!$M46</f>
        <v>0</v>
      </c>
      <c r="T482" s="383">
        <f>'1ª EM'!$N46</f>
        <v>0</v>
      </c>
      <c r="U482" s="383">
        <f>'1ª EM'!$O46</f>
        <v>0</v>
      </c>
      <c r="V482" s="383">
        <f>'1ª EM'!$P46</f>
        <v>0</v>
      </c>
      <c r="W482" s="383">
        <f>'1ª EM'!$Q46</f>
        <v>0</v>
      </c>
      <c r="X482" s="383">
        <f>'1ª EM'!$R46</f>
        <v>0</v>
      </c>
      <c r="Y482" s="383">
        <f>'1ª EM'!$S46</f>
        <v>0</v>
      </c>
      <c r="Z482" s="384">
        <f>'1ª EM'!$T46</f>
        <v>0</v>
      </c>
      <c r="AA482" s="384">
        <f>'1ª EM'!$U46</f>
        <v>0</v>
      </c>
      <c r="AB482" s="385" t="s">
        <v>329</v>
      </c>
      <c r="AC482" s="385"/>
      <c r="AD482" s="435" t="s">
        <v>466</v>
      </c>
    </row>
    <row r="483" spans="1:30" ht="15.75" x14ac:dyDescent="0.25">
      <c r="A483" s="416" t="str">
        <f>RIGHT('[1]1ª EM'!$A$5:$D$5,12)</f>
        <v>1ª SÉRIE E.M</v>
      </c>
      <c r="B483" s="451">
        <v>42</v>
      </c>
      <c r="C483" s="248">
        <f>'1ª EM'!$B47</f>
        <v>0</v>
      </c>
      <c r="D483" s="362">
        <f>'1ª EM'!$C47</f>
        <v>0</v>
      </c>
      <c r="E483" s="249">
        <f>'1ª EM'!$D47</f>
        <v>0</v>
      </c>
      <c r="F483" s="249">
        <f>'1ª EM'!$E47</f>
        <v>0</v>
      </c>
      <c r="G483" s="250">
        <f>'1ª EM'!$F47</f>
        <v>0</v>
      </c>
      <c r="H483" s="362">
        <f>'1ª EM'!$G47</f>
        <v>0</v>
      </c>
      <c r="I483" s="364">
        <f>'1ª EM'!$H47</f>
        <v>0</v>
      </c>
      <c r="J483" s="362"/>
      <c r="K483" s="362">
        <f>'1ª EM'!$I47</f>
        <v>0</v>
      </c>
      <c r="L483" s="250">
        <f>'1ª EM'!$J47</f>
        <v>0</v>
      </c>
      <c r="M483" s="362"/>
      <c r="N483" s="252">
        <f>'1ª EM'!$K47</f>
        <v>0</v>
      </c>
      <c r="O483" s="362"/>
      <c r="P483" s="253" t="s">
        <v>110</v>
      </c>
      <c r="Q483" s="415" t="s">
        <v>251</v>
      </c>
      <c r="R483" s="383">
        <f>'1ª EM'!$L47</f>
        <v>0</v>
      </c>
      <c r="S483" s="383">
        <f>'1ª EM'!$M47</f>
        <v>0</v>
      </c>
      <c r="T483" s="383">
        <f>'1ª EM'!$N47</f>
        <v>0</v>
      </c>
      <c r="U483" s="383">
        <f>'1ª EM'!$O47</f>
        <v>0</v>
      </c>
      <c r="V483" s="383">
        <f>'1ª EM'!$P47</f>
        <v>0</v>
      </c>
      <c r="W483" s="383">
        <f>'1ª EM'!$Q47</f>
        <v>0</v>
      </c>
      <c r="X483" s="383">
        <f>'1ª EM'!$R47</f>
        <v>0</v>
      </c>
      <c r="Y483" s="383">
        <f>'1ª EM'!$S47</f>
        <v>0</v>
      </c>
      <c r="Z483" s="384">
        <f>'1ª EM'!$T47</f>
        <v>0</v>
      </c>
      <c r="AA483" s="384">
        <f>'1ª EM'!$U47</f>
        <v>0</v>
      </c>
      <c r="AB483" s="385" t="s">
        <v>329</v>
      </c>
      <c r="AC483" s="385"/>
      <c r="AD483" s="435" t="s">
        <v>466</v>
      </c>
    </row>
    <row r="484" spans="1:30" ht="15.75" x14ac:dyDescent="0.25">
      <c r="A484" s="416" t="str">
        <f>RIGHT('[1]1ª EM'!$A$5:$D$5,12)</f>
        <v>1ª SÉRIE E.M</v>
      </c>
      <c r="B484" s="451">
        <v>43</v>
      </c>
      <c r="C484" s="248">
        <f>'1ª EM'!$B48</f>
        <v>0</v>
      </c>
      <c r="D484" s="362">
        <f>'1ª EM'!$C48</f>
        <v>0</v>
      </c>
      <c r="E484" s="249">
        <f>'1ª EM'!$D48</f>
        <v>0</v>
      </c>
      <c r="F484" s="249">
        <f>'1ª EM'!$E48</f>
        <v>0</v>
      </c>
      <c r="G484" s="250">
        <f>'1ª EM'!$F48</f>
        <v>0</v>
      </c>
      <c r="H484" s="362">
        <f>'1ª EM'!$G48</f>
        <v>0</v>
      </c>
      <c r="I484" s="364">
        <f>'1ª EM'!$H48</f>
        <v>0</v>
      </c>
      <c r="J484" s="362"/>
      <c r="K484" s="362">
        <f>'1ª EM'!$I48</f>
        <v>0</v>
      </c>
      <c r="L484" s="250">
        <f>'1ª EM'!$J48</f>
        <v>0</v>
      </c>
      <c r="M484" s="362"/>
      <c r="N484" s="252">
        <f>'1ª EM'!$K48</f>
        <v>0</v>
      </c>
      <c r="O484" s="362"/>
      <c r="P484" s="253" t="s">
        <v>110</v>
      </c>
      <c r="Q484" s="415" t="s">
        <v>251</v>
      </c>
      <c r="R484" s="383">
        <f>'1ª EM'!$L48</f>
        <v>0</v>
      </c>
      <c r="S484" s="383">
        <f>'1ª EM'!$M48</f>
        <v>0</v>
      </c>
      <c r="T484" s="383">
        <f>'1ª EM'!$N48</f>
        <v>0</v>
      </c>
      <c r="U484" s="383">
        <f>'1ª EM'!$O48</f>
        <v>0</v>
      </c>
      <c r="V484" s="383">
        <f>'1ª EM'!$P48</f>
        <v>0</v>
      </c>
      <c r="W484" s="383">
        <f>'1ª EM'!$Q48</f>
        <v>0</v>
      </c>
      <c r="X484" s="383">
        <f>'1ª EM'!$R48</f>
        <v>0</v>
      </c>
      <c r="Y484" s="383">
        <f>'1ª EM'!$S48</f>
        <v>0</v>
      </c>
      <c r="Z484" s="384">
        <f>'1ª EM'!$T48</f>
        <v>0</v>
      </c>
      <c r="AA484" s="384">
        <f>'1ª EM'!$U48</f>
        <v>0</v>
      </c>
      <c r="AB484" s="385" t="s">
        <v>329</v>
      </c>
      <c r="AC484" s="385"/>
      <c r="AD484" s="435" t="s">
        <v>466</v>
      </c>
    </row>
    <row r="485" spans="1:30" ht="15.75" x14ac:dyDescent="0.25">
      <c r="A485" s="416" t="str">
        <f>RIGHT('[1]1ª EM'!$A$5:$D$5,12)</f>
        <v>1ª SÉRIE E.M</v>
      </c>
      <c r="B485" s="451">
        <v>44</v>
      </c>
      <c r="C485" s="248">
        <f>'1ª EM'!$B49</f>
        <v>0</v>
      </c>
      <c r="D485" s="362">
        <f>'1ª EM'!$C49</f>
        <v>0</v>
      </c>
      <c r="E485" s="249">
        <f>'1ª EM'!$D49</f>
        <v>0</v>
      </c>
      <c r="F485" s="249">
        <f>'1ª EM'!$E49</f>
        <v>0</v>
      </c>
      <c r="G485" s="250">
        <f>'1ª EM'!$F49</f>
        <v>0</v>
      </c>
      <c r="H485" s="362">
        <f>'1ª EM'!$G49</f>
        <v>0</v>
      </c>
      <c r="I485" s="364">
        <f>'1ª EM'!$H49</f>
        <v>0</v>
      </c>
      <c r="J485" s="362"/>
      <c r="K485" s="362">
        <f>'1ª EM'!$I49</f>
        <v>0</v>
      </c>
      <c r="L485" s="250">
        <f>'1ª EM'!$J49</f>
        <v>0</v>
      </c>
      <c r="M485" s="362"/>
      <c r="N485" s="252">
        <f>'1ª EM'!$K49</f>
        <v>0</v>
      </c>
      <c r="O485" s="362"/>
      <c r="P485" s="253" t="s">
        <v>110</v>
      </c>
      <c r="Q485" s="415" t="s">
        <v>251</v>
      </c>
      <c r="R485" s="383">
        <f>'1ª EM'!$L49</f>
        <v>0</v>
      </c>
      <c r="S485" s="383">
        <f>'1ª EM'!$M49</f>
        <v>0</v>
      </c>
      <c r="T485" s="383">
        <f>'1ª EM'!$N49</f>
        <v>0</v>
      </c>
      <c r="U485" s="383">
        <f>'1ª EM'!$O49</f>
        <v>0</v>
      </c>
      <c r="V485" s="383">
        <f>'1ª EM'!$P49</f>
        <v>0</v>
      </c>
      <c r="W485" s="383">
        <f>'1ª EM'!$Q49</f>
        <v>0</v>
      </c>
      <c r="X485" s="383">
        <f>'1ª EM'!$R49</f>
        <v>0</v>
      </c>
      <c r="Y485" s="383">
        <f>'1ª EM'!$S49</f>
        <v>0</v>
      </c>
      <c r="Z485" s="384">
        <f>'1ª EM'!$T49</f>
        <v>0</v>
      </c>
      <c r="AA485" s="384">
        <f>'1ª EM'!$U49</f>
        <v>0</v>
      </c>
      <c r="AB485" s="385" t="s">
        <v>329</v>
      </c>
      <c r="AC485" s="385"/>
      <c r="AD485" s="435" t="s">
        <v>466</v>
      </c>
    </row>
    <row r="486" spans="1:30" ht="15.75" x14ac:dyDescent="0.25">
      <c r="A486" s="416" t="str">
        <f>RIGHT('[1]1ª EM'!$A$5:$D$5,12)</f>
        <v>1ª SÉRIE E.M</v>
      </c>
      <c r="B486" s="451">
        <v>45</v>
      </c>
      <c r="C486" s="248">
        <f>'1ª EM'!$B50</f>
        <v>0</v>
      </c>
      <c r="D486" s="362">
        <f>'1ª EM'!$C50</f>
        <v>0</v>
      </c>
      <c r="E486" s="249">
        <f>'1ª EM'!$D50</f>
        <v>0</v>
      </c>
      <c r="F486" s="249">
        <f>'1ª EM'!$E50</f>
        <v>0</v>
      </c>
      <c r="G486" s="250">
        <f>'1ª EM'!$F50</f>
        <v>0</v>
      </c>
      <c r="H486" s="362">
        <f>'1ª EM'!$G50</f>
        <v>0</v>
      </c>
      <c r="I486" s="364">
        <f>'1ª EM'!$H50</f>
        <v>0</v>
      </c>
      <c r="J486" s="362"/>
      <c r="K486" s="362">
        <f>'1ª EM'!$I50</f>
        <v>0</v>
      </c>
      <c r="L486" s="250">
        <f>'1ª EM'!$J50</f>
        <v>0</v>
      </c>
      <c r="M486" s="362"/>
      <c r="N486" s="252">
        <f>'1ª EM'!$K50</f>
        <v>0</v>
      </c>
      <c r="O486" s="362"/>
      <c r="P486" s="253" t="s">
        <v>110</v>
      </c>
      <c r="Q486" s="415" t="s">
        <v>251</v>
      </c>
      <c r="R486" s="383">
        <f>'1ª EM'!$L50</f>
        <v>0</v>
      </c>
      <c r="S486" s="383">
        <f>'1ª EM'!$M50</f>
        <v>0</v>
      </c>
      <c r="T486" s="383">
        <f>'1ª EM'!$N50</f>
        <v>0</v>
      </c>
      <c r="U486" s="383">
        <f>'1ª EM'!$O50</f>
        <v>0</v>
      </c>
      <c r="V486" s="383">
        <f>'1ª EM'!$P50</f>
        <v>0</v>
      </c>
      <c r="W486" s="383">
        <f>'1ª EM'!$Q50</f>
        <v>0</v>
      </c>
      <c r="X486" s="383">
        <f>'1ª EM'!$R50</f>
        <v>0</v>
      </c>
      <c r="Y486" s="383">
        <f>'1ª EM'!$S50</f>
        <v>0</v>
      </c>
      <c r="Z486" s="384">
        <f>'1ª EM'!$T50</f>
        <v>0</v>
      </c>
      <c r="AA486" s="384">
        <f>'1ª EM'!$U50</f>
        <v>0</v>
      </c>
      <c r="AB486" s="385" t="s">
        <v>329</v>
      </c>
      <c r="AC486" s="385"/>
      <c r="AD486" s="435" t="s">
        <v>466</v>
      </c>
    </row>
    <row r="487" spans="1:30" ht="15.75" x14ac:dyDescent="0.25">
      <c r="A487" s="416" t="str">
        <f>RIGHT('[1]1ª EM'!$A$5:$D$5,12)</f>
        <v>1ª SÉRIE E.M</v>
      </c>
      <c r="B487" s="451">
        <v>46</v>
      </c>
      <c r="C487" s="248">
        <f>'1ª EM'!$B51</f>
        <v>0</v>
      </c>
      <c r="D487" s="362">
        <f>'1ª EM'!$C51</f>
        <v>0</v>
      </c>
      <c r="E487" s="249">
        <f>'1ª EM'!$D51</f>
        <v>0</v>
      </c>
      <c r="F487" s="249">
        <f>'1ª EM'!$E51</f>
        <v>0</v>
      </c>
      <c r="G487" s="250">
        <f>'1ª EM'!$F51</f>
        <v>0</v>
      </c>
      <c r="H487" s="362">
        <f>'1ª EM'!$G51</f>
        <v>0</v>
      </c>
      <c r="I487" s="364">
        <f>'1ª EM'!$H51</f>
        <v>0</v>
      </c>
      <c r="J487" s="362"/>
      <c r="K487" s="362">
        <f>'1ª EM'!$I51</f>
        <v>0</v>
      </c>
      <c r="L487" s="250">
        <f>'1ª EM'!$J51</f>
        <v>0</v>
      </c>
      <c r="M487" s="362"/>
      <c r="N487" s="252">
        <f>'1ª EM'!$K51</f>
        <v>0</v>
      </c>
      <c r="O487" s="362"/>
      <c r="P487" s="253" t="s">
        <v>110</v>
      </c>
      <c r="Q487" s="415" t="s">
        <v>251</v>
      </c>
      <c r="R487" s="383">
        <f>'1ª EM'!$L51</f>
        <v>0</v>
      </c>
      <c r="S487" s="383">
        <f>'1ª EM'!$M51</f>
        <v>0</v>
      </c>
      <c r="T487" s="383">
        <f>'1ª EM'!$N51</f>
        <v>0</v>
      </c>
      <c r="U487" s="383">
        <f>'1ª EM'!$O51</f>
        <v>0</v>
      </c>
      <c r="V487" s="383">
        <f>'1ª EM'!$P51</f>
        <v>0</v>
      </c>
      <c r="W487" s="383">
        <f>'1ª EM'!$Q51</f>
        <v>0</v>
      </c>
      <c r="X487" s="383">
        <f>'1ª EM'!$R51</f>
        <v>0</v>
      </c>
      <c r="Y487" s="383">
        <f>'1ª EM'!$S51</f>
        <v>0</v>
      </c>
      <c r="Z487" s="384">
        <f>'1ª EM'!$T51</f>
        <v>0</v>
      </c>
      <c r="AA487" s="384">
        <f>'1ª EM'!$U51</f>
        <v>0</v>
      </c>
      <c r="AB487" s="385" t="s">
        <v>329</v>
      </c>
      <c r="AC487" s="385"/>
      <c r="AD487" s="435" t="s">
        <v>466</v>
      </c>
    </row>
    <row r="488" spans="1:30" ht="15.75" x14ac:dyDescent="0.25">
      <c r="A488" s="416" t="str">
        <f>RIGHT('[1]1ª EM'!$A$5:$D$5,12)</f>
        <v>1ª SÉRIE E.M</v>
      </c>
      <c r="B488" s="451">
        <v>47</v>
      </c>
      <c r="C488" s="248">
        <f>'1ª EM'!$B52</f>
        <v>0</v>
      </c>
      <c r="D488" s="362">
        <f>'1ª EM'!$C52</f>
        <v>0</v>
      </c>
      <c r="E488" s="249">
        <f>'1ª EM'!$D52</f>
        <v>0</v>
      </c>
      <c r="F488" s="249">
        <f>'1ª EM'!$E52</f>
        <v>0</v>
      </c>
      <c r="G488" s="250">
        <f>'1ª EM'!$F52</f>
        <v>0</v>
      </c>
      <c r="H488" s="362">
        <f>'1ª EM'!$G52</f>
        <v>0</v>
      </c>
      <c r="I488" s="364">
        <f>'1ª EM'!$H52</f>
        <v>0</v>
      </c>
      <c r="J488" s="362"/>
      <c r="K488" s="362">
        <f>'1ª EM'!$I52</f>
        <v>0</v>
      </c>
      <c r="L488" s="250">
        <f>'1ª EM'!$J52</f>
        <v>0</v>
      </c>
      <c r="M488" s="362"/>
      <c r="N488" s="252">
        <f>'1ª EM'!$K52</f>
        <v>0</v>
      </c>
      <c r="O488" s="362"/>
      <c r="P488" s="253" t="s">
        <v>110</v>
      </c>
      <c r="Q488" s="415" t="s">
        <v>251</v>
      </c>
      <c r="R488" s="383">
        <f>'1ª EM'!$L52</f>
        <v>0</v>
      </c>
      <c r="S488" s="383">
        <f>'1ª EM'!$M52</f>
        <v>0</v>
      </c>
      <c r="T488" s="383">
        <f>'1ª EM'!$N52</f>
        <v>0</v>
      </c>
      <c r="U488" s="383">
        <f>'1ª EM'!$O52</f>
        <v>0</v>
      </c>
      <c r="V488" s="383">
        <f>'1ª EM'!$P52</f>
        <v>0</v>
      </c>
      <c r="W488" s="383">
        <f>'1ª EM'!$Q52</f>
        <v>0</v>
      </c>
      <c r="X488" s="383">
        <f>'1ª EM'!$R52</f>
        <v>0</v>
      </c>
      <c r="Y488" s="383">
        <f>'1ª EM'!$S52</f>
        <v>0</v>
      </c>
      <c r="Z488" s="384">
        <f>'1ª EM'!$T52</f>
        <v>0</v>
      </c>
      <c r="AA488" s="384">
        <f>'1ª EM'!$U52</f>
        <v>0</v>
      </c>
      <c r="AB488" s="385" t="s">
        <v>329</v>
      </c>
      <c r="AC488" s="385"/>
      <c r="AD488" s="435" t="s">
        <v>466</v>
      </c>
    </row>
    <row r="489" spans="1:30" ht="15.75" x14ac:dyDescent="0.25">
      <c r="A489" s="416" t="str">
        <f>RIGHT('[1]1ª EM'!$A$5:$D$5,12)</f>
        <v>1ª SÉRIE E.M</v>
      </c>
      <c r="B489" s="451">
        <v>48</v>
      </c>
      <c r="C489" s="248">
        <f>'1ª EM'!$B53</f>
        <v>0</v>
      </c>
      <c r="D489" s="362">
        <f>'1ª EM'!$C53</f>
        <v>0</v>
      </c>
      <c r="E489" s="249">
        <f>'1ª EM'!$D53</f>
        <v>0</v>
      </c>
      <c r="F489" s="249">
        <f>'1ª EM'!$E53</f>
        <v>0</v>
      </c>
      <c r="G489" s="250">
        <f>'1ª EM'!$F53</f>
        <v>0</v>
      </c>
      <c r="H489" s="362">
        <f>'1ª EM'!$G53</f>
        <v>0</v>
      </c>
      <c r="I489" s="364">
        <f>'1ª EM'!$H53</f>
        <v>0</v>
      </c>
      <c r="J489" s="362"/>
      <c r="K489" s="362">
        <f>'1ª EM'!$I53</f>
        <v>0</v>
      </c>
      <c r="L489" s="250">
        <f>'1ª EM'!$J53</f>
        <v>0</v>
      </c>
      <c r="M489" s="362"/>
      <c r="N489" s="252">
        <f>'1ª EM'!$K53</f>
        <v>0</v>
      </c>
      <c r="O489" s="362"/>
      <c r="P489" s="253" t="s">
        <v>110</v>
      </c>
      <c r="Q489" s="415" t="s">
        <v>251</v>
      </c>
      <c r="R489" s="383">
        <f>'1ª EM'!$L53</f>
        <v>0</v>
      </c>
      <c r="S489" s="383">
        <f>'1ª EM'!$M53</f>
        <v>0</v>
      </c>
      <c r="T489" s="383">
        <f>'1ª EM'!$N53</f>
        <v>0</v>
      </c>
      <c r="U489" s="383">
        <f>'1ª EM'!$O53</f>
        <v>0</v>
      </c>
      <c r="V489" s="383">
        <f>'1ª EM'!$P53</f>
        <v>0</v>
      </c>
      <c r="W489" s="383">
        <f>'1ª EM'!$Q53</f>
        <v>0</v>
      </c>
      <c r="X489" s="383">
        <f>'1ª EM'!$R53</f>
        <v>0</v>
      </c>
      <c r="Y489" s="383">
        <f>'1ª EM'!$S53</f>
        <v>0</v>
      </c>
      <c r="Z489" s="384">
        <f>'1ª EM'!$T53</f>
        <v>0</v>
      </c>
      <c r="AA489" s="384">
        <f>'1ª EM'!$U53</f>
        <v>0</v>
      </c>
      <c r="AB489" s="385" t="s">
        <v>329</v>
      </c>
      <c r="AC489" s="385"/>
      <c r="AD489" s="435" t="s">
        <v>466</v>
      </c>
    </row>
    <row r="490" spans="1:30" ht="15.75" x14ac:dyDescent="0.25">
      <c r="A490" s="416" t="str">
        <f>RIGHT('[1]1ª EM'!$A$5:$D$5,12)</f>
        <v>1ª SÉRIE E.M</v>
      </c>
      <c r="B490" s="451">
        <v>49</v>
      </c>
      <c r="C490" s="248">
        <f>'1ª EM'!$B54</f>
        <v>0</v>
      </c>
      <c r="D490" s="362">
        <f>'1ª EM'!$C54</f>
        <v>0</v>
      </c>
      <c r="E490" s="249">
        <f>'1ª EM'!$D54</f>
        <v>0</v>
      </c>
      <c r="F490" s="249">
        <f>'1ª EM'!$E54</f>
        <v>0</v>
      </c>
      <c r="G490" s="250">
        <f>'1ª EM'!$F54</f>
        <v>0</v>
      </c>
      <c r="H490" s="362">
        <f>'1ª EM'!$G54</f>
        <v>0</v>
      </c>
      <c r="I490" s="364">
        <f>'1ª EM'!$H54</f>
        <v>0</v>
      </c>
      <c r="J490" s="362"/>
      <c r="K490" s="362">
        <f>'1ª EM'!$I54</f>
        <v>0</v>
      </c>
      <c r="L490" s="250">
        <f>'1ª EM'!$J54</f>
        <v>0</v>
      </c>
      <c r="M490" s="362"/>
      <c r="N490" s="252">
        <f>'1ª EM'!$K54</f>
        <v>0</v>
      </c>
      <c r="O490" s="362"/>
      <c r="P490" s="253" t="s">
        <v>110</v>
      </c>
      <c r="Q490" s="415" t="s">
        <v>251</v>
      </c>
      <c r="R490" s="383">
        <f>'1ª EM'!$L54</f>
        <v>0</v>
      </c>
      <c r="S490" s="383">
        <f>'1ª EM'!$M54</f>
        <v>0</v>
      </c>
      <c r="T490" s="383">
        <f>'1ª EM'!$N54</f>
        <v>0</v>
      </c>
      <c r="U490" s="383">
        <f>'1ª EM'!$O54</f>
        <v>0</v>
      </c>
      <c r="V490" s="383">
        <f>'1ª EM'!$P54</f>
        <v>0</v>
      </c>
      <c r="W490" s="383">
        <f>'1ª EM'!$Q54</f>
        <v>0</v>
      </c>
      <c r="X490" s="383">
        <f>'1ª EM'!$R54</f>
        <v>0</v>
      </c>
      <c r="Y490" s="383">
        <f>'1ª EM'!$S54</f>
        <v>0</v>
      </c>
      <c r="Z490" s="384">
        <f>'1ª EM'!$T54</f>
        <v>0</v>
      </c>
      <c r="AA490" s="384">
        <f>'1ª EM'!$U54</f>
        <v>0</v>
      </c>
      <c r="AB490" s="385" t="s">
        <v>329</v>
      </c>
      <c r="AC490" s="385"/>
      <c r="AD490" s="435" t="s">
        <v>466</v>
      </c>
    </row>
    <row r="491" spans="1:30" ht="15.75" x14ac:dyDescent="0.25">
      <c r="A491" s="416" t="str">
        <f>RIGHT('[1]1ª EM'!$A$5:$D$5,12)</f>
        <v>1ª SÉRIE E.M</v>
      </c>
      <c r="B491" s="451">
        <v>50</v>
      </c>
      <c r="C491" s="248">
        <f>'1ª EM'!$B55</f>
        <v>0</v>
      </c>
      <c r="D491" s="362">
        <f>'1ª EM'!$C55</f>
        <v>0</v>
      </c>
      <c r="E491" s="249">
        <f>'1ª EM'!$D55</f>
        <v>0</v>
      </c>
      <c r="F491" s="249">
        <f>'1ª EM'!$E55</f>
        <v>0</v>
      </c>
      <c r="G491" s="250">
        <f>'1ª EM'!$F55</f>
        <v>0</v>
      </c>
      <c r="H491" s="362">
        <f>'1ª EM'!$G55</f>
        <v>0</v>
      </c>
      <c r="I491" s="364">
        <f>'1ª EM'!$H55</f>
        <v>0</v>
      </c>
      <c r="J491" s="362"/>
      <c r="K491" s="362">
        <f>'1ª EM'!$I55</f>
        <v>0</v>
      </c>
      <c r="L491" s="250">
        <f>'1ª EM'!$J55</f>
        <v>0</v>
      </c>
      <c r="M491" s="362"/>
      <c r="N491" s="252">
        <f>'1ª EM'!$K55</f>
        <v>0</v>
      </c>
      <c r="O491" s="362"/>
      <c r="P491" s="253" t="s">
        <v>110</v>
      </c>
      <c r="Q491" s="415" t="s">
        <v>251</v>
      </c>
      <c r="R491" s="383">
        <f>'1ª EM'!$L55</f>
        <v>0</v>
      </c>
      <c r="S491" s="383">
        <f>'1ª EM'!$M55</f>
        <v>0</v>
      </c>
      <c r="T491" s="383">
        <f>'1ª EM'!$N55</f>
        <v>0</v>
      </c>
      <c r="U491" s="383">
        <f>'1ª EM'!$O55</f>
        <v>0</v>
      </c>
      <c r="V491" s="383">
        <f>'1ª EM'!$P55</f>
        <v>0</v>
      </c>
      <c r="W491" s="383">
        <f>'1ª EM'!$Q55</f>
        <v>0</v>
      </c>
      <c r="X491" s="383">
        <f>'1ª EM'!$R55</f>
        <v>0</v>
      </c>
      <c r="Y491" s="383">
        <f>'1ª EM'!$S55</f>
        <v>0</v>
      </c>
      <c r="Z491" s="384">
        <f>'1ª EM'!$T55</f>
        <v>0</v>
      </c>
      <c r="AA491" s="384">
        <f>'1ª EM'!$U55</f>
        <v>0</v>
      </c>
      <c r="AB491" s="385" t="s">
        <v>329</v>
      </c>
      <c r="AC491" s="385"/>
      <c r="AD491" s="435" t="s">
        <v>466</v>
      </c>
    </row>
    <row r="492" spans="1:30" ht="15.75" x14ac:dyDescent="0.25">
      <c r="A492" s="416" t="str">
        <f>RIGHT('[1]1ª EM'!$A$5:$D$5,12)</f>
        <v>1ª SÉRIE E.M</v>
      </c>
      <c r="B492" s="451">
        <v>51</v>
      </c>
      <c r="C492" s="248">
        <f>'1ª EM'!$B56</f>
        <v>0</v>
      </c>
      <c r="D492" s="362">
        <f>'1ª EM'!$C56</f>
        <v>0</v>
      </c>
      <c r="E492" s="249">
        <f>'1ª EM'!$D56</f>
        <v>0</v>
      </c>
      <c r="F492" s="249">
        <f>'1ª EM'!$E56</f>
        <v>0</v>
      </c>
      <c r="G492" s="250">
        <f>'1ª EM'!$F56</f>
        <v>0</v>
      </c>
      <c r="H492" s="362">
        <f>'1ª EM'!$G56</f>
        <v>0</v>
      </c>
      <c r="I492" s="364">
        <f>'1ª EM'!$H56</f>
        <v>0</v>
      </c>
      <c r="J492" s="362"/>
      <c r="K492" s="362">
        <f>'1ª EM'!$I56</f>
        <v>0</v>
      </c>
      <c r="L492" s="250">
        <f>'1ª EM'!$J56</f>
        <v>0</v>
      </c>
      <c r="M492" s="362"/>
      <c r="N492" s="252">
        <f>'1ª EM'!$K56</f>
        <v>0</v>
      </c>
      <c r="O492" s="362"/>
      <c r="P492" s="253" t="s">
        <v>110</v>
      </c>
      <c r="Q492" s="415" t="s">
        <v>251</v>
      </c>
      <c r="R492" s="383">
        <f>'1ª EM'!$L56</f>
        <v>0</v>
      </c>
      <c r="S492" s="383">
        <f>'1ª EM'!$M56</f>
        <v>0</v>
      </c>
      <c r="T492" s="383">
        <f>'1ª EM'!$N56</f>
        <v>0</v>
      </c>
      <c r="U492" s="383">
        <f>'1ª EM'!$O56</f>
        <v>0</v>
      </c>
      <c r="V492" s="383">
        <f>'1ª EM'!$P56</f>
        <v>0</v>
      </c>
      <c r="W492" s="383">
        <f>'1ª EM'!$Q56</f>
        <v>0</v>
      </c>
      <c r="X492" s="383">
        <f>'1ª EM'!$R56</f>
        <v>0</v>
      </c>
      <c r="Y492" s="383">
        <f>'1ª EM'!$S56</f>
        <v>0</v>
      </c>
      <c r="Z492" s="384">
        <f>'1ª EM'!$T56</f>
        <v>0</v>
      </c>
      <c r="AA492" s="384">
        <f>'1ª EM'!$U56</f>
        <v>0</v>
      </c>
      <c r="AB492" s="385" t="s">
        <v>329</v>
      </c>
      <c r="AC492" s="385"/>
      <c r="AD492" s="435" t="s">
        <v>466</v>
      </c>
    </row>
    <row r="493" spans="1:30" ht="15.75" x14ac:dyDescent="0.25">
      <c r="A493" s="416" t="str">
        <f>RIGHT('[1]1ª EM'!$A$5:$D$5,12)</f>
        <v>1ª SÉRIE E.M</v>
      </c>
      <c r="B493" s="451">
        <v>52</v>
      </c>
      <c r="C493" s="248">
        <f>'1ª EM'!$B57</f>
        <v>0</v>
      </c>
      <c r="D493" s="362">
        <f>'1ª EM'!$C57</f>
        <v>0</v>
      </c>
      <c r="E493" s="249">
        <f>'1ª EM'!$D57</f>
        <v>0</v>
      </c>
      <c r="F493" s="249">
        <f>'1ª EM'!$E57</f>
        <v>0</v>
      </c>
      <c r="G493" s="250">
        <f>'1ª EM'!$F57</f>
        <v>0</v>
      </c>
      <c r="H493" s="362">
        <f>'1ª EM'!$G57</f>
        <v>0</v>
      </c>
      <c r="I493" s="364">
        <f>'1ª EM'!$H57</f>
        <v>0</v>
      </c>
      <c r="J493" s="362"/>
      <c r="K493" s="362">
        <f>'1ª EM'!$I57</f>
        <v>0</v>
      </c>
      <c r="L493" s="250">
        <f>'1ª EM'!$J57</f>
        <v>0</v>
      </c>
      <c r="M493" s="362"/>
      <c r="N493" s="252">
        <f>'1ª EM'!$K57</f>
        <v>0</v>
      </c>
      <c r="O493" s="362"/>
      <c r="P493" s="253" t="s">
        <v>110</v>
      </c>
      <c r="Q493" s="415" t="s">
        <v>251</v>
      </c>
      <c r="R493" s="383">
        <f>'1ª EM'!$L57</f>
        <v>0</v>
      </c>
      <c r="S493" s="383">
        <f>'1ª EM'!$M57</f>
        <v>0</v>
      </c>
      <c r="T493" s="383">
        <f>'1ª EM'!$N57</f>
        <v>0</v>
      </c>
      <c r="U493" s="383">
        <f>'1ª EM'!$O57</f>
        <v>0</v>
      </c>
      <c r="V493" s="383">
        <f>'1ª EM'!$P57</f>
        <v>0</v>
      </c>
      <c r="W493" s="383">
        <f>'1ª EM'!$Q57</f>
        <v>0</v>
      </c>
      <c r="X493" s="383">
        <f>'1ª EM'!$R57</f>
        <v>0</v>
      </c>
      <c r="Y493" s="383">
        <f>'1ª EM'!$S57</f>
        <v>0</v>
      </c>
      <c r="Z493" s="384">
        <f>'1ª EM'!$T57</f>
        <v>0</v>
      </c>
      <c r="AA493" s="384">
        <f>'1ª EM'!$U57</f>
        <v>0</v>
      </c>
      <c r="AB493" s="385" t="s">
        <v>329</v>
      </c>
      <c r="AC493" s="385"/>
      <c r="AD493" s="435" t="s">
        <v>466</v>
      </c>
    </row>
    <row r="494" spans="1:30" ht="15.75" x14ac:dyDescent="0.25">
      <c r="A494" s="416" t="str">
        <f>RIGHT('[1]1ª EM'!$A$5:$D$5,12)</f>
        <v>1ª SÉRIE E.M</v>
      </c>
      <c r="B494" s="451">
        <v>53</v>
      </c>
      <c r="C494" s="248">
        <f>'1ª EM'!$B58</f>
        <v>0</v>
      </c>
      <c r="D494" s="362">
        <f>'1ª EM'!$C58</f>
        <v>0</v>
      </c>
      <c r="E494" s="249">
        <f>'1ª EM'!$D58</f>
        <v>0</v>
      </c>
      <c r="F494" s="249">
        <f>'1ª EM'!$E58</f>
        <v>0</v>
      </c>
      <c r="G494" s="250">
        <f>'1ª EM'!$F58</f>
        <v>0</v>
      </c>
      <c r="H494" s="362">
        <f>'1ª EM'!$G58</f>
        <v>0</v>
      </c>
      <c r="I494" s="364">
        <f>'1ª EM'!$H58</f>
        <v>0</v>
      </c>
      <c r="J494" s="362"/>
      <c r="K494" s="362">
        <f>'1ª EM'!$I58</f>
        <v>0</v>
      </c>
      <c r="L494" s="250">
        <f>'1ª EM'!$J58</f>
        <v>0</v>
      </c>
      <c r="M494" s="362"/>
      <c r="N494" s="252">
        <f>'1ª EM'!$K58</f>
        <v>0</v>
      </c>
      <c r="O494" s="362"/>
      <c r="P494" s="253" t="s">
        <v>110</v>
      </c>
      <c r="Q494" s="415" t="s">
        <v>251</v>
      </c>
      <c r="R494" s="383">
        <f>'1ª EM'!$L58</f>
        <v>0</v>
      </c>
      <c r="S494" s="383">
        <f>'1ª EM'!$M58</f>
        <v>0</v>
      </c>
      <c r="T494" s="383">
        <f>'1ª EM'!$N58</f>
        <v>0</v>
      </c>
      <c r="U494" s="383">
        <f>'1ª EM'!$O58</f>
        <v>0</v>
      </c>
      <c r="V494" s="383">
        <f>'1ª EM'!$P58</f>
        <v>0</v>
      </c>
      <c r="W494" s="383">
        <f>'1ª EM'!$Q58</f>
        <v>0</v>
      </c>
      <c r="X494" s="383">
        <f>'1ª EM'!$R58</f>
        <v>0</v>
      </c>
      <c r="Y494" s="383">
        <f>'1ª EM'!$S58</f>
        <v>0</v>
      </c>
      <c r="Z494" s="384">
        <f>'1ª EM'!$T58</f>
        <v>0</v>
      </c>
      <c r="AA494" s="384">
        <f>'1ª EM'!$U58</f>
        <v>0</v>
      </c>
      <c r="AB494" s="385" t="s">
        <v>329</v>
      </c>
      <c r="AC494" s="385"/>
      <c r="AD494" s="435" t="s">
        <v>466</v>
      </c>
    </row>
    <row r="495" spans="1:30" ht="15.75" x14ac:dyDescent="0.25">
      <c r="A495" s="416" t="str">
        <f>RIGHT('[1]1ª EM'!$A$5:$D$5,12)</f>
        <v>1ª SÉRIE E.M</v>
      </c>
      <c r="B495" s="451">
        <v>54</v>
      </c>
      <c r="C495" s="248">
        <f>'1ª EM'!$B59</f>
        <v>0</v>
      </c>
      <c r="D495" s="362">
        <f>'1ª EM'!$C59</f>
        <v>0</v>
      </c>
      <c r="E495" s="249">
        <f>'1ª EM'!$D59</f>
        <v>0</v>
      </c>
      <c r="F495" s="249">
        <f>'1ª EM'!$E59</f>
        <v>0</v>
      </c>
      <c r="G495" s="250">
        <f>'1ª EM'!$F59</f>
        <v>0</v>
      </c>
      <c r="H495" s="362">
        <f>'1ª EM'!$G59</f>
        <v>0</v>
      </c>
      <c r="I495" s="364">
        <f>'1ª EM'!$H59</f>
        <v>0</v>
      </c>
      <c r="J495" s="362"/>
      <c r="K495" s="362">
        <f>'1ª EM'!$I59</f>
        <v>0</v>
      </c>
      <c r="L495" s="250">
        <f>'1ª EM'!$J59</f>
        <v>0</v>
      </c>
      <c r="M495" s="362"/>
      <c r="N495" s="252">
        <f>'1ª EM'!$K59</f>
        <v>0</v>
      </c>
      <c r="O495" s="362"/>
      <c r="P495" s="253" t="s">
        <v>110</v>
      </c>
      <c r="Q495" s="415" t="s">
        <v>251</v>
      </c>
      <c r="R495" s="383">
        <f>'1ª EM'!$L59</f>
        <v>0</v>
      </c>
      <c r="S495" s="383">
        <f>'1ª EM'!$M59</f>
        <v>0</v>
      </c>
      <c r="T495" s="383">
        <f>'1ª EM'!$N59</f>
        <v>0</v>
      </c>
      <c r="U495" s="383">
        <f>'1ª EM'!$O59</f>
        <v>0</v>
      </c>
      <c r="V495" s="383">
        <f>'1ª EM'!$P59</f>
        <v>0</v>
      </c>
      <c r="W495" s="383">
        <f>'1ª EM'!$Q59</f>
        <v>0</v>
      </c>
      <c r="X495" s="383">
        <f>'1ª EM'!$R59</f>
        <v>0</v>
      </c>
      <c r="Y495" s="383">
        <f>'1ª EM'!$S59</f>
        <v>0</v>
      </c>
      <c r="Z495" s="384">
        <f>'1ª EM'!$T59</f>
        <v>0</v>
      </c>
      <c r="AA495" s="384">
        <f>'1ª EM'!$U59</f>
        <v>0</v>
      </c>
      <c r="AB495" s="385" t="s">
        <v>329</v>
      </c>
      <c r="AC495" s="385"/>
      <c r="AD495" s="435" t="s">
        <v>466</v>
      </c>
    </row>
    <row r="496" spans="1:30" ht="15.75" x14ac:dyDescent="0.25">
      <c r="A496" s="416" t="str">
        <f>RIGHT('[1]1ª EM'!$A$5:$D$5,12)</f>
        <v>1ª SÉRIE E.M</v>
      </c>
      <c r="B496" s="451">
        <v>55</v>
      </c>
      <c r="C496" s="248">
        <f>'1ª EM'!$B60</f>
        <v>0</v>
      </c>
      <c r="D496" s="362">
        <f>'1ª EM'!$C60</f>
        <v>0</v>
      </c>
      <c r="E496" s="249">
        <f>'1ª EM'!$D60</f>
        <v>0</v>
      </c>
      <c r="F496" s="249">
        <f>'1ª EM'!$E60</f>
        <v>0</v>
      </c>
      <c r="G496" s="250">
        <f>'1ª EM'!$F60</f>
        <v>0</v>
      </c>
      <c r="H496" s="362">
        <f>'1ª EM'!$G60</f>
        <v>0</v>
      </c>
      <c r="I496" s="364">
        <f>'1ª EM'!$H60</f>
        <v>0</v>
      </c>
      <c r="J496" s="362"/>
      <c r="K496" s="362">
        <f>'1ª EM'!$I60</f>
        <v>0</v>
      </c>
      <c r="L496" s="250">
        <f>'1ª EM'!$J60</f>
        <v>0</v>
      </c>
      <c r="M496" s="362"/>
      <c r="N496" s="252">
        <f>'1ª EM'!$K60</f>
        <v>0</v>
      </c>
      <c r="O496" s="362"/>
      <c r="P496" s="253" t="s">
        <v>110</v>
      </c>
      <c r="Q496" s="415" t="s">
        <v>251</v>
      </c>
      <c r="R496" s="383">
        <f>'1ª EM'!$L60</f>
        <v>0</v>
      </c>
      <c r="S496" s="383">
        <f>'1ª EM'!$M60</f>
        <v>0</v>
      </c>
      <c r="T496" s="383">
        <f>'1ª EM'!$N60</f>
        <v>0</v>
      </c>
      <c r="U496" s="383">
        <f>'1ª EM'!$O60</f>
        <v>0</v>
      </c>
      <c r="V496" s="383">
        <f>'1ª EM'!$P60</f>
        <v>0</v>
      </c>
      <c r="W496" s="383">
        <f>'1ª EM'!$Q60</f>
        <v>0</v>
      </c>
      <c r="X496" s="383">
        <f>'1ª EM'!$R60</f>
        <v>0</v>
      </c>
      <c r="Y496" s="383">
        <f>'1ª EM'!$S60</f>
        <v>0</v>
      </c>
      <c r="Z496" s="384">
        <f>'1ª EM'!$T60</f>
        <v>0</v>
      </c>
      <c r="AA496" s="384">
        <f>'1ª EM'!$U60</f>
        <v>0</v>
      </c>
      <c r="AB496" s="385" t="s">
        <v>329</v>
      </c>
      <c r="AC496" s="385"/>
      <c r="AD496" s="435" t="s">
        <v>466</v>
      </c>
    </row>
    <row r="497" spans="1:30" s="446" customFormat="1" ht="15.75" x14ac:dyDescent="0.25">
      <c r="A497" s="387" t="str">
        <f>RIGHT('[1]2ª EM'!$A$5:$D$5,12)</f>
        <v>2ª SÉRIE E.M</v>
      </c>
      <c r="B497" s="388">
        <v>1</v>
      </c>
      <c r="C497" s="389">
        <f>'2ª EM'!$B7</f>
        <v>18762</v>
      </c>
      <c r="D497" s="390" t="str">
        <f>'2ª EM'!$C7</f>
        <v>BIANCA SILVA DO ESPIRITO SANTO</v>
      </c>
      <c r="E497" s="391" t="str">
        <f>'2ª EM'!$D7</f>
        <v>F</v>
      </c>
      <c r="F497" s="391" t="str">
        <f>'2ª EM'!E7</f>
        <v>MA</v>
      </c>
      <c r="G497" s="392">
        <f>'2ª EM'!F7</f>
        <v>36277</v>
      </c>
      <c r="H497" s="390">
        <f>'2ª EM'!G7</f>
        <v>0</v>
      </c>
      <c r="I497" s="393" t="str">
        <f>'2ª EM'!$H7</f>
        <v>57665254-4</v>
      </c>
      <c r="J497" s="390"/>
      <c r="K497" s="390">
        <f>'2ª EM'!$I7</f>
        <v>0</v>
      </c>
      <c r="L497" s="392" t="str">
        <f>'2ª EM'!$J7</f>
        <v>DISP. FILHOS</v>
      </c>
      <c r="M497" s="390"/>
      <c r="N497" s="394">
        <f ca="1">'2ª EM'!$K7</f>
        <v>26</v>
      </c>
      <c r="O497" s="390"/>
      <c r="P497" s="395" t="s">
        <v>110</v>
      </c>
      <c r="Q497" s="396" t="s">
        <v>251</v>
      </c>
      <c r="R497" s="397" t="str">
        <f>'2ª EM'!$L7</f>
        <v>Não</v>
      </c>
      <c r="S497" s="397" t="str">
        <f>'2ª EM'!$M7</f>
        <v>-</v>
      </c>
      <c r="T497" s="397" t="str">
        <f>'2ª EM'!$N7</f>
        <v>-</v>
      </c>
      <c r="U497" s="397" t="str">
        <f>'2ª EM'!$O7</f>
        <v>-</v>
      </c>
      <c r="V497" s="397" t="str">
        <f>'2ª EM'!$P7</f>
        <v>-</v>
      </c>
      <c r="W497" s="397" t="str">
        <f>'2ª EM'!$Q7</f>
        <v>-</v>
      </c>
      <c r="X497" s="397" t="str">
        <f>'2ª EM'!$R7</f>
        <v>-</v>
      </c>
      <c r="Y497" s="397" t="str">
        <f>'2ª EM'!$S7</f>
        <v>-</v>
      </c>
      <c r="Z497" s="398">
        <f>'2ª EM'!$T7</f>
        <v>0</v>
      </c>
      <c r="AA497" s="398">
        <f>'2ª EM'!$U7</f>
        <v>0</v>
      </c>
      <c r="AB497" s="399" t="s">
        <v>330</v>
      </c>
      <c r="AC497" s="399"/>
      <c r="AD497" s="435" t="s">
        <v>466</v>
      </c>
    </row>
    <row r="498" spans="1:30" ht="15.75" x14ac:dyDescent="0.25">
      <c r="A498" s="416" t="str">
        <f>RIGHT('[1]2ª EM'!$A$5:$D$5,12)</f>
        <v>2ª SÉRIE E.M</v>
      </c>
      <c r="B498" s="451">
        <v>2</v>
      </c>
      <c r="C498" s="248">
        <f>'2ª EM'!$B8</f>
        <v>17680</v>
      </c>
      <c r="D498" s="362" t="str">
        <f>'2ª EM'!$C8</f>
        <v>BRUNO JORGE FONSECA ALEGRET FREIRE</v>
      </c>
      <c r="E498" s="249" t="str">
        <f>'2ª EM'!$D8</f>
        <v>M</v>
      </c>
      <c r="F498" s="249" t="str">
        <f>'2ª EM'!E8</f>
        <v>MA</v>
      </c>
      <c r="G498" s="250">
        <f>'2ª EM'!F8</f>
        <v>33444</v>
      </c>
      <c r="H498" s="362" t="str">
        <f>'2ª EM'!G8</f>
        <v>49616164-7</v>
      </c>
      <c r="I498" s="363" t="str">
        <f>'2ª EM'!$H8</f>
        <v>36754521-4</v>
      </c>
      <c r="J498" s="362"/>
      <c r="K498" s="362" t="str">
        <f>'2ª EM'!$I8</f>
        <v>INCLUSÃO</v>
      </c>
      <c r="L498" s="250" t="str">
        <f ca="1">'2ª EM'!$J8</f>
        <v>DISP.IDADE</v>
      </c>
      <c r="M498" s="362"/>
      <c r="N498" s="252">
        <f ca="1">'2ª EM'!$K8</f>
        <v>34</v>
      </c>
      <c r="O498" s="362"/>
      <c r="P498" s="253" t="s">
        <v>110</v>
      </c>
      <c r="Q498" s="415" t="s">
        <v>251</v>
      </c>
      <c r="R498" s="383" t="str">
        <f>'2ª EM'!$L8</f>
        <v>Sim</v>
      </c>
      <c r="S498" s="383" t="str">
        <f>'2ª EM'!$M8</f>
        <v>-</v>
      </c>
      <c r="T498" s="383" t="str">
        <f>'2ª EM'!$N8</f>
        <v>-</v>
      </c>
      <c r="U498" s="383" t="str">
        <f>'2ª EM'!$O8</f>
        <v>Layde R. Reis Loria</v>
      </c>
      <c r="V498" s="383" t="str">
        <f>'2ª EM'!$P8</f>
        <v>DI</v>
      </c>
      <c r="W498" s="383" t="str">
        <f>'2ª EM'!$Q8</f>
        <v>-</v>
      </c>
      <c r="X498" s="383" t="str">
        <f>'2ª EM'!$R8</f>
        <v>Não</v>
      </c>
      <c r="Y498" s="383" t="str">
        <f>'2ª EM'!$S8</f>
        <v>NEN</v>
      </c>
      <c r="Z498" s="384">
        <f>'2ª EM'!$T8</f>
        <v>0</v>
      </c>
      <c r="AA498" s="384">
        <f>'2ª EM'!$U8</f>
        <v>0</v>
      </c>
      <c r="AB498" s="385" t="s">
        <v>330</v>
      </c>
      <c r="AC498" s="385"/>
      <c r="AD498" s="435" t="s">
        <v>466</v>
      </c>
    </row>
    <row r="499" spans="1:30" ht="15.75" x14ac:dyDescent="0.25">
      <c r="A499" s="416" t="str">
        <f>RIGHT('[1]2ª EM'!$A$5:$D$5,12)</f>
        <v>2ª SÉRIE E.M</v>
      </c>
      <c r="B499" s="451">
        <v>3</v>
      </c>
      <c r="C499" s="248">
        <f>'2ª EM'!$B9</f>
        <v>10691</v>
      </c>
      <c r="D499" s="362" t="str">
        <f>'2ª EM'!$C9</f>
        <v>DANILO FERREIRA DA SILVA</v>
      </c>
      <c r="E499" s="249" t="str">
        <f>'2ª EM'!$D9</f>
        <v>M</v>
      </c>
      <c r="F499" s="249" t="str">
        <f>'2ª EM'!E9</f>
        <v>MA</v>
      </c>
      <c r="G499" s="250">
        <f>'2ª EM'!F9</f>
        <v>32987</v>
      </c>
      <c r="H499" s="362" t="str">
        <f>'2ª EM'!G9</f>
        <v>46758338-9</v>
      </c>
      <c r="I499" s="363" t="str">
        <f>'2ª EM'!$H9</f>
        <v>46758338-9</v>
      </c>
      <c r="J499" s="362"/>
      <c r="K499" s="362">
        <f>'2ª EM'!$I9</f>
        <v>0</v>
      </c>
      <c r="L499" s="250" t="str">
        <f ca="1">'2ª EM'!$J9</f>
        <v>DISP.IDADE</v>
      </c>
      <c r="M499" s="362"/>
      <c r="N499" s="252">
        <f ca="1">'2ª EM'!$K9</f>
        <v>35</v>
      </c>
      <c r="O499" s="362"/>
      <c r="P499" s="253" t="s">
        <v>110</v>
      </c>
      <c r="Q499" s="415" t="s">
        <v>251</v>
      </c>
      <c r="R499" s="383" t="str">
        <f>'2ª EM'!$L9</f>
        <v>Não</v>
      </c>
      <c r="S499" s="383" t="str">
        <f>'2ª EM'!$M9</f>
        <v>-</v>
      </c>
      <c r="T499" s="383" t="str">
        <f>'2ª EM'!$N9</f>
        <v>-</v>
      </c>
      <c r="U499" s="383" t="str">
        <f>'2ª EM'!$O9</f>
        <v>-</v>
      </c>
      <c r="V499" s="383" t="str">
        <f>'2ª EM'!$P9</f>
        <v>-</v>
      </c>
      <c r="W499" s="383" t="str">
        <f>'2ª EM'!$Q9</f>
        <v>-</v>
      </c>
      <c r="X499" s="383" t="str">
        <f>'2ª EM'!$R9</f>
        <v>-</v>
      </c>
      <c r="Y499" s="383" t="str">
        <f>'2ª EM'!$S9</f>
        <v>-</v>
      </c>
      <c r="Z499" s="384">
        <f>'2ª EM'!$T9</f>
        <v>0</v>
      </c>
      <c r="AA499" s="384">
        <f>'2ª EM'!$U9</f>
        <v>0</v>
      </c>
      <c r="AB499" s="385" t="s">
        <v>330</v>
      </c>
      <c r="AC499" s="385"/>
      <c r="AD499" s="435" t="s">
        <v>466</v>
      </c>
    </row>
    <row r="500" spans="1:30" ht="15.75" x14ac:dyDescent="0.25">
      <c r="A500" s="416" t="str">
        <f>RIGHT('[1]2ª EM'!$A$5:$D$5,12)</f>
        <v>2ª SÉRIE E.M</v>
      </c>
      <c r="B500" s="451">
        <v>4</v>
      </c>
      <c r="C500" s="248">
        <f>'2ª EM'!$B10</f>
        <v>17897</v>
      </c>
      <c r="D500" s="362" t="str">
        <f>'2ª EM'!$C10</f>
        <v>ERIVALDO DE JESUS SILVA</v>
      </c>
      <c r="E500" s="249" t="str">
        <f>'2ª EM'!$D10</f>
        <v>M</v>
      </c>
      <c r="F500" s="249" t="str">
        <f>'2ª EM'!E10</f>
        <v>MA</v>
      </c>
      <c r="G500" s="250">
        <f>'2ª EM'!F10</f>
        <v>31894</v>
      </c>
      <c r="H500" s="362" t="str">
        <f>'2ª EM'!G10</f>
        <v>109755373-5</v>
      </c>
      <c r="I500" s="363" t="str">
        <f>'2ª EM'!$H10</f>
        <v>52584368-1</v>
      </c>
      <c r="J500" s="362"/>
      <c r="K500" s="362">
        <f>'2ª EM'!$I10</f>
        <v>0</v>
      </c>
      <c r="L500" s="250" t="str">
        <f ca="1">'2ª EM'!$J10</f>
        <v>DISP.IDADE</v>
      </c>
      <c r="M500" s="362"/>
      <c r="N500" s="252">
        <f ca="1">'2ª EM'!$K10</f>
        <v>38</v>
      </c>
      <c r="O500" s="362"/>
      <c r="P500" s="253" t="s">
        <v>110</v>
      </c>
      <c r="Q500" s="415" t="s">
        <v>251</v>
      </c>
      <c r="R500" s="383" t="str">
        <f>'2ª EM'!$L10</f>
        <v>Não</v>
      </c>
      <c r="S500" s="383" t="str">
        <f>'2ª EM'!$M10</f>
        <v>-</v>
      </c>
      <c r="T500" s="383" t="str">
        <f>'2ª EM'!$N10</f>
        <v>-</v>
      </c>
      <c r="U500" s="383" t="str">
        <f>'2ª EM'!$O10</f>
        <v>-</v>
      </c>
      <c r="V500" s="383" t="str">
        <f>'2ª EM'!$P10</f>
        <v>-</v>
      </c>
      <c r="W500" s="383" t="str">
        <f>'2ª EM'!$Q10</f>
        <v>-</v>
      </c>
      <c r="X500" s="383" t="str">
        <f>'2ª EM'!$R10</f>
        <v>-</v>
      </c>
      <c r="Y500" s="383" t="str">
        <f>'2ª EM'!$S10</f>
        <v>-</v>
      </c>
      <c r="Z500" s="384">
        <f>'2ª EM'!$T10</f>
        <v>0</v>
      </c>
      <c r="AA500" s="384">
        <f>'2ª EM'!$U10</f>
        <v>0</v>
      </c>
      <c r="AB500" s="385" t="s">
        <v>330</v>
      </c>
      <c r="AC500" s="385"/>
      <c r="AD500" s="435" t="s">
        <v>466</v>
      </c>
    </row>
    <row r="501" spans="1:30" ht="15.75" x14ac:dyDescent="0.25">
      <c r="A501" s="416" t="str">
        <f>RIGHT('[1]2ª EM'!$A$5:$D$5,12)</f>
        <v>2ª SÉRIE E.M</v>
      </c>
      <c r="B501" s="451">
        <v>5</v>
      </c>
      <c r="C501" s="248">
        <f>'2ª EM'!$B11</f>
        <v>6267</v>
      </c>
      <c r="D501" s="362" t="str">
        <f>'2ª EM'!$C11</f>
        <v>FERNANDA APARECIDA CARDOSO</v>
      </c>
      <c r="E501" s="249" t="str">
        <f>'2ª EM'!$D11</f>
        <v>F</v>
      </c>
      <c r="F501" s="249" t="str">
        <f>'2ª EM'!E11</f>
        <v>MA</v>
      </c>
      <c r="G501" s="250">
        <f>'2ª EM'!F11</f>
        <v>27084</v>
      </c>
      <c r="H501" s="362" t="str">
        <f>'2ª EM'!G11</f>
        <v>24733713-4</v>
      </c>
      <c r="I501" s="363">
        <f>'2ª EM'!$H11</f>
        <v>0</v>
      </c>
      <c r="J501" s="362"/>
      <c r="K501" s="362">
        <f>'2ª EM'!$I11</f>
        <v>0</v>
      </c>
      <c r="L501" s="250" t="str">
        <f ca="1">'2ª EM'!$J11</f>
        <v>DISP.IDADE</v>
      </c>
      <c r="M501" s="362"/>
      <c r="N501" s="252">
        <f ca="1">'2ª EM'!$K11</f>
        <v>51</v>
      </c>
      <c r="O501" s="362"/>
      <c r="P501" s="253" t="s">
        <v>110</v>
      </c>
      <c r="Q501" s="415" t="s">
        <v>251</v>
      </c>
      <c r="R501" s="383" t="str">
        <f>'2ª EM'!$L11</f>
        <v>Não</v>
      </c>
      <c r="S501" s="383" t="str">
        <f>'2ª EM'!$M11</f>
        <v>-</v>
      </c>
      <c r="T501" s="383" t="str">
        <f>'2ª EM'!$N11</f>
        <v>-</v>
      </c>
      <c r="U501" s="383" t="str">
        <f>'2ª EM'!$O11</f>
        <v>-</v>
      </c>
      <c r="V501" s="383" t="str">
        <f>'2ª EM'!$P11</f>
        <v>-</v>
      </c>
      <c r="W501" s="383" t="str">
        <f>'2ª EM'!$Q11</f>
        <v>-</v>
      </c>
      <c r="X501" s="383" t="str">
        <f>'2ª EM'!$R11</f>
        <v>-</v>
      </c>
      <c r="Y501" s="383" t="str">
        <f>'2ª EM'!$S11</f>
        <v>-</v>
      </c>
      <c r="Z501" s="384">
        <f>'2ª EM'!$T11</f>
        <v>0</v>
      </c>
      <c r="AA501" s="384">
        <f>'2ª EM'!$U11</f>
        <v>0</v>
      </c>
      <c r="AB501" s="385" t="s">
        <v>330</v>
      </c>
      <c r="AC501" s="385"/>
      <c r="AD501" s="435" t="s">
        <v>466</v>
      </c>
    </row>
    <row r="502" spans="1:30" ht="15.75" x14ac:dyDescent="0.25">
      <c r="A502" s="416" t="str">
        <f>RIGHT('[1]2ª EM'!$A$5:$D$5,12)</f>
        <v>2ª SÉRIE E.M</v>
      </c>
      <c r="B502" s="451">
        <v>6</v>
      </c>
      <c r="C502" s="248">
        <f>'2ª EM'!$B12</f>
        <v>18763</v>
      </c>
      <c r="D502" s="362" t="str">
        <f>'2ª EM'!$C12</f>
        <v>GABRIEL SANTANA VEIGA</v>
      </c>
      <c r="E502" s="249" t="str">
        <f>'2ª EM'!$D12</f>
        <v>M</v>
      </c>
      <c r="F502" s="249" t="str">
        <f>'2ª EM'!E12</f>
        <v>MA</v>
      </c>
      <c r="G502" s="250">
        <f>'2ª EM'!F12</f>
        <v>38753</v>
      </c>
      <c r="H502" s="362">
        <f>'2ª EM'!G12</f>
        <v>0</v>
      </c>
      <c r="I502" s="363" t="str">
        <f>'2ª EM'!$H12</f>
        <v>60700670-5</v>
      </c>
      <c r="J502" s="362"/>
      <c r="K502" s="362">
        <f>'2ª EM'!$I12</f>
        <v>0</v>
      </c>
      <c r="L502" s="250" t="str">
        <f ca="1">'2ª EM'!$J12</f>
        <v/>
      </c>
      <c r="M502" s="362"/>
      <c r="N502" s="252">
        <f ca="1">'2ª EM'!$K12</f>
        <v>19</v>
      </c>
      <c r="O502" s="362"/>
      <c r="P502" s="253" t="s">
        <v>110</v>
      </c>
      <c r="Q502" s="415" t="s">
        <v>251</v>
      </c>
      <c r="R502" s="383" t="str">
        <f>'2ª EM'!$L12</f>
        <v>Não</v>
      </c>
      <c r="S502" s="383" t="str">
        <f>'2ª EM'!$M12</f>
        <v>-</v>
      </c>
      <c r="T502" s="383" t="str">
        <f>'2ª EM'!$N12</f>
        <v>-</v>
      </c>
      <c r="U502" s="383" t="str">
        <f>'2ª EM'!$O12</f>
        <v>-</v>
      </c>
      <c r="V502" s="383" t="str">
        <f>'2ª EM'!$P12</f>
        <v>-</v>
      </c>
      <c r="W502" s="383" t="str">
        <f>'2ª EM'!$Q12</f>
        <v>-</v>
      </c>
      <c r="X502" s="383" t="str">
        <f>'2ª EM'!$R12</f>
        <v>-</v>
      </c>
      <c r="Y502" s="383" t="str">
        <f>'2ª EM'!$S12</f>
        <v>-</v>
      </c>
      <c r="Z502" s="384">
        <f>'2ª EM'!$T12</f>
        <v>0</v>
      </c>
      <c r="AA502" s="384">
        <f>'2ª EM'!$U12</f>
        <v>0</v>
      </c>
      <c r="AB502" s="385" t="s">
        <v>330</v>
      </c>
      <c r="AC502" s="385"/>
      <c r="AD502" s="435" t="s">
        <v>466</v>
      </c>
    </row>
    <row r="503" spans="1:30" ht="15.75" x14ac:dyDescent="0.25">
      <c r="A503" s="416" t="str">
        <f>RIGHT('[1]2ª EM'!$A$5:$D$5,12)</f>
        <v>2ª SÉRIE E.M</v>
      </c>
      <c r="B503" s="451">
        <v>7</v>
      </c>
      <c r="C503" s="248">
        <f>'2ª EM'!$B13</f>
        <v>18897</v>
      </c>
      <c r="D503" s="362" t="str">
        <f>'2ª EM'!$C13</f>
        <v>JOSE VALDIR DE GODOY</v>
      </c>
      <c r="E503" s="249" t="str">
        <f>'2ª EM'!$D13</f>
        <v>M</v>
      </c>
      <c r="F503" s="249" t="str">
        <f>'2ª EM'!E13</f>
        <v>MA</v>
      </c>
      <c r="G503" s="250">
        <f>'2ª EM'!F13</f>
        <v>21238</v>
      </c>
      <c r="H503" s="362">
        <f>'2ª EM'!G13</f>
        <v>0</v>
      </c>
      <c r="I503" s="363" t="str">
        <f>'2ª EM'!$H13</f>
        <v>10381847-9</v>
      </c>
      <c r="J503" s="362"/>
      <c r="K503" s="362">
        <f>'2ª EM'!$I13</f>
        <v>0</v>
      </c>
      <c r="L503" s="250" t="str">
        <f ca="1">'2ª EM'!$J13</f>
        <v>DISP.IDADE</v>
      </c>
      <c r="M503" s="362"/>
      <c r="N503" s="252">
        <f ca="1">'2ª EM'!$K13</f>
        <v>67</v>
      </c>
      <c r="O503" s="362"/>
      <c r="P503" s="253" t="s">
        <v>110</v>
      </c>
      <c r="Q503" s="415" t="s">
        <v>251</v>
      </c>
      <c r="R503" s="383" t="str">
        <f>'2ª EM'!$L13</f>
        <v>Não</v>
      </c>
      <c r="S503" s="383" t="str">
        <f>'2ª EM'!$M13</f>
        <v>-</v>
      </c>
      <c r="T503" s="383" t="str">
        <f>'2ª EM'!$N13</f>
        <v>-</v>
      </c>
      <c r="U503" s="383" t="str">
        <f>'2ª EM'!$O13</f>
        <v>-</v>
      </c>
      <c r="V503" s="383" t="str">
        <f>'2ª EM'!$P13</f>
        <v>-</v>
      </c>
      <c r="W503" s="383" t="str">
        <f>'2ª EM'!$Q13</f>
        <v>-</v>
      </c>
      <c r="X503" s="383" t="str">
        <f>'2ª EM'!$R13</f>
        <v>-</v>
      </c>
      <c r="Y503" s="383" t="str">
        <f>'2ª EM'!$S13</f>
        <v>-</v>
      </c>
      <c r="Z503" s="384">
        <f>'2ª EM'!$T13</f>
        <v>0</v>
      </c>
      <c r="AA503" s="384">
        <f>'2ª EM'!$U13</f>
        <v>0</v>
      </c>
      <c r="AB503" s="385" t="s">
        <v>330</v>
      </c>
      <c r="AC503" s="385"/>
      <c r="AD503" s="435" t="s">
        <v>466</v>
      </c>
    </row>
    <row r="504" spans="1:30" ht="15.75" x14ac:dyDescent="0.25">
      <c r="A504" s="416" t="str">
        <f>RIGHT('[1]2ª EM'!$A$5:$D$5,12)</f>
        <v>2ª SÉRIE E.M</v>
      </c>
      <c r="B504" s="451">
        <v>8</v>
      </c>
      <c r="C504" s="248">
        <f>'2ª EM'!$B14</f>
        <v>18835</v>
      </c>
      <c r="D504" s="362" t="str">
        <f>'2ª EM'!$C14</f>
        <v>KAYKI FELIPY BERNARDO SILVA</v>
      </c>
      <c r="E504" s="249" t="str">
        <f>'2ª EM'!$D14</f>
        <v>M</v>
      </c>
      <c r="F504" s="249" t="str">
        <f>'2ª EM'!E14</f>
        <v>MA</v>
      </c>
      <c r="G504" s="250">
        <f>'2ª EM'!F14</f>
        <v>39112</v>
      </c>
      <c r="H504" s="362">
        <f>'2ª EM'!G14</f>
        <v>1227437542</v>
      </c>
      <c r="I504" s="363" t="str">
        <f>'2ª EM'!$H14</f>
        <v>32261412-4</v>
      </c>
      <c r="J504" s="362"/>
      <c r="K504" s="362">
        <f>'2ª EM'!$I14</f>
        <v>0</v>
      </c>
      <c r="L504" s="250" t="str">
        <f ca="1">'2ª EM'!$J14</f>
        <v/>
      </c>
      <c r="M504" s="362"/>
      <c r="N504" s="252">
        <f ca="1">'2ª EM'!$K14</f>
        <v>18</v>
      </c>
      <c r="O504" s="362"/>
      <c r="P504" s="253" t="s">
        <v>110</v>
      </c>
      <c r="Q504" s="415" t="s">
        <v>251</v>
      </c>
      <c r="R504" s="383" t="str">
        <f>'2ª EM'!$L14</f>
        <v>Não</v>
      </c>
      <c r="S504" s="383" t="str">
        <f>'2ª EM'!$M14</f>
        <v>-</v>
      </c>
      <c r="T504" s="383" t="str">
        <f>'2ª EM'!$N14</f>
        <v>-</v>
      </c>
      <c r="U504" s="383" t="str">
        <f>'2ª EM'!$O14</f>
        <v>-</v>
      </c>
      <c r="V504" s="383" t="str">
        <f>'2ª EM'!$P14</f>
        <v>-</v>
      </c>
      <c r="W504" s="383" t="str">
        <f>'2ª EM'!$Q14</f>
        <v>-</v>
      </c>
      <c r="X504" s="383" t="str">
        <f>'2ª EM'!$R14</f>
        <v>-</v>
      </c>
      <c r="Y504" s="383" t="str">
        <f>'2ª EM'!$S14</f>
        <v>-</v>
      </c>
      <c r="Z504" s="384">
        <f>'2ª EM'!$T14</f>
        <v>0</v>
      </c>
      <c r="AA504" s="384">
        <f>'2ª EM'!$U14</f>
        <v>0</v>
      </c>
      <c r="AB504" s="385" t="s">
        <v>330</v>
      </c>
      <c r="AC504" s="385"/>
      <c r="AD504" s="435" t="s">
        <v>466</v>
      </c>
    </row>
    <row r="505" spans="1:30" ht="15.75" x14ac:dyDescent="0.25">
      <c r="A505" s="416" t="str">
        <f>RIGHT('[1]2ª EM'!$A$5:$D$5,12)</f>
        <v>2ª SÉRIE E.M</v>
      </c>
      <c r="B505" s="451">
        <v>9</v>
      </c>
      <c r="C505" s="248">
        <f>'2ª EM'!$B15</f>
        <v>18895</v>
      </c>
      <c r="D505" s="362" t="str">
        <f>'2ª EM'!$C15</f>
        <v>LEONARDO DA ROCHA FREIRE</v>
      </c>
      <c r="E505" s="249" t="str">
        <f>'2ª EM'!$D15</f>
        <v>M</v>
      </c>
      <c r="F505" s="249" t="str">
        <f>'2ª EM'!E15</f>
        <v>MA</v>
      </c>
      <c r="G505" s="250">
        <f>'2ª EM'!F15</f>
        <v>38479</v>
      </c>
      <c r="H505" s="362">
        <f>'2ª EM'!G15</f>
        <v>0</v>
      </c>
      <c r="I505" s="363">
        <f>'2ª EM'!$H15</f>
        <v>666396206</v>
      </c>
      <c r="J505" s="362"/>
      <c r="K505" s="362">
        <f>'2ª EM'!$I15</f>
        <v>0</v>
      </c>
      <c r="L505" s="250" t="str">
        <f>'2ª EM'!$J15</f>
        <v>DISP.TRABALHO</v>
      </c>
      <c r="M505" s="362"/>
      <c r="N505" s="252">
        <f ca="1">'2ª EM'!$K15</f>
        <v>20</v>
      </c>
      <c r="O505" s="362"/>
      <c r="P505" s="253" t="s">
        <v>110</v>
      </c>
      <c r="Q505" s="415" t="s">
        <v>251</v>
      </c>
      <c r="R505" s="383" t="str">
        <f>'2ª EM'!$L15</f>
        <v>Não</v>
      </c>
      <c r="S505" s="383" t="str">
        <f>'2ª EM'!$M15</f>
        <v>-</v>
      </c>
      <c r="T505" s="383" t="str">
        <f>'2ª EM'!$N15</f>
        <v>-</v>
      </c>
      <c r="U505" s="383" t="str">
        <f>'2ª EM'!$O15</f>
        <v>-</v>
      </c>
      <c r="V505" s="383" t="str">
        <f>'2ª EM'!$P15</f>
        <v>-</v>
      </c>
      <c r="W505" s="383" t="str">
        <f>'2ª EM'!$Q15</f>
        <v>-</v>
      </c>
      <c r="X505" s="383" t="str">
        <f>'2ª EM'!$R15</f>
        <v>-</v>
      </c>
      <c r="Y505" s="383" t="str">
        <f>'2ª EM'!$S15</f>
        <v>-</v>
      </c>
      <c r="Z505" s="384">
        <f>'2ª EM'!$T15</f>
        <v>0</v>
      </c>
      <c r="AA505" s="384">
        <f>'2ª EM'!$U15</f>
        <v>0</v>
      </c>
      <c r="AB505" s="385" t="s">
        <v>330</v>
      </c>
      <c r="AC505" s="385"/>
      <c r="AD505" s="435" t="s">
        <v>466</v>
      </c>
    </row>
    <row r="506" spans="1:30" ht="15.75" x14ac:dyDescent="0.25">
      <c r="A506" s="416" t="str">
        <f>RIGHT('[1]2ª EM'!$A$5:$D$5,12)</f>
        <v>2ª SÉRIE E.M</v>
      </c>
      <c r="B506" s="451">
        <v>10</v>
      </c>
      <c r="C506" s="248">
        <f>'2ª EM'!$B16</f>
        <v>18537</v>
      </c>
      <c r="D506" s="362" t="str">
        <f>'2ª EM'!$C16</f>
        <v>LINDISELMA CUSTODIO DOS SANTOS</v>
      </c>
      <c r="E506" s="249" t="str">
        <f>'2ª EM'!$D16</f>
        <v>F</v>
      </c>
      <c r="F506" s="249" t="str">
        <f>'2ª EM'!E16</f>
        <v>MA</v>
      </c>
      <c r="G506" s="250">
        <f>'2ª EM'!F16</f>
        <v>25914</v>
      </c>
      <c r="H506" s="362">
        <f>'2ª EM'!G16</f>
        <v>0</v>
      </c>
      <c r="I506" s="363" t="str">
        <f>'2ª EM'!$H16</f>
        <v>36026584-4</v>
      </c>
      <c r="J506" s="362"/>
      <c r="K506" s="362">
        <f>'2ª EM'!$I16</f>
        <v>0</v>
      </c>
      <c r="L506" s="250" t="str">
        <f ca="1">'2ª EM'!$J16</f>
        <v>DISP.IDADE</v>
      </c>
      <c r="M506" s="362"/>
      <c r="N506" s="252">
        <f ca="1">'2ª EM'!$K16</f>
        <v>54</v>
      </c>
      <c r="O506" s="362"/>
      <c r="P506" s="253" t="s">
        <v>110</v>
      </c>
      <c r="Q506" s="415" t="s">
        <v>251</v>
      </c>
      <c r="R506" s="383" t="str">
        <f>'2ª EM'!$L16</f>
        <v>Não</v>
      </c>
      <c r="S506" s="383" t="str">
        <f>'2ª EM'!$M16</f>
        <v>-</v>
      </c>
      <c r="T506" s="383" t="str">
        <f>'2ª EM'!$N16</f>
        <v>-</v>
      </c>
      <c r="U506" s="383" t="str">
        <f>'2ª EM'!$O16</f>
        <v>-</v>
      </c>
      <c r="V506" s="383" t="str">
        <f>'2ª EM'!$P16</f>
        <v>-</v>
      </c>
      <c r="W506" s="383" t="str">
        <f>'2ª EM'!$Q16</f>
        <v>-</v>
      </c>
      <c r="X506" s="383" t="str">
        <f>'2ª EM'!$R16</f>
        <v>-</v>
      </c>
      <c r="Y506" s="383" t="str">
        <f>'2ª EM'!$S16</f>
        <v>-</v>
      </c>
      <c r="Z506" s="384">
        <f>'2ª EM'!$T16</f>
        <v>0</v>
      </c>
      <c r="AA506" s="384">
        <f>'2ª EM'!$U16</f>
        <v>0</v>
      </c>
      <c r="AB506" s="385" t="s">
        <v>330</v>
      </c>
      <c r="AC506" s="385"/>
      <c r="AD506" s="435" t="s">
        <v>466</v>
      </c>
    </row>
    <row r="507" spans="1:30" ht="15.75" x14ac:dyDescent="0.25">
      <c r="A507" s="416" t="str">
        <f>RIGHT('[1]2ª EM'!$A$5:$D$5,12)</f>
        <v>2ª SÉRIE E.M</v>
      </c>
      <c r="B507" s="451">
        <v>11</v>
      </c>
      <c r="C507" s="248">
        <f>'2ª EM'!$B17</f>
        <v>18536</v>
      </c>
      <c r="D507" s="362" t="str">
        <f>'2ª EM'!$C17</f>
        <v>MARIA ZILMAR DOS SANTOS ALVES</v>
      </c>
      <c r="E507" s="249" t="str">
        <f>'2ª EM'!$D17</f>
        <v>F</v>
      </c>
      <c r="F507" s="249" t="str">
        <f>'2ª EM'!E17</f>
        <v>MA</v>
      </c>
      <c r="G507" s="250">
        <f>'2ª EM'!F17</f>
        <v>20584</v>
      </c>
      <c r="H507" s="362">
        <f>'2ª EM'!G17</f>
        <v>0</v>
      </c>
      <c r="I507" s="363" t="str">
        <f>'2ª EM'!$H17</f>
        <v>13887102-4</v>
      </c>
      <c r="J507" s="362"/>
      <c r="K507" s="362">
        <f>'2ª EM'!$I17</f>
        <v>0</v>
      </c>
      <c r="L507" s="250" t="str">
        <f ca="1">'2ª EM'!$J17</f>
        <v>DISP.IDADE</v>
      </c>
      <c r="M507" s="362"/>
      <c r="N507" s="252">
        <f ca="1">'2ª EM'!$K17</f>
        <v>69</v>
      </c>
      <c r="O507" s="362"/>
      <c r="P507" s="253" t="s">
        <v>110</v>
      </c>
      <c r="Q507" s="415" t="s">
        <v>251</v>
      </c>
      <c r="R507" s="383" t="str">
        <f>'2ª EM'!$L17</f>
        <v>Não</v>
      </c>
      <c r="S507" s="383" t="str">
        <f>'2ª EM'!$M17</f>
        <v>-</v>
      </c>
      <c r="T507" s="383" t="str">
        <f>'2ª EM'!$N17</f>
        <v>-</v>
      </c>
      <c r="U507" s="383" t="str">
        <f>'2ª EM'!$O17</f>
        <v>-</v>
      </c>
      <c r="V507" s="383" t="str">
        <f>'2ª EM'!$P17</f>
        <v>-</v>
      </c>
      <c r="W507" s="383" t="str">
        <f>'2ª EM'!$Q17</f>
        <v>-</v>
      </c>
      <c r="X507" s="383" t="str">
        <f>'2ª EM'!$R17</f>
        <v>-</v>
      </c>
      <c r="Y507" s="383" t="str">
        <f>'2ª EM'!$S17</f>
        <v>-</v>
      </c>
      <c r="Z507" s="384">
        <f>'2ª EM'!$T17</f>
        <v>0</v>
      </c>
      <c r="AA507" s="384">
        <f>'2ª EM'!$U17</f>
        <v>0</v>
      </c>
      <c r="AB507" s="385" t="s">
        <v>330</v>
      </c>
      <c r="AC507" s="385"/>
      <c r="AD507" s="435" t="s">
        <v>466</v>
      </c>
    </row>
    <row r="508" spans="1:30" ht="15.75" x14ac:dyDescent="0.25">
      <c r="A508" s="416" t="str">
        <f>RIGHT('[1]2ª EM'!$A$5:$D$5,12)</f>
        <v>2ª SÉRIE E.M</v>
      </c>
      <c r="B508" s="451">
        <v>12</v>
      </c>
      <c r="C508" s="248">
        <f>'2ª EM'!$B18</f>
        <v>7720</v>
      </c>
      <c r="D508" s="362" t="str">
        <f>'2ª EM'!$C18</f>
        <v>NILSON ARMANDO</v>
      </c>
      <c r="E508" s="249" t="str">
        <f>'2ª EM'!$D18</f>
        <v>M</v>
      </c>
      <c r="F508" s="249" t="str">
        <f>'2ª EM'!E18</f>
        <v>MA</v>
      </c>
      <c r="G508" s="250">
        <f>'2ª EM'!F18</f>
        <v>27778</v>
      </c>
      <c r="H508" s="362">
        <f>'2ª EM'!G18</f>
        <v>0</v>
      </c>
      <c r="I508" s="363" t="str">
        <f>'2ª EM'!$H18</f>
        <v>15352002-4</v>
      </c>
      <c r="J508" s="362"/>
      <c r="K508" s="362">
        <f>'2ª EM'!$I18</f>
        <v>0</v>
      </c>
      <c r="L508" s="250" t="str">
        <f ca="1">'2ª EM'!$J18</f>
        <v>DISP.IDADE</v>
      </c>
      <c r="M508" s="362"/>
      <c r="N508" s="252">
        <f ca="1">'2ª EM'!$K18</f>
        <v>49</v>
      </c>
      <c r="O508" s="362"/>
      <c r="P508" s="253" t="s">
        <v>110</v>
      </c>
      <c r="Q508" s="415" t="s">
        <v>251</v>
      </c>
      <c r="R508" s="383" t="str">
        <f>'2ª EM'!$L18</f>
        <v>Não</v>
      </c>
      <c r="S508" s="383" t="str">
        <f>'2ª EM'!$M18</f>
        <v>-</v>
      </c>
      <c r="T508" s="383" t="str">
        <f>'2ª EM'!$N18</f>
        <v>-</v>
      </c>
      <c r="U508" s="383" t="str">
        <f>'2ª EM'!$O18</f>
        <v>-</v>
      </c>
      <c r="V508" s="383" t="str">
        <f>'2ª EM'!$P18</f>
        <v>-</v>
      </c>
      <c r="W508" s="383" t="str">
        <f>'2ª EM'!$Q18</f>
        <v>-</v>
      </c>
      <c r="X508" s="383" t="str">
        <f>'2ª EM'!$R18</f>
        <v>-</v>
      </c>
      <c r="Y508" s="383" t="str">
        <f>'2ª EM'!$S18</f>
        <v>-</v>
      </c>
      <c r="Z508" s="384">
        <f>'2ª EM'!$T18</f>
        <v>0</v>
      </c>
      <c r="AA508" s="384">
        <f>'2ª EM'!$U18</f>
        <v>0</v>
      </c>
      <c r="AB508" s="385" t="s">
        <v>330</v>
      </c>
      <c r="AC508" s="385"/>
      <c r="AD508" s="435" t="s">
        <v>466</v>
      </c>
    </row>
    <row r="509" spans="1:30" ht="15.75" x14ac:dyDescent="0.25">
      <c r="A509" s="416" t="str">
        <f>RIGHT('[1]2ª EM'!$A$5:$D$5,12)</f>
        <v>2ª SÉRIE E.M</v>
      </c>
      <c r="B509" s="451">
        <v>13</v>
      </c>
      <c r="C509" s="248">
        <f>'2ª EM'!$B19</f>
        <v>15119</v>
      </c>
      <c r="D509" s="362" t="str">
        <f>'2ª EM'!$C19</f>
        <v>STEFANI DE MATTOS</v>
      </c>
      <c r="E509" s="249" t="str">
        <f>'2ª EM'!$D19</f>
        <v>F</v>
      </c>
      <c r="F509" s="249" t="str">
        <f>'2ª EM'!E19</f>
        <v>MA</v>
      </c>
      <c r="G509" s="250">
        <f>'2ª EM'!F19</f>
        <v>35486</v>
      </c>
      <c r="H509" s="362">
        <f>'2ª EM'!G19</f>
        <v>0</v>
      </c>
      <c r="I509" s="363" t="str">
        <f>'2ª EM'!$H19</f>
        <v>39262817-X</v>
      </c>
      <c r="J509" s="362"/>
      <c r="K509" s="362">
        <f>'2ª EM'!$I19</f>
        <v>0</v>
      </c>
      <c r="L509" s="250" t="str">
        <f ca="1">'2ª EM'!$J19</f>
        <v/>
      </c>
      <c r="M509" s="362"/>
      <c r="N509" s="252">
        <f ca="1">'2ª EM'!$K19</f>
        <v>28</v>
      </c>
      <c r="O509" s="362"/>
      <c r="P509" s="253" t="s">
        <v>110</v>
      </c>
      <c r="Q509" s="415" t="s">
        <v>251</v>
      </c>
      <c r="R509" s="383" t="str">
        <f>'2ª EM'!$L19</f>
        <v>Não</v>
      </c>
      <c r="S509" s="383" t="str">
        <f>'2ª EM'!$M19</f>
        <v>-</v>
      </c>
      <c r="T509" s="383" t="str">
        <f>'2ª EM'!$N19</f>
        <v>-</v>
      </c>
      <c r="U509" s="383" t="str">
        <f>'2ª EM'!$O19</f>
        <v>-</v>
      </c>
      <c r="V509" s="383" t="str">
        <f>'2ª EM'!$P19</f>
        <v>-</v>
      </c>
      <c r="W509" s="383" t="str">
        <f>'2ª EM'!$Q19</f>
        <v>-</v>
      </c>
      <c r="X509" s="383" t="str">
        <f>'2ª EM'!$R19</f>
        <v>-</v>
      </c>
      <c r="Y509" s="383" t="str">
        <f>'2ª EM'!$S19</f>
        <v>-</v>
      </c>
      <c r="Z509" s="384">
        <f>'2ª EM'!$T19</f>
        <v>0</v>
      </c>
      <c r="AA509" s="384">
        <f>'2ª EM'!$U19</f>
        <v>0</v>
      </c>
      <c r="AB509" s="385" t="s">
        <v>330</v>
      </c>
      <c r="AC509" s="385"/>
      <c r="AD509" s="435" t="s">
        <v>466</v>
      </c>
    </row>
    <row r="510" spans="1:30" ht="15.75" x14ac:dyDescent="0.25">
      <c r="A510" s="416" t="str">
        <f>RIGHT('[1]2ª EM'!$A$5:$D$5,12)</f>
        <v>2ª SÉRIE E.M</v>
      </c>
      <c r="B510" s="451">
        <v>14</v>
      </c>
      <c r="C510" s="248">
        <f>'2ª EM'!$B20</f>
        <v>15860</v>
      </c>
      <c r="D510" s="362" t="str">
        <f>'2ª EM'!$C20</f>
        <v>VANDERLEI SILVESTRE</v>
      </c>
      <c r="E510" s="249" t="str">
        <f>'2ª EM'!$D20</f>
        <v>M</v>
      </c>
      <c r="F510" s="249" t="str">
        <f>'2ª EM'!E20</f>
        <v>MA</v>
      </c>
      <c r="G510" s="250">
        <f>'2ª EM'!F20</f>
        <v>28232</v>
      </c>
      <c r="H510" s="362" t="str">
        <f>'2ª EM'!G20</f>
        <v>120736194-X</v>
      </c>
      <c r="I510" s="363" t="str">
        <f>'2ª EM'!$H20</f>
        <v>29358534-9</v>
      </c>
      <c r="J510" s="362"/>
      <c r="K510" s="362">
        <f>'2ª EM'!$I20</f>
        <v>0</v>
      </c>
      <c r="L510" s="250" t="str">
        <f ca="1">'2ª EM'!$J20</f>
        <v>DISP.IDADE</v>
      </c>
      <c r="M510" s="362"/>
      <c r="N510" s="252">
        <f ca="1">'2ª EM'!$K20</f>
        <v>48</v>
      </c>
      <c r="O510" s="362"/>
      <c r="P510" s="253" t="s">
        <v>110</v>
      </c>
      <c r="Q510" s="415" t="s">
        <v>251</v>
      </c>
      <c r="R510" s="383" t="str">
        <f>'2ª EM'!$L20</f>
        <v>Não</v>
      </c>
      <c r="S510" s="383" t="str">
        <f>'2ª EM'!$M20</f>
        <v>-</v>
      </c>
      <c r="T510" s="383" t="str">
        <f>'2ª EM'!$N20</f>
        <v>-</v>
      </c>
      <c r="U510" s="383" t="str">
        <f>'2ª EM'!$O20</f>
        <v>-</v>
      </c>
      <c r="V510" s="383" t="str">
        <f>'2ª EM'!$P20</f>
        <v>-</v>
      </c>
      <c r="W510" s="383" t="str">
        <f>'2ª EM'!$Q20</f>
        <v>-</v>
      </c>
      <c r="X510" s="383" t="str">
        <f>'2ª EM'!$R20</f>
        <v>-</v>
      </c>
      <c r="Y510" s="383" t="str">
        <f>'2ª EM'!$S20</f>
        <v>-</v>
      </c>
      <c r="Z510" s="384">
        <f>'2ª EM'!$T20</f>
        <v>0</v>
      </c>
      <c r="AA510" s="384">
        <f>'2ª EM'!$U20</f>
        <v>0</v>
      </c>
      <c r="AB510" s="385" t="s">
        <v>330</v>
      </c>
      <c r="AC510" s="385"/>
      <c r="AD510" s="435" t="s">
        <v>466</v>
      </c>
    </row>
    <row r="511" spans="1:30" ht="15.75" x14ac:dyDescent="0.25">
      <c r="A511" s="416" t="str">
        <f>RIGHT('[1]2ª EM'!$A$5:$D$5,12)</f>
        <v>2ª SÉRIE E.M</v>
      </c>
      <c r="B511" s="451">
        <v>15</v>
      </c>
      <c r="C511" s="248">
        <f>'2ª EM'!$B21</f>
        <v>17549</v>
      </c>
      <c r="D511" s="362" t="str">
        <f>'2ª EM'!$C21</f>
        <v>YZABELLI GONCALO ROCHA DA SILVA</v>
      </c>
      <c r="E511" s="249" t="str">
        <f>'2ª EM'!$D21</f>
        <v>F</v>
      </c>
      <c r="F511" s="249" t="str">
        <f>'2ª EM'!E21</f>
        <v>MA</v>
      </c>
      <c r="G511" s="250">
        <f>'2ª EM'!F21</f>
        <v>36908</v>
      </c>
      <c r="H511" s="362" t="str">
        <f>'2ª EM'!G21</f>
        <v>107337297-2</v>
      </c>
      <c r="I511" s="363" t="str">
        <f>'2ª EM'!$H21</f>
        <v>54615091-3</v>
      </c>
      <c r="J511" s="362"/>
      <c r="K511" s="362">
        <f>'2ª EM'!$I21</f>
        <v>0</v>
      </c>
      <c r="L511" s="250" t="str">
        <f ca="1">'2ª EM'!$J21</f>
        <v/>
      </c>
      <c r="M511" s="362"/>
      <c r="N511" s="252">
        <f ca="1">'2ª EM'!$K21</f>
        <v>24</v>
      </c>
      <c r="O511" s="362"/>
      <c r="P511" s="253" t="s">
        <v>110</v>
      </c>
      <c r="Q511" s="415" t="s">
        <v>251</v>
      </c>
      <c r="R511" s="383" t="str">
        <f>'2ª EM'!$L21</f>
        <v>Não</v>
      </c>
      <c r="S511" s="383" t="str">
        <f>'2ª EM'!$M21</f>
        <v>-</v>
      </c>
      <c r="T511" s="383" t="str">
        <f>'2ª EM'!$N21</f>
        <v>-</v>
      </c>
      <c r="U511" s="383" t="str">
        <f>'2ª EM'!$O21</f>
        <v>-</v>
      </c>
      <c r="V511" s="383" t="str">
        <f>'2ª EM'!$P21</f>
        <v>-</v>
      </c>
      <c r="W511" s="383" t="str">
        <f>'2ª EM'!$Q21</f>
        <v>-</v>
      </c>
      <c r="X511" s="383" t="str">
        <f>'2ª EM'!$R21</f>
        <v>-</v>
      </c>
      <c r="Y511" s="383" t="str">
        <f>'2ª EM'!$S21</f>
        <v>-</v>
      </c>
      <c r="Z511" s="384">
        <f>'2ª EM'!$T21</f>
        <v>0</v>
      </c>
      <c r="AA511" s="384">
        <f>'2ª EM'!$U21</f>
        <v>0</v>
      </c>
      <c r="AB511" s="385" t="s">
        <v>330</v>
      </c>
      <c r="AC511" s="385"/>
      <c r="AD511" s="435" t="s">
        <v>466</v>
      </c>
    </row>
    <row r="512" spans="1:30" ht="15.75" x14ac:dyDescent="0.25">
      <c r="A512" s="416" t="str">
        <f>RIGHT('[1]2ª EM'!$A$5:$D$5,12)</f>
        <v>2ª SÉRIE E.M</v>
      </c>
      <c r="B512" s="451">
        <v>16</v>
      </c>
      <c r="C512" s="248">
        <f>'2ª EM'!$B22</f>
        <v>17675</v>
      </c>
      <c r="D512" s="362" t="str">
        <f>'2ª EM'!$C22</f>
        <v xml:space="preserve">CLAUDIO HENRIQUE DA SILVA SANTOS </v>
      </c>
      <c r="E512" s="249" t="str">
        <f>'2ª EM'!$D22</f>
        <v>M</v>
      </c>
      <c r="F512" s="249" t="str">
        <f>'2ª EM'!E22</f>
        <v>MA</v>
      </c>
      <c r="G512" s="250">
        <f>'2ª EM'!F22</f>
        <v>38099</v>
      </c>
      <c r="H512" s="362" t="str">
        <f>'2ª EM'!G22</f>
        <v>103667569-5</v>
      </c>
      <c r="I512" s="363" t="str">
        <f>'2ª EM'!$H22</f>
        <v>62409579-4</v>
      </c>
      <c r="J512" s="362"/>
      <c r="K512" s="362" t="str">
        <f>'2ª EM'!$I22</f>
        <v>TR 19/08</v>
      </c>
      <c r="L512" s="250" t="str">
        <f ca="1">'2ª EM'!$J22</f>
        <v/>
      </c>
      <c r="M512" s="362"/>
      <c r="N512" s="252">
        <f ca="1">'2ª EM'!$K22</f>
        <v>21</v>
      </c>
      <c r="O512" s="362"/>
      <c r="P512" s="253" t="s">
        <v>110</v>
      </c>
      <c r="Q512" s="415" t="s">
        <v>251</v>
      </c>
      <c r="R512" s="383" t="str">
        <f>'2ª EM'!$L22</f>
        <v>Não</v>
      </c>
      <c r="S512" s="383" t="str">
        <f>'2ª EM'!$M22</f>
        <v>-</v>
      </c>
      <c r="T512" s="383" t="str">
        <f>'2ª EM'!$N22</f>
        <v>-</v>
      </c>
      <c r="U512" s="383" t="str">
        <f>'2ª EM'!$O22</f>
        <v>-</v>
      </c>
      <c r="V512" s="383" t="str">
        <f>'2ª EM'!$P22</f>
        <v>-</v>
      </c>
      <c r="W512" s="383" t="str">
        <f>'2ª EM'!$Q22</f>
        <v>-</v>
      </c>
      <c r="X512" s="383" t="str">
        <f>'2ª EM'!$R22</f>
        <v>-</v>
      </c>
      <c r="Y512" s="383" t="str">
        <f>'2ª EM'!$S22</f>
        <v>-</v>
      </c>
      <c r="Z512" s="384">
        <f>'2ª EM'!$T22</f>
        <v>0</v>
      </c>
      <c r="AA512" s="384">
        <f>'2ª EM'!$U22</f>
        <v>0</v>
      </c>
      <c r="AB512" s="385" t="s">
        <v>330</v>
      </c>
      <c r="AC512" s="385"/>
      <c r="AD512" s="435" t="s">
        <v>466</v>
      </c>
    </row>
    <row r="513" spans="1:30" ht="15.75" x14ac:dyDescent="0.25">
      <c r="A513" s="416" t="str">
        <f>RIGHT('[1]2ª EM'!$A$5:$D$5,12)</f>
        <v>2ª SÉRIE E.M</v>
      </c>
      <c r="B513" s="451">
        <v>17</v>
      </c>
      <c r="C513" s="248">
        <f>'2ª EM'!$B23</f>
        <v>18946</v>
      </c>
      <c r="D513" s="362" t="str">
        <f>'2ª EM'!$C23</f>
        <v>MARCELLO VICTOR SOUSA LOIOLA</v>
      </c>
      <c r="E513" s="249" t="str">
        <f>'2ª EM'!$D23</f>
        <v>M</v>
      </c>
      <c r="F513" s="249" t="str">
        <f>'2ª EM'!E23</f>
        <v>MA</v>
      </c>
      <c r="G513" s="250">
        <f>'2ª EM'!F23</f>
        <v>38474</v>
      </c>
      <c r="H513" s="362" t="str">
        <f>'2ª EM'!G23</f>
        <v>108278940-9</v>
      </c>
      <c r="I513" s="363">
        <f>'2ª EM'!$H23</f>
        <v>0</v>
      </c>
      <c r="J513" s="362"/>
      <c r="K513" s="362" t="str">
        <f>'2ª EM'!$I23</f>
        <v>TR 19/08</v>
      </c>
      <c r="L513" s="250" t="str">
        <f ca="1">'2ª EM'!$J23</f>
        <v/>
      </c>
      <c r="M513" s="362"/>
      <c r="N513" s="252">
        <f ca="1">'2ª EM'!$K23</f>
        <v>20</v>
      </c>
      <c r="O513" s="362"/>
      <c r="P513" s="253" t="s">
        <v>110</v>
      </c>
      <c r="Q513" s="415" t="s">
        <v>251</v>
      </c>
      <c r="R513" s="383" t="str">
        <f>'2ª EM'!$L23</f>
        <v>Não</v>
      </c>
      <c r="S513" s="383" t="str">
        <f>'2ª EM'!$M23</f>
        <v>-</v>
      </c>
      <c r="T513" s="383" t="str">
        <f>'2ª EM'!$N23</f>
        <v>-</v>
      </c>
      <c r="U513" s="383" t="str">
        <f>'2ª EM'!$O23</f>
        <v>-</v>
      </c>
      <c r="V513" s="383" t="str">
        <f>'2ª EM'!$P23</f>
        <v>-</v>
      </c>
      <c r="W513" s="383" t="str">
        <f>'2ª EM'!$Q23</f>
        <v>-</v>
      </c>
      <c r="X513" s="383" t="str">
        <f>'2ª EM'!$R23</f>
        <v>-</v>
      </c>
      <c r="Y513" s="383" t="str">
        <f>'2ª EM'!$S23</f>
        <v>-</v>
      </c>
      <c r="Z513" s="384">
        <f>'2ª EM'!$T23</f>
        <v>0</v>
      </c>
      <c r="AA513" s="384">
        <f>'2ª EM'!$U23</f>
        <v>0</v>
      </c>
      <c r="AB513" s="385" t="s">
        <v>330</v>
      </c>
      <c r="AC513" s="385"/>
      <c r="AD513" s="435" t="s">
        <v>466</v>
      </c>
    </row>
    <row r="514" spans="1:30" ht="15.75" x14ac:dyDescent="0.25">
      <c r="A514" s="416" t="str">
        <f>RIGHT('[1]2ª EM'!$A$5:$D$5,12)</f>
        <v>2ª SÉRIE E.M</v>
      </c>
      <c r="B514" s="451">
        <v>18</v>
      </c>
      <c r="C514" s="248">
        <f>'2ª EM'!$B24</f>
        <v>18833</v>
      </c>
      <c r="D514" s="362" t="str">
        <f>'2ª EM'!$C24</f>
        <v>SOFIA SANTOS SOUSA</v>
      </c>
      <c r="E514" s="249" t="str">
        <f>'2ª EM'!$D24</f>
        <v>F</v>
      </c>
      <c r="F514" s="249" t="str">
        <f>'2ª EM'!E24</f>
        <v>MA</v>
      </c>
      <c r="G514" s="250">
        <f>'2ª EM'!F24</f>
        <v>39113</v>
      </c>
      <c r="H514" s="362" t="str">
        <f>'2ª EM'!G24</f>
        <v>11199634-9</v>
      </c>
      <c r="I514" s="363">
        <f>'2ª EM'!$H24</f>
        <v>0</v>
      </c>
      <c r="J514" s="362"/>
      <c r="K514" s="362" t="str">
        <f>'2ª EM'!$I24</f>
        <v>TR 19/08</v>
      </c>
      <c r="L514" s="250" t="str">
        <f ca="1">'2ª EM'!$J24</f>
        <v/>
      </c>
      <c r="M514" s="362"/>
      <c r="N514" s="252">
        <f ca="1">'2ª EM'!$K24</f>
        <v>18</v>
      </c>
      <c r="O514" s="362"/>
      <c r="P514" s="253" t="s">
        <v>110</v>
      </c>
      <c r="Q514" s="415" t="s">
        <v>251</v>
      </c>
      <c r="R514" s="383" t="str">
        <f>'2ª EM'!$L24</f>
        <v>Não</v>
      </c>
      <c r="S514" s="383" t="str">
        <f>'2ª EM'!$M24</f>
        <v>-</v>
      </c>
      <c r="T514" s="383" t="str">
        <f>'2ª EM'!$N24</f>
        <v>-</v>
      </c>
      <c r="U514" s="383" t="str">
        <f>'2ª EM'!$O24</f>
        <v>-</v>
      </c>
      <c r="V514" s="383" t="str">
        <f>'2ª EM'!$P24</f>
        <v>-</v>
      </c>
      <c r="W514" s="383" t="str">
        <f>'2ª EM'!$Q24</f>
        <v>-</v>
      </c>
      <c r="X514" s="383" t="str">
        <f>'2ª EM'!$R24</f>
        <v>-</v>
      </c>
      <c r="Y514" s="383" t="str">
        <f>'2ª EM'!$S24</f>
        <v>-</v>
      </c>
      <c r="Z514" s="384">
        <f>'2ª EM'!$T24</f>
        <v>0</v>
      </c>
      <c r="AA514" s="384">
        <f>'2ª EM'!$U24</f>
        <v>0</v>
      </c>
      <c r="AB514" s="385" t="s">
        <v>330</v>
      </c>
      <c r="AC514" s="385"/>
      <c r="AD514" s="435" t="s">
        <v>466</v>
      </c>
    </row>
    <row r="515" spans="1:30" ht="15.75" x14ac:dyDescent="0.25">
      <c r="A515" s="416" t="str">
        <f>RIGHT('[1]2ª EM'!$A$5:$D$5,12)</f>
        <v>2ª SÉRIE E.M</v>
      </c>
      <c r="B515" s="451">
        <v>19</v>
      </c>
      <c r="C515" s="248">
        <f>'2ª EM'!$B25</f>
        <v>18949</v>
      </c>
      <c r="D515" s="362" t="str">
        <f>'2ª EM'!$C25</f>
        <v>LUANA MENEZES SANTOS COSTA</v>
      </c>
      <c r="E515" s="249" t="str">
        <f>'2ª EM'!$D25</f>
        <v>F</v>
      </c>
      <c r="F515" s="249" t="str">
        <f>'2ª EM'!E25</f>
        <v>MA</v>
      </c>
      <c r="G515" s="250">
        <f>'2ª EM'!F25</f>
        <v>39267</v>
      </c>
      <c r="H515" s="362" t="str">
        <f>'2ª EM'!G25</f>
        <v>110862594-0</v>
      </c>
      <c r="I515" s="363">
        <f>'2ª EM'!$H25</f>
        <v>575896590</v>
      </c>
      <c r="J515" s="362"/>
      <c r="K515" s="362" t="str">
        <f>'2ª EM'!$I25</f>
        <v>TR 19/08</v>
      </c>
      <c r="L515" s="250" t="str">
        <f ca="1">'2ª EM'!$J25</f>
        <v/>
      </c>
      <c r="M515" s="362"/>
      <c r="N515" s="252">
        <f ca="1">'2ª EM'!$K25</f>
        <v>18</v>
      </c>
      <c r="O515" s="362"/>
      <c r="P515" s="253" t="s">
        <v>110</v>
      </c>
      <c r="Q515" s="415" t="s">
        <v>251</v>
      </c>
      <c r="R515" s="383" t="str">
        <f>'2ª EM'!$L25</f>
        <v>Não</v>
      </c>
      <c r="S515" s="383" t="str">
        <f>'2ª EM'!$M25</f>
        <v>-</v>
      </c>
      <c r="T515" s="383" t="str">
        <f>'2ª EM'!$N25</f>
        <v>-</v>
      </c>
      <c r="U515" s="383" t="str">
        <f>'2ª EM'!$O25</f>
        <v>-</v>
      </c>
      <c r="V515" s="383" t="str">
        <f>'2ª EM'!$P25</f>
        <v>-</v>
      </c>
      <c r="W515" s="383" t="str">
        <f>'2ª EM'!$Q25</f>
        <v>-</v>
      </c>
      <c r="X515" s="383" t="str">
        <f>'2ª EM'!$R25</f>
        <v>-</v>
      </c>
      <c r="Y515" s="383" t="str">
        <f>'2ª EM'!$S25</f>
        <v>-</v>
      </c>
      <c r="Z515" s="384">
        <f>'2ª EM'!$T25</f>
        <v>0</v>
      </c>
      <c r="AA515" s="384">
        <f>'2ª EM'!$U25</f>
        <v>0</v>
      </c>
      <c r="AB515" s="385" t="s">
        <v>330</v>
      </c>
      <c r="AC515" s="385"/>
      <c r="AD515" s="435" t="s">
        <v>466</v>
      </c>
    </row>
    <row r="516" spans="1:30" ht="15.75" x14ac:dyDescent="0.25">
      <c r="A516" s="416" t="str">
        <f>RIGHT('[1]2ª EM'!$A$5:$D$5,12)</f>
        <v>2ª SÉRIE E.M</v>
      </c>
      <c r="B516" s="451">
        <v>20</v>
      </c>
      <c r="C516" s="248">
        <f>'2ª EM'!$B26</f>
        <v>18951</v>
      </c>
      <c r="D516" s="362" t="str">
        <f>'2ª EM'!$C26</f>
        <v xml:space="preserve">TALITA DA SILVA CAMARA DOS SANTOS </v>
      </c>
      <c r="E516" s="249" t="str">
        <f>'2ª EM'!$D26</f>
        <v>F</v>
      </c>
      <c r="F516" s="249" t="str">
        <f>'2ª EM'!E26</f>
        <v>MA</v>
      </c>
      <c r="G516" s="250">
        <f>'2ª EM'!F26</f>
        <v>31450</v>
      </c>
      <c r="H516" s="362">
        <f>'2ª EM'!G26</f>
        <v>330483262</v>
      </c>
      <c r="I516" s="363">
        <f>'2ª EM'!$H26</f>
        <v>0</v>
      </c>
      <c r="J516" s="362"/>
      <c r="K516" s="362" t="str">
        <f>'2ª EM'!$I26</f>
        <v>TR 19/08</v>
      </c>
      <c r="L516" s="250" t="str">
        <f ca="1">'2ª EM'!$J26</f>
        <v>DISP.IDADE</v>
      </c>
      <c r="M516" s="362"/>
      <c r="N516" s="252">
        <f ca="1">'2ª EM'!$K26</f>
        <v>39</v>
      </c>
      <c r="O516" s="362"/>
      <c r="P516" s="253" t="s">
        <v>110</v>
      </c>
      <c r="Q516" s="415" t="s">
        <v>251</v>
      </c>
      <c r="R516" s="383" t="str">
        <f>'2ª EM'!$L26</f>
        <v>Não</v>
      </c>
      <c r="S516" s="383" t="str">
        <f>'2ª EM'!$M26</f>
        <v>-</v>
      </c>
      <c r="T516" s="383" t="str">
        <f>'2ª EM'!$N26</f>
        <v>-</v>
      </c>
      <c r="U516" s="383" t="str">
        <f>'2ª EM'!$O26</f>
        <v>-</v>
      </c>
      <c r="V516" s="383" t="str">
        <f>'2ª EM'!$P26</f>
        <v>-</v>
      </c>
      <c r="W516" s="383" t="str">
        <f>'2ª EM'!$Q26</f>
        <v>-</v>
      </c>
      <c r="X516" s="383" t="str">
        <f>'2ª EM'!$R26</f>
        <v>-</v>
      </c>
      <c r="Y516" s="383" t="str">
        <f>'2ª EM'!$S26</f>
        <v>-</v>
      </c>
      <c r="Z516" s="384">
        <f>'2ª EM'!$T26</f>
        <v>0</v>
      </c>
      <c r="AA516" s="384">
        <f>'2ª EM'!$U26</f>
        <v>0</v>
      </c>
      <c r="AB516" s="385" t="s">
        <v>330</v>
      </c>
      <c r="AC516" s="385"/>
      <c r="AD516" s="435" t="s">
        <v>466</v>
      </c>
    </row>
    <row r="517" spans="1:30" ht="15.75" x14ac:dyDescent="0.25">
      <c r="A517" s="416" t="str">
        <f>RIGHT('[1]2ª EM'!$A$5:$D$5,12)</f>
        <v>2ª SÉRIE E.M</v>
      </c>
      <c r="B517" s="451">
        <v>21</v>
      </c>
      <c r="C517" s="248">
        <f>'2ª EM'!$B27</f>
        <v>0</v>
      </c>
      <c r="D517" s="362">
        <f>'2ª EM'!$C27</f>
        <v>0</v>
      </c>
      <c r="E517" s="249">
        <f>'2ª EM'!$D27</f>
        <v>0</v>
      </c>
      <c r="F517" s="249" t="str">
        <f>'2ª EM'!E27</f>
        <v/>
      </c>
      <c r="G517" s="250">
        <f>'2ª EM'!F27</f>
        <v>0</v>
      </c>
      <c r="H517" s="362">
        <f>'2ª EM'!G27</f>
        <v>0</v>
      </c>
      <c r="I517" s="363">
        <f>'2ª EM'!$H27</f>
        <v>0</v>
      </c>
      <c r="J517" s="362"/>
      <c r="K517" s="362">
        <f>'2ª EM'!$I27</f>
        <v>0</v>
      </c>
      <c r="L517" s="250" t="str">
        <f ca="1">'2ª EM'!$J27</f>
        <v/>
      </c>
      <c r="M517" s="362"/>
      <c r="N517" s="252" t="str">
        <f ca="1">'2ª EM'!$K27</f>
        <v/>
      </c>
      <c r="O517" s="362"/>
      <c r="P517" s="253" t="s">
        <v>110</v>
      </c>
      <c r="Q517" s="415" t="s">
        <v>251</v>
      </c>
      <c r="R517" s="383">
        <f>'2ª EM'!$L27</f>
        <v>0</v>
      </c>
      <c r="S517" s="383">
        <f>'2ª EM'!$M27</f>
        <v>0</v>
      </c>
      <c r="T517" s="383">
        <f>'2ª EM'!$N27</f>
        <v>0</v>
      </c>
      <c r="U517" s="383">
        <f>'2ª EM'!$O27</f>
        <v>0</v>
      </c>
      <c r="V517" s="383">
        <f>'2ª EM'!$P27</f>
        <v>0</v>
      </c>
      <c r="W517" s="383">
        <f>'2ª EM'!$Q27</f>
        <v>0</v>
      </c>
      <c r="X517" s="383">
        <f>'2ª EM'!$R27</f>
        <v>0</v>
      </c>
      <c r="Y517" s="383">
        <f>'2ª EM'!$S27</f>
        <v>0</v>
      </c>
      <c r="Z517" s="384">
        <f>'2ª EM'!$T27</f>
        <v>0</v>
      </c>
      <c r="AA517" s="384">
        <f>'2ª EM'!$U27</f>
        <v>0</v>
      </c>
      <c r="AB517" s="385" t="s">
        <v>330</v>
      </c>
      <c r="AC517" s="385"/>
      <c r="AD517" s="435" t="s">
        <v>466</v>
      </c>
    </row>
    <row r="518" spans="1:30" ht="15.75" x14ac:dyDescent="0.25">
      <c r="A518" s="416" t="str">
        <f>RIGHT('[1]2ª EM'!$A$5:$D$5,12)</f>
        <v>2ª SÉRIE E.M</v>
      </c>
      <c r="B518" s="451">
        <v>22</v>
      </c>
      <c r="C518" s="248">
        <f>'2ª EM'!$B28</f>
        <v>0</v>
      </c>
      <c r="D518" s="362">
        <f>'2ª EM'!$C28</f>
        <v>0</v>
      </c>
      <c r="E518" s="249">
        <f>'2ª EM'!$D28</f>
        <v>0</v>
      </c>
      <c r="F518" s="249" t="str">
        <f>'2ª EM'!E28</f>
        <v/>
      </c>
      <c r="G518" s="250">
        <f>'2ª EM'!F28</f>
        <v>0</v>
      </c>
      <c r="H518" s="362">
        <f>'2ª EM'!G28</f>
        <v>0</v>
      </c>
      <c r="I518" s="363">
        <f>'2ª EM'!$H28</f>
        <v>0</v>
      </c>
      <c r="J518" s="362"/>
      <c r="K518" s="362">
        <f>'2ª EM'!$I28</f>
        <v>0</v>
      </c>
      <c r="L518" s="250" t="str">
        <f ca="1">'2ª EM'!$J28</f>
        <v/>
      </c>
      <c r="M518" s="362"/>
      <c r="N518" s="252" t="str">
        <f ca="1">'2ª EM'!$K28</f>
        <v/>
      </c>
      <c r="O518" s="362"/>
      <c r="P518" s="253" t="s">
        <v>110</v>
      </c>
      <c r="Q518" s="415" t="s">
        <v>251</v>
      </c>
      <c r="R518" s="383">
        <f>'2ª EM'!$L28</f>
        <v>0</v>
      </c>
      <c r="S518" s="383">
        <f>'2ª EM'!$M28</f>
        <v>0</v>
      </c>
      <c r="T518" s="383">
        <f>'2ª EM'!$N28</f>
        <v>0</v>
      </c>
      <c r="U518" s="383">
        <f>'2ª EM'!$O28</f>
        <v>0</v>
      </c>
      <c r="V518" s="383">
        <f>'2ª EM'!$P28</f>
        <v>0</v>
      </c>
      <c r="W518" s="383">
        <f>'2ª EM'!$Q28</f>
        <v>0</v>
      </c>
      <c r="X518" s="383">
        <f>'2ª EM'!$R28</f>
        <v>0</v>
      </c>
      <c r="Y518" s="383">
        <f>'2ª EM'!$S28</f>
        <v>0</v>
      </c>
      <c r="Z518" s="384">
        <f>'2ª EM'!$T28</f>
        <v>0</v>
      </c>
      <c r="AA518" s="384">
        <f>'2ª EM'!$U28</f>
        <v>0</v>
      </c>
      <c r="AB518" s="385" t="s">
        <v>330</v>
      </c>
      <c r="AC518" s="385"/>
      <c r="AD518" s="435" t="s">
        <v>466</v>
      </c>
    </row>
    <row r="519" spans="1:30" ht="15.75" x14ac:dyDescent="0.25">
      <c r="A519" s="416" t="str">
        <f>RIGHT('[1]2ª EM'!$A$5:$D$5,12)</f>
        <v>2ª SÉRIE E.M</v>
      </c>
      <c r="B519" s="451">
        <v>23</v>
      </c>
      <c r="C519" s="248">
        <f>'2ª EM'!$B29</f>
        <v>0</v>
      </c>
      <c r="D519" s="362">
        <f>'2ª EM'!$C29</f>
        <v>0</v>
      </c>
      <c r="E519" s="249">
        <f>'2ª EM'!$D29</f>
        <v>0</v>
      </c>
      <c r="F519" s="249" t="str">
        <f>'2ª EM'!E29</f>
        <v/>
      </c>
      <c r="G519" s="250">
        <f>'2ª EM'!F29</f>
        <v>0</v>
      </c>
      <c r="H519" s="362">
        <f>'2ª EM'!G29</f>
        <v>0</v>
      </c>
      <c r="I519" s="363">
        <f>'2ª EM'!$H29</f>
        <v>0</v>
      </c>
      <c r="J519" s="362"/>
      <c r="K519" s="362">
        <f>'2ª EM'!$I29</f>
        <v>0</v>
      </c>
      <c r="L519" s="250" t="str">
        <f ca="1">'2ª EM'!$J29</f>
        <v/>
      </c>
      <c r="M519" s="362"/>
      <c r="N519" s="252" t="str">
        <f ca="1">'2ª EM'!$K29</f>
        <v/>
      </c>
      <c r="O519" s="362"/>
      <c r="P519" s="253" t="s">
        <v>110</v>
      </c>
      <c r="Q519" s="415" t="s">
        <v>251</v>
      </c>
      <c r="R519" s="383">
        <f>'2ª EM'!$L29</f>
        <v>0</v>
      </c>
      <c r="S519" s="383">
        <f>'2ª EM'!$M29</f>
        <v>0</v>
      </c>
      <c r="T519" s="383">
        <f>'2ª EM'!$N29</f>
        <v>0</v>
      </c>
      <c r="U519" s="383">
        <f>'2ª EM'!$O29</f>
        <v>0</v>
      </c>
      <c r="V519" s="383">
        <f>'2ª EM'!$P29</f>
        <v>0</v>
      </c>
      <c r="W519" s="383">
        <f>'2ª EM'!$Q29</f>
        <v>0</v>
      </c>
      <c r="X519" s="383">
        <f>'2ª EM'!$R29</f>
        <v>0</v>
      </c>
      <c r="Y519" s="383">
        <f>'2ª EM'!$S29</f>
        <v>0</v>
      </c>
      <c r="Z519" s="384">
        <f>'2ª EM'!$T29</f>
        <v>0</v>
      </c>
      <c r="AA519" s="384">
        <f>'2ª EM'!$U29</f>
        <v>0</v>
      </c>
      <c r="AB519" s="385" t="s">
        <v>330</v>
      </c>
      <c r="AC519" s="385"/>
      <c r="AD519" s="435" t="s">
        <v>466</v>
      </c>
    </row>
    <row r="520" spans="1:30" ht="15.75" x14ac:dyDescent="0.25">
      <c r="A520" s="416" t="str">
        <f>RIGHT('[1]2ª EM'!$A$5:$D$5,12)</f>
        <v>2ª SÉRIE E.M</v>
      </c>
      <c r="B520" s="451">
        <v>24</v>
      </c>
      <c r="C520" s="248">
        <f>'2ª EM'!$B30</f>
        <v>0</v>
      </c>
      <c r="D520" s="362">
        <f>'2ª EM'!$C30</f>
        <v>0</v>
      </c>
      <c r="E520" s="249">
        <f>'2ª EM'!$D30</f>
        <v>0</v>
      </c>
      <c r="F520" s="249" t="str">
        <f>'2ª EM'!E30</f>
        <v/>
      </c>
      <c r="G520" s="250">
        <f>'2ª EM'!F30</f>
        <v>0</v>
      </c>
      <c r="H520" s="362">
        <f>'2ª EM'!G30</f>
        <v>0</v>
      </c>
      <c r="I520" s="363">
        <f>'2ª EM'!$H30</f>
        <v>0</v>
      </c>
      <c r="J520" s="362"/>
      <c r="K520" s="362">
        <f>'2ª EM'!$I30</f>
        <v>0</v>
      </c>
      <c r="L520" s="250" t="str">
        <f ca="1">'2ª EM'!$J30</f>
        <v/>
      </c>
      <c r="M520" s="362"/>
      <c r="N520" s="252" t="str">
        <f ca="1">'2ª EM'!$K30</f>
        <v/>
      </c>
      <c r="O520" s="362"/>
      <c r="P520" s="253" t="s">
        <v>110</v>
      </c>
      <c r="Q520" s="415" t="s">
        <v>251</v>
      </c>
      <c r="R520" s="383">
        <f>'2ª EM'!$L30</f>
        <v>0</v>
      </c>
      <c r="S520" s="383">
        <f>'2ª EM'!$M30</f>
        <v>0</v>
      </c>
      <c r="T520" s="383">
        <f>'2ª EM'!$N30</f>
        <v>0</v>
      </c>
      <c r="U520" s="383">
        <f>'2ª EM'!$O30</f>
        <v>0</v>
      </c>
      <c r="V520" s="383">
        <f>'2ª EM'!$P30</f>
        <v>0</v>
      </c>
      <c r="W520" s="383">
        <f>'2ª EM'!$Q30</f>
        <v>0</v>
      </c>
      <c r="X520" s="383">
        <f>'2ª EM'!$R30</f>
        <v>0</v>
      </c>
      <c r="Y520" s="383">
        <f>'2ª EM'!$S30</f>
        <v>0</v>
      </c>
      <c r="Z520" s="384">
        <f>'2ª EM'!$T30</f>
        <v>0</v>
      </c>
      <c r="AA520" s="384">
        <f>'2ª EM'!$U30</f>
        <v>0</v>
      </c>
      <c r="AB520" s="385" t="s">
        <v>330</v>
      </c>
      <c r="AC520" s="385"/>
      <c r="AD520" s="435" t="s">
        <v>466</v>
      </c>
    </row>
    <row r="521" spans="1:30" ht="15.75" x14ac:dyDescent="0.25">
      <c r="A521" s="416" t="str">
        <f>RIGHT('[1]2ª EM'!$A$5:$D$5,12)</f>
        <v>2ª SÉRIE E.M</v>
      </c>
      <c r="B521" s="451">
        <v>25</v>
      </c>
      <c r="C521" s="248">
        <f>'2ª EM'!$B31</f>
        <v>0</v>
      </c>
      <c r="D521" s="362">
        <f>'2ª EM'!$C31</f>
        <v>0</v>
      </c>
      <c r="E521" s="249">
        <f>'2ª EM'!$D31</f>
        <v>0</v>
      </c>
      <c r="F521" s="249" t="str">
        <f>'2ª EM'!E31</f>
        <v/>
      </c>
      <c r="G521" s="250">
        <f>'2ª EM'!F31</f>
        <v>0</v>
      </c>
      <c r="H521" s="362">
        <f>'2ª EM'!G31</f>
        <v>0</v>
      </c>
      <c r="I521" s="363">
        <f>'2ª EM'!$H31</f>
        <v>0</v>
      </c>
      <c r="J521" s="362"/>
      <c r="K521" s="362">
        <f>'2ª EM'!$I31</f>
        <v>0</v>
      </c>
      <c r="L521" s="250" t="str">
        <f>'2ª EM'!$J31</f>
        <v/>
      </c>
      <c r="M521" s="362"/>
      <c r="N521" s="252">
        <f>'2ª EM'!$K31</f>
        <v>0</v>
      </c>
      <c r="O521" s="362"/>
      <c r="P521" s="253" t="s">
        <v>110</v>
      </c>
      <c r="Q521" s="415" t="s">
        <v>251</v>
      </c>
      <c r="R521" s="383">
        <f>'2ª EM'!$L31</f>
        <v>0</v>
      </c>
      <c r="S521" s="383">
        <f>'2ª EM'!$M31</f>
        <v>0</v>
      </c>
      <c r="T521" s="383">
        <f>'2ª EM'!$N31</f>
        <v>0</v>
      </c>
      <c r="U521" s="383">
        <f>'2ª EM'!$O31</f>
        <v>0</v>
      </c>
      <c r="V521" s="383">
        <f>'2ª EM'!$P31</f>
        <v>0</v>
      </c>
      <c r="W521" s="383">
        <f>'2ª EM'!$Q31</f>
        <v>0</v>
      </c>
      <c r="X521" s="383">
        <f>'2ª EM'!$R31</f>
        <v>0</v>
      </c>
      <c r="Y521" s="383">
        <f>'2ª EM'!$S31</f>
        <v>0</v>
      </c>
      <c r="Z521" s="384">
        <f>'2ª EM'!$T31</f>
        <v>0</v>
      </c>
      <c r="AA521" s="384">
        <f>'2ª EM'!$U31</f>
        <v>0</v>
      </c>
      <c r="AB521" s="385" t="s">
        <v>330</v>
      </c>
      <c r="AC521" s="385"/>
      <c r="AD521" s="435" t="s">
        <v>466</v>
      </c>
    </row>
    <row r="522" spans="1:30" ht="15.75" x14ac:dyDescent="0.25">
      <c r="A522" s="416" t="str">
        <f>RIGHT('[1]2ª EM'!$A$5:$D$5,12)</f>
        <v>2ª SÉRIE E.M</v>
      </c>
      <c r="B522" s="451">
        <v>26</v>
      </c>
      <c r="C522" s="248">
        <f>'2ª EM'!$B32</f>
        <v>0</v>
      </c>
      <c r="D522" s="362">
        <f>'2ª EM'!$C32</f>
        <v>0</v>
      </c>
      <c r="E522" s="249">
        <f>'2ª EM'!$D32</f>
        <v>0</v>
      </c>
      <c r="F522" s="249">
        <f>'2ª EM'!E32</f>
        <v>0</v>
      </c>
      <c r="G522" s="250">
        <f>'2ª EM'!F32</f>
        <v>0</v>
      </c>
      <c r="H522" s="362">
        <f>'2ª EM'!G32</f>
        <v>0</v>
      </c>
      <c r="I522" s="363">
        <f>'2ª EM'!$H32</f>
        <v>0</v>
      </c>
      <c r="J522" s="362"/>
      <c r="K522" s="362">
        <f>'2ª EM'!$I32</f>
        <v>0</v>
      </c>
      <c r="L522" s="250" t="str">
        <f>'2ª EM'!$J32</f>
        <v/>
      </c>
      <c r="M522" s="362"/>
      <c r="N522" s="252">
        <f>'2ª EM'!$K32</f>
        <v>0</v>
      </c>
      <c r="O522" s="362"/>
      <c r="P522" s="253" t="s">
        <v>110</v>
      </c>
      <c r="Q522" s="415" t="s">
        <v>251</v>
      </c>
      <c r="R522" s="383">
        <f>'2ª EM'!$L32</f>
        <v>0</v>
      </c>
      <c r="S522" s="383">
        <f>'2ª EM'!$M32</f>
        <v>0</v>
      </c>
      <c r="T522" s="383">
        <f>'2ª EM'!$N32</f>
        <v>0</v>
      </c>
      <c r="U522" s="383">
        <f>'2ª EM'!$O32</f>
        <v>0</v>
      </c>
      <c r="V522" s="383">
        <f>'2ª EM'!$P32</f>
        <v>0</v>
      </c>
      <c r="W522" s="383">
        <f>'2ª EM'!$Q32</f>
        <v>0</v>
      </c>
      <c r="X522" s="383">
        <f>'2ª EM'!$R32</f>
        <v>0</v>
      </c>
      <c r="Y522" s="383">
        <f>'2ª EM'!$S32</f>
        <v>0</v>
      </c>
      <c r="Z522" s="384">
        <f>'2ª EM'!$T32</f>
        <v>0</v>
      </c>
      <c r="AA522" s="384">
        <f>'2ª EM'!$U32</f>
        <v>0</v>
      </c>
      <c r="AB522" s="385" t="s">
        <v>330</v>
      </c>
      <c r="AC522" s="385"/>
      <c r="AD522" s="435" t="s">
        <v>466</v>
      </c>
    </row>
    <row r="523" spans="1:30" ht="15.75" x14ac:dyDescent="0.25">
      <c r="A523" s="416" t="str">
        <f>RIGHT('[1]2ª EM'!$A$5:$D$5,12)</f>
        <v>2ª SÉRIE E.M</v>
      </c>
      <c r="B523" s="451">
        <v>27</v>
      </c>
      <c r="C523" s="248">
        <f>'2ª EM'!$B33</f>
        <v>0</v>
      </c>
      <c r="D523" s="362">
        <f>'2ª EM'!$C33</f>
        <v>0</v>
      </c>
      <c r="E523" s="249">
        <f>'2ª EM'!$D33</f>
        <v>0</v>
      </c>
      <c r="F523" s="249">
        <f>'2ª EM'!E33</f>
        <v>0</v>
      </c>
      <c r="G523" s="250">
        <f>'2ª EM'!F33</f>
        <v>0</v>
      </c>
      <c r="H523" s="362">
        <f>'2ª EM'!G33</f>
        <v>0</v>
      </c>
      <c r="I523" s="363">
        <f>'2ª EM'!$H33</f>
        <v>0</v>
      </c>
      <c r="J523" s="362"/>
      <c r="K523" s="362">
        <f>'2ª EM'!$I33</f>
        <v>0</v>
      </c>
      <c r="L523" s="250" t="str">
        <f>'2ª EM'!$J33</f>
        <v/>
      </c>
      <c r="M523" s="362"/>
      <c r="N523" s="252">
        <f>'2ª EM'!$K33</f>
        <v>0</v>
      </c>
      <c r="O523" s="362"/>
      <c r="P523" s="253" t="s">
        <v>110</v>
      </c>
      <c r="Q523" s="415" t="s">
        <v>251</v>
      </c>
      <c r="R523" s="383">
        <f>'2ª EM'!$L33</f>
        <v>0</v>
      </c>
      <c r="S523" s="383">
        <f>'2ª EM'!$M33</f>
        <v>0</v>
      </c>
      <c r="T523" s="383">
        <f>'2ª EM'!$N33</f>
        <v>0</v>
      </c>
      <c r="U523" s="383">
        <f>'2ª EM'!$O33</f>
        <v>0</v>
      </c>
      <c r="V523" s="383">
        <f>'2ª EM'!$P33</f>
        <v>0</v>
      </c>
      <c r="W523" s="383">
        <f>'2ª EM'!$Q33</f>
        <v>0</v>
      </c>
      <c r="X523" s="383">
        <f>'2ª EM'!$R33</f>
        <v>0</v>
      </c>
      <c r="Y523" s="383">
        <f>'2ª EM'!$S33</f>
        <v>0</v>
      </c>
      <c r="Z523" s="384">
        <f>'2ª EM'!$T33</f>
        <v>0</v>
      </c>
      <c r="AA523" s="384">
        <f>'2ª EM'!$U33</f>
        <v>0</v>
      </c>
      <c r="AB523" s="385" t="s">
        <v>330</v>
      </c>
      <c r="AC523" s="385"/>
      <c r="AD523" s="435" t="s">
        <v>466</v>
      </c>
    </row>
    <row r="524" spans="1:30" ht="15.75" x14ac:dyDescent="0.25">
      <c r="A524" s="416" t="str">
        <f>RIGHT('[1]2ª EM'!$A$5:$D$5,12)</f>
        <v>2ª SÉRIE E.M</v>
      </c>
      <c r="B524" s="451">
        <v>28</v>
      </c>
      <c r="C524" s="248">
        <f>'2ª EM'!$B34</f>
        <v>0</v>
      </c>
      <c r="D524" s="362">
        <f>'2ª EM'!$C34</f>
        <v>0</v>
      </c>
      <c r="E524" s="249">
        <f>'2ª EM'!$D34</f>
        <v>0</v>
      </c>
      <c r="F524" s="249">
        <f>'2ª EM'!E34</f>
        <v>0</v>
      </c>
      <c r="G524" s="250">
        <f>'2ª EM'!F34</f>
        <v>0</v>
      </c>
      <c r="H524" s="362">
        <f>'2ª EM'!G34</f>
        <v>0</v>
      </c>
      <c r="I524" s="363">
        <f>'2ª EM'!$H34</f>
        <v>0</v>
      </c>
      <c r="J524" s="362"/>
      <c r="K524" s="362">
        <f>'2ª EM'!$I34</f>
        <v>0</v>
      </c>
      <c r="L524" s="250">
        <f>'2ª EM'!$J34</f>
        <v>0</v>
      </c>
      <c r="M524" s="362"/>
      <c r="N524" s="252">
        <f>'2ª EM'!$K34</f>
        <v>0</v>
      </c>
      <c r="O524" s="362"/>
      <c r="P524" s="253" t="s">
        <v>110</v>
      </c>
      <c r="Q524" s="415" t="s">
        <v>251</v>
      </c>
      <c r="R524" s="383">
        <f>'2ª EM'!$L34</f>
        <v>0</v>
      </c>
      <c r="S524" s="383">
        <f>'2ª EM'!$M34</f>
        <v>0</v>
      </c>
      <c r="T524" s="383">
        <f>'2ª EM'!$N34</f>
        <v>0</v>
      </c>
      <c r="U524" s="383">
        <f>'2ª EM'!$O34</f>
        <v>0</v>
      </c>
      <c r="V524" s="383">
        <f>'2ª EM'!$P34</f>
        <v>0</v>
      </c>
      <c r="W524" s="383">
        <f>'2ª EM'!$Q34</f>
        <v>0</v>
      </c>
      <c r="X524" s="383">
        <f>'2ª EM'!$R34</f>
        <v>0</v>
      </c>
      <c r="Y524" s="383">
        <f>'2ª EM'!$S34</f>
        <v>0</v>
      </c>
      <c r="Z524" s="384">
        <f>'2ª EM'!$T34</f>
        <v>0</v>
      </c>
      <c r="AA524" s="384">
        <f>'2ª EM'!$U34</f>
        <v>0</v>
      </c>
      <c r="AB524" s="385" t="s">
        <v>330</v>
      </c>
      <c r="AC524" s="385"/>
      <c r="AD524" s="435" t="s">
        <v>466</v>
      </c>
    </row>
    <row r="525" spans="1:30" ht="15.75" x14ac:dyDescent="0.25">
      <c r="A525" s="416" t="str">
        <f>RIGHT('[1]2ª EM'!$A$5:$D$5,12)</f>
        <v>2ª SÉRIE E.M</v>
      </c>
      <c r="B525" s="451">
        <v>29</v>
      </c>
      <c r="C525" s="248">
        <f>'2ª EM'!$B35</f>
        <v>0</v>
      </c>
      <c r="D525" s="362">
        <f>'2ª EM'!$C35</f>
        <v>0</v>
      </c>
      <c r="E525" s="249">
        <f>'2ª EM'!$D35</f>
        <v>0</v>
      </c>
      <c r="F525" s="249">
        <f>'2ª EM'!E35</f>
        <v>0</v>
      </c>
      <c r="G525" s="250">
        <f>'2ª EM'!F35</f>
        <v>0</v>
      </c>
      <c r="H525" s="362">
        <f>'2ª EM'!G35</f>
        <v>0</v>
      </c>
      <c r="I525" s="363">
        <f>'2ª EM'!$H35</f>
        <v>0</v>
      </c>
      <c r="J525" s="362"/>
      <c r="K525" s="362">
        <f>'2ª EM'!$I35</f>
        <v>0</v>
      </c>
      <c r="L525" s="250">
        <f>'2ª EM'!$J35</f>
        <v>0</v>
      </c>
      <c r="M525" s="362"/>
      <c r="N525" s="252">
        <f>'2ª EM'!$K35</f>
        <v>0</v>
      </c>
      <c r="O525" s="362"/>
      <c r="P525" s="253" t="s">
        <v>110</v>
      </c>
      <c r="Q525" s="415" t="s">
        <v>251</v>
      </c>
      <c r="R525" s="383">
        <f>'2ª EM'!$L35</f>
        <v>0</v>
      </c>
      <c r="S525" s="383">
        <f>'2ª EM'!$M35</f>
        <v>0</v>
      </c>
      <c r="T525" s="383">
        <f>'2ª EM'!$N35</f>
        <v>0</v>
      </c>
      <c r="U525" s="383">
        <f>'2ª EM'!$O35</f>
        <v>0</v>
      </c>
      <c r="V525" s="383">
        <f>'2ª EM'!$P35</f>
        <v>0</v>
      </c>
      <c r="W525" s="383">
        <f>'2ª EM'!$Q35</f>
        <v>0</v>
      </c>
      <c r="X525" s="383">
        <f>'2ª EM'!$R35</f>
        <v>0</v>
      </c>
      <c r="Y525" s="383">
        <f>'2ª EM'!$S35</f>
        <v>0</v>
      </c>
      <c r="Z525" s="384">
        <f>'2ª EM'!$T35</f>
        <v>0</v>
      </c>
      <c r="AA525" s="384">
        <f>'2ª EM'!$U35</f>
        <v>0</v>
      </c>
      <c r="AB525" s="385" t="s">
        <v>330</v>
      </c>
      <c r="AC525" s="385"/>
      <c r="AD525" s="435" t="s">
        <v>466</v>
      </c>
    </row>
    <row r="526" spans="1:30" ht="15.75" x14ac:dyDescent="0.25">
      <c r="A526" s="416" t="str">
        <f>RIGHT('[1]2ª EM'!$A$5:$D$5,12)</f>
        <v>2ª SÉRIE E.M</v>
      </c>
      <c r="B526" s="451">
        <v>30</v>
      </c>
      <c r="C526" s="248">
        <f>'2ª EM'!$B36</f>
        <v>0</v>
      </c>
      <c r="D526" s="362">
        <f>'2ª EM'!$C36</f>
        <v>0</v>
      </c>
      <c r="E526" s="249">
        <f>'2ª EM'!$D36</f>
        <v>0</v>
      </c>
      <c r="F526" s="249">
        <f>'2ª EM'!E36</f>
        <v>0</v>
      </c>
      <c r="G526" s="250">
        <f>'2ª EM'!F36</f>
        <v>0</v>
      </c>
      <c r="H526" s="362">
        <f>'2ª EM'!G36</f>
        <v>0</v>
      </c>
      <c r="I526" s="363">
        <f>'2ª EM'!$H36</f>
        <v>0</v>
      </c>
      <c r="J526" s="362"/>
      <c r="K526" s="362">
        <f>'2ª EM'!$I36</f>
        <v>0</v>
      </c>
      <c r="L526" s="250">
        <f>'2ª EM'!$J36</f>
        <v>0</v>
      </c>
      <c r="M526" s="362"/>
      <c r="N526" s="252">
        <f>'2ª EM'!$K36</f>
        <v>0</v>
      </c>
      <c r="O526" s="362"/>
      <c r="P526" s="253" t="s">
        <v>110</v>
      </c>
      <c r="Q526" s="415" t="s">
        <v>251</v>
      </c>
      <c r="R526" s="383">
        <f>'2ª EM'!$L36</f>
        <v>0</v>
      </c>
      <c r="S526" s="383">
        <f>'2ª EM'!$M36</f>
        <v>0</v>
      </c>
      <c r="T526" s="383">
        <f>'2ª EM'!$N36</f>
        <v>0</v>
      </c>
      <c r="U526" s="383">
        <f>'2ª EM'!$O36</f>
        <v>0</v>
      </c>
      <c r="V526" s="383">
        <f>'2ª EM'!$P36</f>
        <v>0</v>
      </c>
      <c r="W526" s="383">
        <f>'2ª EM'!$Q36</f>
        <v>0</v>
      </c>
      <c r="X526" s="383">
        <f>'2ª EM'!$R36</f>
        <v>0</v>
      </c>
      <c r="Y526" s="383">
        <f>'2ª EM'!$S36</f>
        <v>0</v>
      </c>
      <c r="Z526" s="384">
        <f>'2ª EM'!$T36</f>
        <v>0</v>
      </c>
      <c r="AA526" s="384">
        <f>'2ª EM'!$U36</f>
        <v>0</v>
      </c>
      <c r="AB526" s="385" t="s">
        <v>330</v>
      </c>
      <c r="AC526" s="385"/>
      <c r="AD526" s="435" t="s">
        <v>466</v>
      </c>
    </row>
    <row r="527" spans="1:30" ht="15.75" x14ac:dyDescent="0.25">
      <c r="A527" s="416" t="str">
        <f>RIGHT('[1]2ª EM'!$A$5:$D$5,12)</f>
        <v>2ª SÉRIE E.M</v>
      </c>
      <c r="B527" s="451">
        <v>31</v>
      </c>
      <c r="C527" s="248">
        <f>'2ª EM'!$B37</f>
        <v>0</v>
      </c>
      <c r="D527" s="362">
        <f>'2ª EM'!$C37</f>
        <v>0</v>
      </c>
      <c r="E527" s="249">
        <f>'2ª EM'!$D37</f>
        <v>0</v>
      </c>
      <c r="F527" s="249">
        <f>'2ª EM'!E37</f>
        <v>0</v>
      </c>
      <c r="G527" s="250">
        <f>'2ª EM'!F37</f>
        <v>0</v>
      </c>
      <c r="H527" s="362">
        <f>'2ª EM'!G37</f>
        <v>0</v>
      </c>
      <c r="I527" s="363">
        <f>'2ª EM'!$H37</f>
        <v>0</v>
      </c>
      <c r="J527" s="362"/>
      <c r="K527" s="362">
        <f>'2ª EM'!$I37</f>
        <v>0</v>
      </c>
      <c r="L527" s="250">
        <f>'2ª EM'!$J37</f>
        <v>0</v>
      </c>
      <c r="M527" s="362"/>
      <c r="N527" s="252">
        <f>'2ª EM'!$K37</f>
        <v>0</v>
      </c>
      <c r="O527" s="362"/>
      <c r="P527" s="253" t="s">
        <v>110</v>
      </c>
      <c r="Q527" s="415" t="s">
        <v>251</v>
      </c>
      <c r="R527" s="383">
        <f>'2ª EM'!$L37</f>
        <v>0</v>
      </c>
      <c r="S527" s="383">
        <f>'2ª EM'!$M37</f>
        <v>0</v>
      </c>
      <c r="T527" s="383">
        <f>'2ª EM'!$N37</f>
        <v>0</v>
      </c>
      <c r="U527" s="383">
        <f>'2ª EM'!$O37</f>
        <v>0</v>
      </c>
      <c r="V527" s="383">
        <f>'2ª EM'!$P37</f>
        <v>0</v>
      </c>
      <c r="W527" s="383">
        <f>'2ª EM'!$Q37</f>
        <v>0</v>
      </c>
      <c r="X527" s="383">
        <f>'2ª EM'!$R37</f>
        <v>0</v>
      </c>
      <c r="Y527" s="383">
        <f>'2ª EM'!$S37</f>
        <v>0</v>
      </c>
      <c r="Z527" s="384">
        <f>'2ª EM'!$T37</f>
        <v>0</v>
      </c>
      <c r="AA527" s="384">
        <f>'2ª EM'!$U37</f>
        <v>0</v>
      </c>
      <c r="AB527" s="385" t="s">
        <v>330</v>
      </c>
      <c r="AC527" s="385"/>
      <c r="AD527" s="435" t="s">
        <v>466</v>
      </c>
    </row>
    <row r="528" spans="1:30" ht="15.75" x14ac:dyDescent="0.25">
      <c r="A528" s="416" t="str">
        <f>RIGHT('[1]2ª EM'!$A$5:$D$5,12)</f>
        <v>2ª SÉRIE E.M</v>
      </c>
      <c r="B528" s="451">
        <v>32</v>
      </c>
      <c r="C528" s="248">
        <f>'2ª EM'!$B38</f>
        <v>0</v>
      </c>
      <c r="D528" s="362">
        <f>'2ª EM'!$C38</f>
        <v>0</v>
      </c>
      <c r="E528" s="249">
        <f>'2ª EM'!$D38</f>
        <v>0</v>
      </c>
      <c r="F528" s="249">
        <f>'2ª EM'!E38</f>
        <v>0</v>
      </c>
      <c r="G528" s="250">
        <f>'2ª EM'!F38</f>
        <v>0</v>
      </c>
      <c r="H528" s="362">
        <f>'2ª EM'!G38</f>
        <v>0</v>
      </c>
      <c r="I528" s="363">
        <f>'2ª EM'!$H38</f>
        <v>0</v>
      </c>
      <c r="J528" s="362"/>
      <c r="K528" s="362">
        <f>'2ª EM'!$I38</f>
        <v>0</v>
      </c>
      <c r="L528" s="250">
        <f>'2ª EM'!$J38</f>
        <v>0</v>
      </c>
      <c r="M528" s="362"/>
      <c r="N528" s="252">
        <f>'2ª EM'!$K38</f>
        <v>0</v>
      </c>
      <c r="O528" s="362"/>
      <c r="P528" s="253" t="s">
        <v>110</v>
      </c>
      <c r="Q528" s="415" t="s">
        <v>251</v>
      </c>
      <c r="R528" s="383">
        <f>'2ª EM'!$L38</f>
        <v>0</v>
      </c>
      <c r="S528" s="383">
        <f>'2ª EM'!$M38</f>
        <v>0</v>
      </c>
      <c r="T528" s="383">
        <f>'2ª EM'!$N38</f>
        <v>0</v>
      </c>
      <c r="U528" s="383">
        <f>'2ª EM'!$O38</f>
        <v>0</v>
      </c>
      <c r="V528" s="383">
        <f>'2ª EM'!$P38</f>
        <v>0</v>
      </c>
      <c r="W528" s="383">
        <f>'2ª EM'!$Q38</f>
        <v>0</v>
      </c>
      <c r="X528" s="383">
        <f>'2ª EM'!$R38</f>
        <v>0</v>
      </c>
      <c r="Y528" s="383">
        <f>'2ª EM'!$S38</f>
        <v>0</v>
      </c>
      <c r="Z528" s="384">
        <f>'2ª EM'!$T38</f>
        <v>0</v>
      </c>
      <c r="AA528" s="384">
        <f>'2ª EM'!$U38</f>
        <v>0</v>
      </c>
      <c r="AB528" s="385" t="s">
        <v>330</v>
      </c>
      <c r="AC528" s="385"/>
      <c r="AD528" s="435" t="s">
        <v>466</v>
      </c>
    </row>
    <row r="529" spans="1:30" ht="15.75" x14ac:dyDescent="0.25">
      <c r="A529" s="416" t="str">
        <f>RIGHT('[1]2ª EM'!$A$5:$D$5,12)</f>
        <v>2ª SÉRIE E.M</v>
      </c>
      <c r="B529" s="451">
        <v>33</v>
      </c>
      <c r="C529" s="248">
        <f>'2ª EM'!$B39</f>
        <v>0</v>
      </c>
      <c r="D529" s="362">
        <f>'2ª EM'!$C39</f>
        <v>0</v>
      </c>
      <c r="E529" s="249">
        <f>'2ª EM'!$D39</f>
        <v>0</v>
      </c>
      <c r="F529" s="249">
        <f>'2ª EM'!E39</f>
        <v>0</v>
      </c>
      <c r="G529" s="250">
        <f>'2ª EM'!F39</f>
        <v>0</v>
      </c>
      <c r="H529" s="362">
        <f>'2ª EM'!G39</f>
        <v>0</v>
      </c>
      <c r="I529" s="363">
        <f>'2ª EM'!$H39</f>
        <v>0</v>
      </c>
      <c r="J529" s="362"/>
      <c r="K529" s="362">
        <f>'2ª EM'!$I39</f>
        <v>0</v>
      </c>
      <c r="L529" s="250">
        <f>'2ª EM'!$J39</f>
        <v>0</v>
      </c>
      <c r="M529" s="362"/>
      <c r="N529" s="252">
        <f>'2ª EM'!$K39</f>
        <v>0</v>
      </c>
      <c r="O529" s="362"/>
      <c r="P529" s="253" t="s">
        <v>110</v>
      </c>
      <c r="Q529" s="415" t="s">
        <v>251</v>
      </c>
      <c r="R529" s="383">
        <f>'2ª EM'!$L39</f>
        <v>0</v>
      </c>
      <c r="S529" s="383">
        <f>'2ª EM'!$M39</f>
        <v>0</v>
      </c>
      <c r="T529" s="383">
        <f>'2ª EM'!$N39</f>
        <v>0</v>
      </c>
      <c r="U529" s="383">
        <f>'2ª EM'!$O39</f>
        <v>0</v>
      </c>
      <c r="V529" s="383">
        <f>'2ª EM'!$P39</f>
        <v>0</v>
      </c>
      <c r="W529" s="383">
        <f>'2ª EM'!$Q39</f>
        <v>0</v>
      </c>
      <c r="X529" s="383">
        <f>'2ª EM'!$R39</f>
        <v>0</v>
      </c>
      <c r="Y529" s="383">
        <f>'2ª EM'!$S39</f>
        <v>0</v>
      </c>
      <c r="Z529" s="384">
        <f>'2ª EM'!$T39</f>
        <v>0</v>
      </c>
      <c r="AA529" s="384">
        <f>'2ª EM'!$U39</f>
        <v>0</v>
      </c>
      <c r="AB529" s="385" t="s">
        <v>330</v>
      </c>
      <c r="AC529" s="385"/>
      <c r="AD529" s="435" t="s">
        <v>466</v>
      </c>
    </row>
    <row r="530" spans="1:30" ht="15.75" x14ac:dyDescent="0.25">
      <c r="A530" s="416" t="str">
        <f>RIGHT('[1]2ª EM'!$A$5:$D$5,12)</f>
        <v>2ª SÉRIE E.M</v>
      </c>
      <c r="B530" s="451">
        <v>34</v>
      </c>
      <c r="C530" s="248">
        <f>'2ª EM'!$B40</f>
        <v>0</v>
      </c>
      <c r="D530" s="362">
        <f>'2ª EM'!$C40</f>
        <v>0</v>
      </c>
      <c r="E530" s="249">
        <f>'2ª EM'!$D40</f>
        <v>0</v>
      </c>
      <c r="F530" s="249">
        <f>'2ª EM'!E40</f>
        <v>0</v>
      </c>
      <c r="G530" s="250">
        <f>'2ª EM'!F40</f>
        <v>0</v>
      </c>
      <c r="H530" s="362">
        <f>'2ª EM'!G40</f>
        <v>0</v>
      </c>
      <c r="I530" s="363">
        <f>'2ª EM'!$H40</f>
        <v>0</v>
      </c>
      <c r="J530" s="362"/>
      <c r="K530" s="362">
        <f>'2ª EM'!$I40</f>
        <v>0</v>
      </c>
      <c r="L530" s="250">
        <f>'2ª EM'!$J40</f>
        <v>0</v>
      </c>
      <c r="M530" s="362"/>
      <c r="N530" s="252">
        <f>'2ª EM'!$K40</f>
        <v>0</v>
      </c>
      <c r="O530" s="362"/>
      <c r="P530" s="253" t="s">
        <v>110</v>
      </c>
      <c r="Q530" s="415" t="s">
        <v>251</v>
      </c>
      <c r="R530" s="383">
        <f>'2ª EM'!$L40</f>
        <v>0</v>
      </c>
      <c r="S530" s="383">
        <f>'2ª EM'!$M40</f>
        <v>0</v>
      </c>
      <c r="T530" s="383">
        <f>'2ª EM'!$N40</f>
        <v>0</v>
      </c>
      <c r="U530" s="383">
        <f>'2ª EM'!$O40</f>
        <v>0</v>
      </c>
      <c r="V530" s="383">
        <f>'2ª EM'!$P40</f>
        <v>0</v>
      </c>
      <c r="W530" s="383">
        <f>'2ª EM'!$Q40</f>
        <v>0</v>
      </c>
      <c r="X530" s="383">
        <f>'2ª EM'!$R40</f>
        <v>0</v>
      </c>
      <c r="Y530" s="383">
        <f>'2ª EM'!$S40</f>
        <v>0</v>
      </c>
      <c r="Z530" s="384">
        <f>'2ª EM'!$T40</f>
        <v>0</v>
      </c>
      <c r="AA530" s="384">
        <f>'2ª EM'!$U40</f>
        <v>0</v>
      </c>
      <c r="AB530" s="385" t="s">
        <v>330</v>
      </c>
      <c r="AC530" s="385"/>
      <c r="AD530" s="435" t="s">
        <v>466</v>
      </c>
    </row>
    <row r="531" spans="1:30" ht="15.75" x14ac:dyDescent="0.25">
      <c r="A531" s="416" t="str">
        <f>RIGHT('[1]2ª EM'!$A$5:$D$5,12)</f>
        <v>2ª SÉRIE E.M</v>
      </c>
      <c r="B531" s="451">
        <v>35</v>
      </c>
      <c r="C531" s="248">
        <f>'2ª EM'!$B41</f>
        <v>0</v>
      </c>
      <c r="D531" s="362">
        <f>'2ª EM'!$C41</f>
        <v>0</v>
      </c>
      <c r="E531" s="249">
        <f>'2ª EM'!$D41</f>
        <v>0</v>
      </c>
      <c r="F531" s="249">
        <f>'2ª EM'!E41</f>
        <v>0</v>
      </c>
      <c r="G531" s="250">
        <f>'2ª EM'!F41</f>
        <v>0</v>
      </c>
      <c r="H531" s="362">
        <f>'2ª EM'!G41</f>
        <v>0</v>
      </c>
      <c r="I531" s="363">
        <f>'2ª EM'!$H41</f>
        <v>0</v>
      </c>
      <c r="J531" s="362"/>
      <c r="K531" s="362">
        <f>'2ª EM'!$I41</f>
        <v>0</v>
      </c>
      <c r="L531" s="250">
        <f>'2ª EM'!$J41</f>
        <v>0</v>
      </c>
      <c r="M531" s="362"/>
      <c r="N531" s="252">
        <f>'2ª EM'!$K41</f>
        <v>0</v>
      </c>
      <c r="O531" s="362"/>
      <c r="P531" s="253" t="s">
        <v>110</v>
      </c>
      <c r="Q531" s="415" t="s">
        <v>251</v>
      </c>
      <c r="R531" s="383">
        <f>'2ª EM'!$L41</f>
        <v>0</v>
      </c>
      <c r="S531" s="383">
        <f>'2ª EM'!$M41</f>
        <v>0</v>
      </c>
      <c r="T531" s="383">
        <f>'2ª EM'!$N41</f>
        <v>0</v>
      </c>
      <c r="U531" s="383">
        <f>'2ª EM'!$O41</f>
        <v>0</v>
      </c>
      <c r="V531" s="383">
        <f>'2ª EM'!$P41</f>
        <v>0</v>
      </c>
      <c r="W531" s="383">
        <f>'2ª EM'!$Q41</f>
        <v>0</v>
      </c>
      <c r="X531" s="383">
        <f>'2ª EM'!$R41</f>
        <v>0</v>
      </c>
      <c r="Y531" s="383">
        <f>'2ª EM'!$S41</f>
        <v>0</v>
      </c>
      <c r="Z531" s="384">
        <f>'2ª EM'!$T41</f>
        <v>0</v>
      </c>
      <c r="AA531" s="384">
        <f>'2ª EM'!$U41</f>
        <v>0</v>
      </c>
      <c r="AB531" s="385" t="s">
        <v>330</v>
      </c>
      <c r="AC531" s="385"/>
      <c r="AD531" s="435" t="s">
        <v>466</v>
      </c>
    </row>
    <row r="532" spans="1:30" ht="15.75" x14ac:dyDescent="0.25">
      <c r="A532" s="416" t="str">
        <f>RIGHT('[1]2ª EM'!$A$5:$D$5,12)</f>
        <v>2ª SÉRIE E.M</v>
      </c>
      <c r="B532" s="451">
        <v>36</v>
      </c>
      <c r="C532" s="248">
        <f>'2ª EM'!$B42</f>
        <v>0</v>
      </c>
      <c r="D532" s="362">
        <f>'2ª EM'!$C42</f>
        <v>0</v>
      </c>
      <c r="E532" s="249">
        <f>'2ª EM'!$D42</f>
        <v>0</v>
      </c>
      <c r="F532" s="249">
        <f>'2ª EM'!E42</f>
        <v>0</v>
      </c>
      <c r="G532" s="250">
        <f>'2ª EM'!F42</f>
        <v>0</v>
      </c>
      <c r="H532" s="362">
        <f>'2ª EM'!G42</f>
        <v>0</v>
      </c>
      <c r="I532" s="363">
        <f>'2ª EM'!$H42</f>
        <v>0</v>
      </c>
      <c r="J532" s="362"/>
      <c r="K532" s="362">
        <f>'2ª EM'!$I42</f>
        <v>0</v>
      </c>
      <c r="L532" s="250">
        <f>'2ª EM'!$J42</f>
        <v>0</v>
      </c>
      <c r="M532" s="362"/>
      <c r="N532" s="252">
        <f>'2ª EM'!$K42</f>
        <v>0</v>
      </c>
      <c r="O532" s="362"/>
      <c r="P532" s="253" t="s">
        <v>110</v>
      </c>
      <c r="Q532" s="415" t="s">
        <v>251</v>
      </c>
      <c r="R532" s="383">
        <f>'2ª EM'!$L42</f>
        <v>0</v>
      </c>
      <c r="S532" s="383">
        <f>'2ª EM'!$M42</f>
        <v>0</v>
      </c>
      <c r="T532" s="383">
        <f>'2ª EM'!$N42</f>
        <v>0</v>
      </c>
      <c r="U532" s="383">
        <f>'2ª EM'!$O42</f>
        <v>0</v>
      </c>
      <c r="V532" s="383">
        <f>'2ª EM'!$P42</f>
        <v>0</v>
      </c>
      <c r="W532" s="383">
        <f>'2ª EM'!$Q42</f>
        <v>0</v>
      </c>
      <c r="X532" s="383">
        <f>'2ª EM'!$R42</f>
        <v>0</v>
      </c>
      <c r="Y532" s="383">
        <f>'2ª EM'!$S42</f>
        <v>0</v>
      </c>
      <c r="Z532" s="384">
        <f>'2ª EM'!$T42</f>
        <v>0</v>
      </c>
      <c r="AA532" s="384">
        <f>'2ª EM'!$U42</f>
        <v>0</v>
      </c>
      <c r="AB532" s="385" t="s">
        <v>330</v>
      </c>
      <c r="AC532" s="385"/>
      <c r="AD532" s="435" t="s">
        <v>466</v>
      </c>
    </row>
    <row r="533" spans="1:30" ht="15.75" x14ac:dyDescent="0.25">
      <c r="A533" s="416" t="str">
        <f>RIGHT('[1]2ª EM'!$A$5:$D$5,12)</f>
        <v>2ª SÉRIE E.M</v>
      </c>
      <c r="B533" s="451">
        <v>37</v>
      </c>
      <c r="C533" s="248">
        <f>'2ª EM'!$B43</f>
        <v>0</v>
      </c>
      <c r="D533" s="362">
        <f>'2ª EM'!$C43</f>
        <v>0</v>
      </c>
      <c r="E533" s="249">
        <f>'2ª EM'!$D43</f>
        <v>0</v>
      </c>
      <c r="F533" s="249">
        <f>'2ª EM'!E43</f>
        <v>0</v>
      </c>
      <c r="G533" s="250">
        <f>'2ª EM'!F43</f>
        <v>0</v>
      </c>
      <c r="H533" s="362">
        <f>'2ª EM'!G43</f>
        <v>0</v>
      </c>
      <c r="I533" s="363">
        <f>'2ª EM'!$H43</f>
        <v>0</v>
      </c>
      <c r="J533" s="362"/>
      <c r="K533" s="362">
        <f>'2ª EM'!$I43</f>
        <v>0</v>
      </c>
      <c r="L533" s="250">
        <f>'2ª EM'!$J43</f>
        <v>0</v>
      </c>
      <c r="M533" s="362"/>
      <c r="N533" s="252">
        <f>'2ª EM'!$K43</f>
        <v>0</v>
      </c>
      <c r="O533" s="362"/>
      <c r="P533" s="253" t="s">
        <v>110</v>
      </c>
      <c r="Q533" s="415" t="s">
        <v>251</v>
      </c>
      <c r="R533" s="383">
        <f>'2ª EM'!$L43</f>
        <v>0</v>
      </c>
      <c r="S533" s="383">
        <f>'2ª EM'!$M43</f>
        <v>0</v>
      </c>
      <c r="T533" s="383">
        <f>'2ª EM'!$N43</f>
        <v>0</v>
      </c>
      <c r="U533" s="383">
        <f>'2ª EM'!$O43</f>
        <v>0</v>
      </c>
      <c r="V533" s="383">
        <f>'2ª EM'!$P43</f>
        <v>0</v>
      </c>
      <c r="W533" s="383">
        <f>'2ª EM'!$Q43</f>
        <v>0</v>
      </c>
      <c r="X533" s="383">
        <f>'2ª EM'!$R43</f>
        <v>0</v>
      </c>
      <c r="Y533" s="383">
        <f>'2ª EM'!$S43</f>
        <v>0</v>
      </c>
      <c r="Z533" s="384">
        <f>'2ª EM'!$T43</f>
        <v>0</v>
      </c>
      <c r="AA533" s="384">
        <f>'2ª EM'!$U43</f>
        <v>0</v>
      </c>
      <c r="AB533" s="385" t="s">
        <v>330</v>
      </c>
      <c r="AC533" s="385"/>
      <c r="AD533" s="435" t="s">
        <v>466</v>
      </c>
    </row>
    <row r="534" spans="1:30" ht="15.75" x14ac:dyDescent="0.25">
      <c r="A534" s="416" t="str">
        <f>RIGHT('[1]2ª EM'!$A$5:$D$5,12)</f>
        <v>2ª SÉRIE E.M</v>
      </c>
      <c r="B534" s="451">
        <v>38</v>
      </c>
      <c r="C534" s="248">
        <f>'2ª EM'!$B44</f>
        <v>0</v>
      </c>
      <c r="D534" s="362">
        <f>'2ª EM'!$C44</f>
        <v>0</v>
      </c>
      <c r="E534" s="249">
        <f>'2ª EM'!$D44</f>
        <v>0</v>
      </c>
      <c r="F534" s="249">
        <f>'2ª EM'!E44</f>
        <v>0</v>
      </c>
      <c r="G534" s="250">
        <f>'2ª EM'!F44</f>
        <v>0</v>
      </c>
      <c r="H534" s="362">
        <f>'2ª EM'!G44</f>
        <v>0</v>
      </c>
      <c r="I534" s="363">
        <f>'2ª EM'!$H44</f>
        <v>0</v>
      </c>
      <c r="J534" s="362"/>
      <c r="K534" s="362">
        <f>'2ª EM'!$I44</f>
        <v>0</v>
      </c>
      <c r="L534" s="250">
        <f>'2ª EM'!$J44</f>
        <v>0</v>
      </c>
      <c r="M534" s="362"/>
      <c r="N534" s="252">
        <f>'2ª EM'!$K44</f>
        <v>0</v>
      </c>
      <c r="O534" s="362"/>
      <c r="P534" s="253" t="s">
        <v>110</v>
      </c>
      <c r="Q534" s="415" t="s">
        <v>251</v>
      </c>
      <c r="R534" s="383">
        <f>'2ª EM'!$L44</f>
        <v>0</v>
      </c>
      <c r="S534" s="383">
        <f>'2ª EM'!$M44</f>
        <v>0</v>
      </c>
      <c r="T534" s="383">
        <f>'2ª EM'!$N44</f>
        <v>0</v>
      </c>
      <c r="U534" s="383">
        <f>'2ª EM'!$O44</f>
        <v>0</v>
      </c>
      <c r="V534" s="383">
        <f>'2ª EM'!$P44</f>
        <v>0</v>
      </c>
      <c r="W534" s="383">
        <f>'2ª EM'!$Q44</f>
        <v>0</v>
      </c>
      <c r="X534" s="383">
        <f>'2ª EM'!$R44</f>
        <v>0</v>
      </c>
      <c r="Y534" s="383">
        <f>'2ª EM'!$S44</f>
        <v>0</v>
      </c>
      <c r="Z534" s="384">
        <f>'2ª EM'!$T44</f>
        <v>0</v>
      </c>
      <c r="AA534" s="384">
        <f>'2ª EM'!$U44</f>
        <v>0</v>
      </c>
      <c r="AB534" s="385" t="s">
        <v>330</v>
      </c>
      <c r="AC534" s="385"/>
      <c r="AD534" s="435" t="s">
        <v>466</v>
      </c>
    </row>
    <row r="535" spans="1:30" ht="15.75" x14ac:dyDescent="0.25">
      <c r="A535" s="416" t="str">
        <f>RIGHT('[1]2ª EM'!$A$5:$D$5,12)</f>
        <v>2ª SÉRIE E.M</v>
      </c>
      <c r="B535" s="451">
        <v>39</v>
      </c>
      <c r="C535" s="248">
        <f>'2ª EM'!$B45</f>
        <v>0</v>
      </c>
      <c r="D535" s="362">
        <f>'2ª EM'!$C45</f>
        <v>0</v>
      </c>
      <c r="E535" s="249">
        <f>'2ª EM'!$D45</f>
        <v>0</v>
      </c>
      <c r="F535" s="249">
        <f>'2ª EM'!E45</f>
        <v>0</v>
      </c>
      <c r="G535" s="250">
        <f>'2ª EM'!F45</f>
        <v>0</v>
      </c>
      <c r="H535" s="362">
        <f>'2ª EM'!G45</f>
        <v>0</v>
      </c>
      <c r="I535" s="363">
        <f>'2ª EM'!$H45</f>
        <v>0</v>
      </c>
      <c r="J535" s="362"/>
      <c r="K535" s="362">
        <f>'2ª EM'!$I45</f>
        <v>0</v>
      </c>
      <c r="L535" s="250">
        <f>'2ª EM'!$J45</f>
        <v>0</v>
      </c>
      <c r="M535" s="362"/>
      <c r="N535" s="252">
        <f>'2ª EM'!$K45</f>
        <v>0</v>
      </c>
      <c r="O535" s="362"/>
      <c r="P535" s="253" t="s">
        <v>110</v>
      </c>
      <c r="Q535" s="415" t="s">
        <v>251</v>
      </c>
      <c r="R535" s="383">
        <f>'2ª EM'!$L45</f>
        <v>0</v>
      </c>
      <c r="S535" s="383">
        <f>'2ª EM'!$M45</f>
        <v>0</v>
      </c>
      <c r="T535" s="383">
        <f>'2ª EM'!$N45</f>
        <v>0</v>
      </c>
      <c r="U535" s="383">
        <f>'2ª EM'!$O45</f>
        <v>0</v>
      </c>
      <c r="V535" s="383">
        <f>'2ª EM'!$P45</f>
        <v>0</v>
      </c>
      <c r="W535" s="383">
        <f>'2ª EM'!$Q45</f>
        <v>0</v>
      </c>
      <c r="X535" s="383">
        <f>'2ª EM'!$R45</f>
        <v>0</v>
      </c>
      <c r="Y535" s="383">
        <f>'2ª EM'!$S45</f>
        <v>0</v>
      </c>
      <c r="Z535" s="384">
        <f>'2ª EM'!$T45</f>
        <v>0</v>
      </c>
      <c r="AA535" s="384">
        <f>'2ª EM'!$U45</f>
        <v>0</v>
      </c>
      <c r="AB535" s="385" t="s">
        <v>330</v>
      </c>
      <c r="AC535" s="385"/>
      <c r="AD535" s="435" t="s">
        <v>466</v>
      </c>
    </row>
    <row r="536" spans="1:30" ht="15.75" x14ac:dyDescent="0.25">
      <c r="A536" s="416" t="str">
        <f>RIGHT('[1]2ª EM'!$A$5:$D$5,12)</f>
        <v>2ª SÉRIE E.M</v>
      </c>
      <c r="B536" s="451">
        <v>40</v>
      </c>
      <c r="C536" s="248">
        <f>'2ª EM'!$B46</f>
        <v>0</v>
      </c>
      <c r="D536" s="362">
        <f>'2ª EM'!$C46</f>
        <v>0</v>
      </c>
      <c r="E536" s="249">
        <f>'2ª EM'!$D46</f>
        <v>0</v>
      </c>
      <c r="F536" s="249">
        <f>'2ª EM'!E46</f>
        <v>0</v>
      </c>
      <c r="G536" s="250">
        <f>'2ª EM'!F46</f>
        <v>0</v>
      </c>
      <c r="H536" s="362">
        <f>'2ª EM'!G46</f>
        <v>0</v>
      </c>
      <c r="I536" s="363">
        <f>'2ª EM'!$H46</f>
        <v>0</v>
      </c>
      <c r="J536" s="362"/>
      <c r="K536" s="362">
        <f>'2ª EM'!$I46</f>
        <v>0</v>
      </c>
      <c r="L536" s="250">
        <f>'2ª EM'!$J46</f>
        <v>0</v>
      </c>
      <c r="M536" s="362"/>
      <c r="N536" s="252">
        <f>'2ª EM'!$K46</f>
        <v>0</v>
      </c>
      <c r="O536" s="362"/>
      <c r="P536" s="253" t="s">
        <v>110</v>
      </c>
      <c r="Q536" s="415" t="s">
        <v>251</v>
      </c>
      <c r="R536" s="383">
        <f>'2ª EM'!$L46</f>
        <v>0</v>
      </c>
      <c r="S536" s="383">
        <f>'2ª EM'!$M46</f>
        <v>0</v>
      </c>
      <c r="T536" s="383">
        <f>'2ª EM'!$N46</f>
        <v>0</v>
      </c>
      <c r="U536" s="383">
        <f>'2ª EM'!$O46</f>
        <v>0</v>
      </c>
      <c r="V536" s="383">
        <f>'2ª EM'!$P46</f>
        <v>0</v>
      </c>
      <c r="W536" s="383">
        <f>'2ª EM'!$Q46</f>
        <v>0</v>
      </c>
      <c r="X536" s="383">
        <f>'2ª EM'!$R46</f>
        <v>0</v>
      </c>
      <c r="Y536" s="383">
        <f>'2ª EM'!$S46</f>
        <v>0</v>
      </c>
      <c r="Z536" s="384">
        <f>'2ª EM'!$T46</f>
        <v>0</v>
      </c>
      <c r="AA536" s="384">
        <f>'2ª EM'!$U46</f>
        <v>0</v>
      </c>
      <c r="AB536" s="385" t="s">
        <v>330</v>
      </c>
      <c r="AC536" s="385"/>
      <c r="AD536" s="435" t="s">
        <v>466</v>
      </c>
    </row>
    <row r="537" spans="1:30" ht="15.75" x14ac:dyDescent="0.25">
      <c r="A537" s="416" t="str">
        <f>RIGHT('[1]2ª EM'!$A$5:$D$5,12)</f>
        <v>2ª SÉRIE E.M</v>
      </c>
      <c r="B537" s="451">
        <v>41</v>
      </c>
      <c r="C537" s="248">
        <f>'2ª EM'!$B47</f>
        <v>0</v>
      </c>
      <c r="D537" s="362">
        <f>'2ª EM'!$C47</f>
        <v>0</v>
      </c>
      <c r="E537" s="249">
        <f>'2ª EM'!$D47</f>
        <v>0</v>
      </c>
      <c r="F537" s="249">
        <f>'2ª EM'!E47</f>
        <v>0</v>
      </c>
      <c r="G537" s="250">
        <f>'2ª EM'!F47</f>
        <v>0</v>
      </c>
      <c r="H537" s="362">
        <f>'2ª EM'!G47</f>
        <v>0</v>
      </c>
      <c r="I537" s="363">
        <f>'2ª EM'!$H47</f>
        <v>0</v>
      </c>
      <c r="J537" s="362"/>
      <c r="K537" s="362">
        <f>'2ª EM'!$I47</f>
        <v>0</v>
      </c>
      <c r="L537" s="250">
        <f>'2ª EM'!$J47</f>
        <v>0</v>
      </c>
      <c r="M537" s="362"/>
      <c r="N537" s="252">
        <f>'2ª EM'!$K47</f>
        <v>0</v>
      </c>
      <c r="O537" s="362"/>
      <c r="P537" s="253" t="s">
        <v>110</v>
      </c>
      <c r="Q537" s="415" t="s">
        <v>251</v>
      </c>
      <c r="R537" s="383">
        <f>'2ª EM'!$L47</f>
        <v>0</v>
      </c>
      <c r="S537" s="383">
        <f>'2ª EM'!$M47</f>
        <v>0</v>
      </c>
      <c r="T537" s="383">
        <f>'2ª EM'!$N47</f>
        <v>0</v>
      </c>
      <c r="U537" s="383">
        <f>'2ª EM'!$O47</f>
        <v>0</v>
      </c>
      <c r="V537" s="383">
        <f>'2ª EM'!$P47</f>
        <v>0</v>
      </c>
      <c r="W537" s="383">
        <f>'2ª EM'!$Q47</f>
        <v>0</v>
      </c>
      <c r="X537" s="383">
        <f>'2ª EM'!$R47</f>
        <v>0</v>
      </c>
      <c r="Y537" s="383">
        <f>'2ª EM'!$S47</f>
        <v>0</v>
      </c>
      <c r="Z537" s="384">
        <f>'2ª EM'!$T47</f>
        <v>0</v>
      </c>
      <c r="AA537" s="384">
        <f>'2ª EM'!$U47</f>
        <v>0</v>
      </c>
      <c r="AB537" s="385" t="s">
        <v>330</v>
      </c>
      <c r="AC537" s="385"/>
      <c r="AD537" s="435" t="s">
        <v>466</v>
      </c>
    </row>
    <row r="538" spans="1:30" ht="15.75" x14ac:dyDescent="0.25">
      <c r="A538" s="416" t="str">
        <f>RIGHT('[1]2ª EM'!$A$5:$D$5,12)</f>
        <v>2ª SÉRIE E.M</v>
      </c>
      <c r="B538" s="451">
        <v>42</v>
      </c>
      <c r="C538" s="248">
        <f>'2ª EM'!$B48</f>
        <v>0</v>
      </c>
      <c r="D538" s="362">
        <f>'2ª EM'!$C48</f>
        <v>0</v>
      </c>
      <c r="E538" s="249">
        <f>'2ª EM'!$D48</f>
        <v>0</v>
      </c>
      <c r="F538" s="249">
        <f>'2ª EM'!E48</f>
        <v>0</v>
      </c>
      <c r="G538" s="250">
        <f>'2ª EM'!F48</f>
        <v>0</v>
      </c>
      <c r="H538" s="362">
        <f>'2ª EM'!G48</f>
        <v>0</v>
      </c>
      <c r="I538" s="363">
        <f>'2ª EM'!$H48</f>
        <v>0</v>
      </c>
      <c r="J538" s="362"/>
      <c r="K538" s="362">
        <f>'2ª EM'!$I48</f>
        <v>0</v>
      </c>
      <c r="L538" s="250">
        <f>'2ª EM'!$J48</f>
        <v>0</v>
      </c>
      <c r="M538" s="362"/>
      <c r="N538" s="252">
        <f>'2ª EM'!$K48</f>
        <v>0</v>
      </c>
      <c r="O538" s="362"/>
      <c r="P538" s="253" t="s">
        <v>110</v>
      </c>
      <c r="Q538" s="415" t="s">
        <v>251</v>
      </c>
      <c r="R538" s="383">
        <f>'2ª EM'!$L48</f>
        <v>0</v>
      </c>
      <c r="S538" s="383">
        <f>'2ª EM'!$M48</f>
        <v>0</v>
      </c>
      <c r="T538" s="383">
        <f>'2ª EM'!$N48</f>
        <v>0</v>
      </c>
      <c r="U538" s="383">
        <f>'2ª EM'!$O48</f>
        <v>0</v>
      </c>
      <c r="V538" s="383">
        <f>'2ª EM'!$P48</f>
        <v>0</v>
      </c>
      <c r="W538" s="383">
        <f>'2ª EM'!$Q48</f>
        <v>0</v>
      </c>
      <c r="X538" s="383">
        <f>'2ª EM'!$R48</f>
        <v>0</v>
      </c>
      <c r="Y538" s="383">
        <f>'2ª EM'!$S48</f>
        <v>0</v>
      </c>
      <c r="Z538" s="384">
        <f>'2ª EM'!$T48</f>
        <v>0</v>
      </c>
      <c r="AA538" s="384">
        <f>'2ª EM'!$U48</f>
        <v>0</v>
      </c>
      <c r="AB538" s="385" t="s">
        <v>330</v>
      </c>
      <c r="AC538" s="385"/>
      <c r="AD538" s="435" t="s">
        <v>466</v>
      </c>
    </row>
    <row r="539" spans="1:30" ht="15.75" x14ac:dyDescent="0.25">
      <c r="A539" s="416" t="str">
        <f>RIGHT('[1]2ª EM'!$A$5:$D$5,12)</f>
        <v>2ª SÉRIE E.M</v>
      </c>
      <c r="B539" s="451">
        <v>43</v>
      </c>
      <c r="C539" s="248">
        <f>'2ª EM'!$B49</f>
        <v>0</v>
      </c>
      <c r="D539" s="362">
        <f>'2ª EM'!$C49</f>
        <v>0</v>
      </c>
      <c r="E539" s="249">
        <f>'2ª EM'!$D49</f>
        <v>0</v>
      </c>
      <c r="F539" s="249">
        <f>'2ª EM'!E49</f>
        <v>0</v>
      </c>
      <c r="G539" s="250">
        <f>'2ª EM'!F49</f>
        <v>0</v>
      </c>
      <c r="H539" s="362">
        <f>'2ª EM'!G49</f>
        <v>0</v>
      </c>
      <c r="I539" s="363">
        <f>'2ª EM'!$H49</f>
        <v>0</v>
      </c>
      <c r="J539" s="362"/>
      <c r="K539" s="362">
        <f>'2ª EM'!$I49</f>
        <v>0</v>
      </c>
      <c r="L539" s="250">
        <f>'2ª EM'!$J49</f>
        <v>0</v>
      </c>
      <c r="M539" s="362"/>
      <c r="N539" s="252">
        <f>'2ª EM'!$K49</f>
        <v>0</v>
      </c>
      <c r="O539" s="362"/>
      <c r="P539" s="253" t="s">
        <v>110</v>
      </c>
      <c r="Q539" s="415" t="s">
        <v>251</v>
      </c>
      <c r="R539" s="383">
        <f>'2ª EM'!$L49</f>
        <v>0</v>
      </c>
      <c r="S539" s="383">
        <f>'2ª EM'!$M49</f>
        <v>0</v>
      </c>
      <c r="T539" s="383">
        <f>'2ª EM'!$N49</f>
        <v>0</v>
      </c>
      <c r="U539" s="383">
        <f>'2ª EM'!$O49</f>
        <v>0</v>
      </c>
      <c r="V539" s="383">
        <f>'2ª EM'!$P49</f>
        <v>0</v>
      </c>
      <c r="W539" s="383">
        <f>'2ª EM'!$Q49</f>
        <v>0</v>
      </c>
      <c r="X539" s="383">
        <f>'2ª EM'!$R49</f>
        <v>0</v>
      </c>
      <c r="Y539" s="383">
        <f>'2ª EM'!$S49</f>
        <v>0</v>
      </c>
      <c r="Z539" s="384">
        <f>'2ª EM'!$T49</f>
        <v>0</v>
      </c>
      <c r="AA539" s="384">
        <f>'2ª EM'!$U49</f>
        <v>0</v>
      </c>
      <c r="AB539" s="385" t="s">
        <v>330</v>
      </c>
      <c r="AC539" s="385"/>
      <c r="AD539" s="435" t="s">
        <v>466</v>
      </c>
    </row>
    <row r="540" spans="1:30" ht="15.75" x14ac:dyDescent="0.25">
      <c r="A540" s="416" t="str">
        <f>RIGHT('[1]2ª EM'!$A$5:$D$5,12)</f>
        <v>2ª SÉRIE E.M</v>
      </c>
      <c r="B540" s="451">
        <v>44</v>
      </c>
      <c r="C540" s="248">
        <f>'2ª EM'!$B50</f>
        <v>0</v>
      </c>
      <c r="D540" s="362">
        <f>'2ª EM'!$C50</f>
        <v>0</v>
      </c>
      <c r="E540" s="249">
        <f>'2ª EM'!$D50</f>
        <v>0</v>
      </c>
      <c r="F540" s="249">
        <f>'2ª EM'!E50</f>
        <v>0</v>
      </c>
      <c r="G540" s="250">
        <f>'2ª EM'!F50</f>
        <v>0</v>
      </c>
      <c r="H540" s="362">
        <f>'2ª EM'!G50</f>
        <v>0</v>
      </c>
      <c r="I540" s="363">
        <f>'2ª EM'!$H50</f>
        <v>0</v>
      </c>
      <c r="J540" s="362"/>
      <c r="K540" s="362">
        <f>'2ª EM'!$I50</f>
        <v>0</v>
      </c>
      <c r="L540" s="250">
        <f>'2ª EM'!$J50</f>
        <v>0</v>
      </c>
      <c r="M540" s="362"/>
      <c r="N540" s="252">
        <f>'2ª EM'!$K50</f>
        <v>0</v>
      </c>
      <c r="O540" s="362"/>
      <c r="P540" s="253" t="s">
        <v>110</v>
      </c>
      <c r="Q540" s="415" t="s">
        <v>251</v>
      </c>
      <c r="R540" s="383">
        <f>'2ª EM'!$L50</f>
        <v>0</v>
      </c>
      <c r="S540" s="383">
        <f>'2ª EM'!$M50</f>
        <v>0</v>
      </c>
      <c r="T540" s="383">
        <f>'2ª EM'!$N50</f>
        <v>0</v>
      </c>
      <c r="U540" s="383">
        <f>'2ª EM'!$O50</f>
        <v>0</v>
      </c>
      <c r="V540" s="383">
        <f>'2ª EM'!$P50</f>
        <v>0</v>
      </c>
      <c r="W540" s="383">
        <f>'2ª EM'!$Q50</f>
        <v>0</v>
      </c>
      <c r="X540" s="383">
        <f>'2ª EM'!$R50</f>
        <v>0</v>
      </c>
      <c r="Y540" s="383">
        <f>'2ª EM'!$S50</f>
        <v>0</v>
      </c>
      <c r="Z540" s="384">
        <f>'2ª EM'!$T50</f>
        <v>0</v>
      </c>
      <c r="AA540" s="384">
        <f>'2ª EM'!$U50</f>
        <v>0</v>
      </c>
      <c r="AB540" s="385" t="s">
        <v>330</v>
      </c>
      <c r="AC540" s="385"/>
      <c r="AD540" s="435" t="s">
        <v>466</v>
      </c>
    </row>
    <row r="541" spans="1:30" ht="15.75" x14ac:dyDescent="0.25">
      <c r="A541" s="416" t="str">
        <f>RIGHT('[1]2ª EM'!$A$5:$D$5,12)</f>
        <v>2ª SÉRIE E.M</v>
      </c>
      <c r="B541" s="451">
        <v>45</v>
      </c>
      <c r="C541" s="248">
        <f>'2ª EM'!$B51</f>
        <v>0</v>
      </c>
      <c r="D541" s="362">
        <f>'2ª EM'!$C51</f>
        <v>0</v>
      </c>
      <c r="E541" s="249">
        <f>'2ª EM'!$D51</f>
        <v>0</v>
      </c>
      <c r="F541" s="249">
        <f>'2ª EM'!E51</f>
        <v>0</v>
      </c>
      <c r="G541" s="250">
        <f>'2ª EM'!F51</f>
        <v>0</v>
      </c>
      <c r="H541" s="362">
        <f>'2ª EM'!G51</f>
        <v>0</v>
      </c>
      <c r="I541" s="363">
        <f>'2ª EM'!$H51</f>
        <v>0</v>
      </c>
      <c r="J541" s="362"/>
      <c r="K541" s="362">
        <f>'2ª EM'!$I51</f>
        <v>0</v>
      </c>
      <c r="L541" s="250">
        <f>'2ª EM'!$J51</f>
        <v>0</v>
      </c>
      <c r="M541" s="362"/>
      <c r="N541" s="252">
        <f>'2ª EM'!$K51</f>
        <v>0</v>
      </c>
      <c r="O541" s="362"/>
      <c r="P541" s="253" t="s">
        <v>110</v>
      </c>
      <c r="Q541" s="415" t="s">
        <v>251</v>
      </c>
      <c r="R541" s="383">
        <f>'2ª EM'!$L51</f>
        <v>0</v>
      </c>
      <c r="S541" s="383">
        <f>'2ª EM'!$M51</f>
        <v>0</v>
      </c>
      <c r="T541" s="383">
        <f>'2ª EM'!$N51</f>
        <v>0</v>
      </c>
      <c r="U541" s="383">
        <f>'2ª EM'!$O51</f>
        <v>0</v>
      </c>
      <c r="V541" s="383">
        <f>'2ª EM'!$P51</f>
        <v>0</v>
      </c>
      <c r="W541" s="383">
        <f>'2ª EM'!$Q51</f>
        <v>0</v>
      </c>
      <c r="X541" s="383">
        <f>'2ª EM'!$R51</f>
        <v>0</v>
      </c>
      <c r="Y541" s="383">
        <f>'2ª EM'!$S51</f>
        <v>0</v>
      </c>
      <c r="Z541" s="384">
        <f>'2ª EM'!$T51</f>
        <v>0</v>
      </c>
      <c r="AA541" s="384">
        <f>'2ª EM'!$U51</f>
        <v>0</v>
      </c>
      <c r="AB541" s="385" t="s">
        <v>330</v>
      </c>
      <c r="AC541" s="385"/>
      <c r="AD541" s="435" t="s">
        <v>466</v>
      </c>
    </row>
    <row r="542" spans="1:30" ht="15.75" x14ac:dyDescent="0.25">
      <c r="A542" s="416" t="str">
        <f>RIGHT('[1]2ª EM'!$A$5:$D$5,12)</f>
        <v>2ª SÉRIE E.M</v>
      </c>
      <c r="B542" s="451">
        <v>46</v>
      </c>
      <c r="C542" s="248">
        <f>'2ª EM'!$B52</f>
        <v>0</v>
      </c>
      <c r="D542" s="362">
        <f>'2ª EM'!$C52</f>
        <v>0</v>
      </c>
      <c r="E542" s="249">
        <f>'2ª EM'!$D52</f>
        <v>0</v>
      </c>
      <c r="F542" s="249">
        <f>'2ª EM'!E52</f>
        <v>0</v>
      </c>
      <c r="G542" s="250">
        <f>'2ª EM'!F52</f>
        <v>0</v>
      </c>
      <c r="H542" s="362">
        <f>'2ª EM'!G52</f>
        <v>0</v>
      </c>
      <c r="I542" s="363">
        <f>'2ª EM'!$H52</f>
        <v>0</v>
      </c>
      <c r="J542" s="362"/>
      <c r="K542" s="362">
        <f>'2ª EM'!$I52</f>
        <v>0</v>
      </c>
      <c r="L542" s="250">
        <f>'2ª EM'!$J52</f>
        <v>0</v>
      </c>
      <c r="M542" s="362"/>
      <c r="N542" s="252">
        <f>'2ª EM'!$K52</f>
        <v>0</v>
      </c>
      <c r="O542" s="362"/>
      <c r="P542" s="253" t="s">
        <v>110</v>
      </c>
      <c r="Q542" s="415" t="s">
        <v>251</v>
      </c>
      <c r="R542" s="383">
        <f>'2ª EM'!$L52</f>
        <v>0</v>
      </c>
      <c r="S542" s="383">
        <f>'2ª EM'!$M52</f>
        <v>0</v>
      </c>
      <c r="T542" s="383">
        <f>'2ª EM'!$N52</f>
        <v>0</v>
      </c>
      <c r="U542" s="383">
        <f>'2ª EM'!$O52</f>
        <v>0</v>
      </c>
      <c r="V542" s="383">
        <f>'2ª EM'!$P52</f>
        <v>0</v>
      </c>
      <c r="W542" s="383">
        <f>'2ª EM'!$Q52</f>
        <v>0</v>
      </c>
      <c r="X542" s="383">
        <f>'2ª EM'!$R52</f>
        <v>0</v>
      </c>
      <c r="Y542" s="383">
        <f>'2ª EM'!$S52</f>
        <v>0</v>
      </c>
      <c r="Z542" s="384">
        <f>'2ª EM'!$T52</f>
        <v>0</v>
      </c>
      <c r="AA542" s="384">
        <f>'2ª EM'!$U52</f>
        <v>0</v>
      </c>
      <c r="AB542" s="385" t="s">
        <v>330</v>
      </c>
      <c r="AC542" s="385"/>
      <c r="AD542" s="435" t="s">
        <v>466</v>
      </c>
    </row>
    <row r="543" spans="1:30" ht="15.75" x14ac:dyDescent="0.25">
      <c r="A543" s="416" t="str">
        <f>RIGHT('[1]2ª EM'!$A$5:$D$5,12)</f>
        <v>2ª SÉRIE E.M</v>
      </c>
      <c r="B543" s="451">
        <v>47</v>
      </c>
      <c r="C543" s="248">
        <f>'2ª EM'!$B53</f>
        <v>0</v>
      </c>
      <c r="D543" s="362">
        <f>'2ª EM'!$C53</f>
        <v>0</v>
      </c>
      <c r="E543" s="249">
        <f>'2ª EM'!$D53</f>
        <v>0</v>
      </c>
      <c r="F543" s="249">
        <f>'2ª EM'!E53</f>
        <v>0</v>
      </c>
      <c r="G543" s="250">
        <f>'2ª EM'!F53</f>
        <v>0</v>
      </c>
      <c r="H543" s="362">
        <f>'2ª EM'!G53</f>
        <v>0</v>
      </c>
      <c r="I543" s="363">
        <f>'2ª EM'!$H53</f>
        <v>0</v>
      </c>
      <c r="J543" s="362"/>
      <c r="K543" s="362">
        <f>'2ª EM'!$I53</f>
        <v>0</v>
      </c>
      <c r="L543" s="250">
        <f>'2ª EM'!$J53</f>
        <v>0</v>
      </c>
      <c r="M543" s="362"/>
      <c r="N543" s="252">
        <f>'2ª EM'!$K53</f>
        <v>0</v>
      </c>
      <c r="O543" s="362"/>
      <c r="P543" s="253" t="s">
        <v>110</v>
      </c>
      <c r="Q543" s="415" t="s">
        <v>251</v>
      </c>
      <c r="R543" s="383">
        <f>'2ª EM'!$L53</f>
        <v>0</v>
      </c>
      <c r="S543" s="383">
        <f>'2ª EM'!$M53</f>
        <v>0</v>
      </c>
      <c r="T543" s="383">
        <f>'2ª EM'!$N53</f>
        <v>0</v>
      </c>
      <c r="U543" s="383">
        <f>'2ª EM'!$O53</f>
        <v>0</v>
      </c>
      <c r="V543" s="383">
        <f>'2ª EM'!$P53</f>
        <v>0</v>
      </c>
      <c r="W543" s="383">
        <f>'2ª EM'!$Q53</f>
        <v>0</v>
      </c>
      <c r="X543" s="383">
        <f>'2ª EM'!$R53</f>
        <v>0</v>
      </c>
      <c r="Y543" s="383">
        <f>'2ª EM'!$S53</f>
        <v>0</v>
      </c>
      <c r="Z543" s="384">
        <f>'2ª EM'!$T53</f>
        <v>0</v>
      </c>
      <c r="AA543" s="384">
        <f>'2ª EM'!$U53</f>
        <v>0</v>
      </c>
      <c r="AB543" s="385" t="s">
        <v>330</v>
      </c>
      <c r="AC543" s="385"/>
      <c r="AD543" s="435" t="s">
        <v>466</v>
      </c>
    </row>
    <row r="544" spans="1:30" ht="15.75" x14ac:dyDescent="0.25">
      <c r="A544" s="416" t="str">
        <f>RIGHT('[1]2ª EM'!$A$5:$D$5,12)</f>
        <v>2ª SÉRIE E.M</v>
      </c>
      <c r="B544" s="451">
        <v>48</v>
      </c>
      <c r="C544" s="248">
        <f>'2ª EM'!$B54</f>
        <v>0</v>
      </c>
      <c r="D544" s="362">
        <f>'2ª EM'!$C54</f>
        <v>0</v>
      </c>
      <c r="E544" s="249">
        <f>'2ª EM'!$D54</f>
        <v>0</v>
      </c>
      <c r="F544" s="249">
        <f>'2ª EM'!E54</f>
        <v>0</v>
      </c>
      <c r="G544" s="250">
        <f>'2ª EM'!F54</f>
        <v>0</v>
      </c>
      <c r="H544" s="362">
        <f>'2ª EM'!G54</f>
        <v>0</v>
      </c>
      <c r="I544" s="363">
        <f>'2ª EM'!$H54</f>
        <v>0</v>
      </c>
      <c r="J544" s="362"/>
      <c r="K544" s="362">
        <f>'2ª EM'!$I54</f>
        <v>0</v>
      </c>
      <c r="L544" s="250">
        <f>'2ª EM'!$J54</f>
        <v>0</v>
      </c>
      <c r="M544" s="362"/>
      <c r="N544" s="252">
        <f>'2ª EM'!$K54</f>
        <v>0</v>
      </c>
      <c r="O544" s="362"/>
      <c r="P544" s="253" t="s">
        <v>110</v>
      </c>
      <c r="Q544" s="415" t="s">
        <v>251</v>
      </c>
      <c r="R544" s="383">
        <f>'2ª EM'!$L54</f>
        <v>0</v>
      </c>
      <c r="S544" s="383">
        <f>'2ª EM'!$M54</f>
        <v>0</v>
      </c>
      <c r="T544" s="383">
        <f>'2ª EM'!$N54</f>
        <v>0</v>
      </c>
      <c r="U544" s="383">
        <f>'2ª EM'!$O54</f>
        <v>0</v>
      </c>
      <c r="V544" s="383">
        <f>'2ª EM'!$P54</f>
        <v>0</v>
      </c>
      <c r="W544" s="383">
        <f>'2ª EM'!$Q54</f>
        <v>0</v>
      </c>
      <c r="X544" s="383">
        <f>'2ª EM'!$R54</f>
        <v>0</v>
      </c>
      <c r="Y544" s="383">
        <f>'2ª EM'!$S54</f>
        <v>0</v>
      </c>
      <c r="Z544" s="384">
        <f>'2ª EM'!$T54</f>
        <v>0</v>
      </c>
      <c r="AA544" s="384">
        <f>'2ª EM'!$U54</f>
        <v>0</v>
      </c>
      <c r="AB544" s="385" t="s">
        <v>330</v>
      </c>
      <c r="AC544" s="385"/>
      <c r="AD544" s="435" t="s">
        <v>466</v>
      </c>
    </row>
    <row r="545" spans="1:30" ht="15.75" x14ac:dyDescent="0.25">
      <c r="A545" s="416" t="str">
        <f>RIGHT('[1]2ª EM'!$A$5:$D$5,12)</f>
        <v>2ª SÉRIE E.M</v>
      </c>
      <c r="B545" s="451">
        <v>49</v>
      </c>
      <c r="C545" s="248">
        <f>'2ª EM'!$B55</f>
        <v>0</v>
      </c>
      <c r="D545" s="362">
        <f>'2ª EM'!$C55</f>
        <v>0</v>
      </c>
      <c r="E545" s="249">
        <f>'2ª EM'!$D55</f>
        <v>0</v>
      </c>
      <c r="F545" s="249">
        <f>'2ª EM'!E55</f>
        <v>0</v>
      </c>
      <c r="G545" s="250">
        <f>'2ª EM'!F55</f>
        <v>0</v>
      </c>
      <c r="H545" s="362">
        <f>'2ª EM'!G55</f>
        <v>0</v>
      </c>
      <c r="I545" s="363">
        <f>'2ª EM'!$H55</f>
        <v>0</v>
      </c>
      <c r="J545" s="362"/>
      <c r="K545" s="362">
        <f>'2ª EM'!$I55</f>
        <v>0</v>
      </c>
      <c r="L545" s="250">
        <f>'2ª EM'!$J55</f>
        <v>0</v>
      </c>
      <c r="M545" s="362"/>
      <c r="N545" s="252">
        <f>'2ª EM'!$K55</f>
        <v>0</v>
      </c>
      <c r="O545" s="362"/>
      <c r="P545" s="253" t="s">
        <v>110</v>
      </c>
      <c r="Q545" s="415" t="s">
        <v>251</v>
      </c>
      <c r="R545" s="383">
        <f>'2ª EM'!$L55</f>
        <v>0</v>
      </c>
      <c r="S545" s="383">
        <f>'2ª EM'!$M55</f>
        <v>0</v>
      </c>
      <c r="T545" s="383">
        <f>'2ª EM'!$N55</f>
        <v>0</v>
      </c>
      <c r="U545" s="383">
        <f>'2ª EM'!$O55</f>
        <v>0</v>
      </c>
      <c r="V545" s="383">
        <f>'2ª EM'!$P55</f>
        <v>0</v>
      </c>
      <c r="W545" s="383">
        <f>'2ª EM'!$Q55</f>
        <v>0</v>
      </c>
      <c r="X545" s="383">
        <f>'2ª EM'!$R55</f>
        <v>0</v>
      </c>
      <c r="Y545" s="383">
        <f>'2ª EM'!$S55</f>
        <v>0</v>
      </c>
      <c r="Z545" s="384">
        <f>'2ª EM'!$T55</f>
        <v>0</v>
      </c>
      <c r="AA545" s="384">
        <f>'2ª EM'!$U55</f>
        <v>0</v>
      </c>
      <c r="AB545" s="385" t="s">
        <v>330</v>
      </c>
      <c r="AC545" s="385"/>
      <c r="AD545" s="435" t="s">
        <v>466</v>
      </c>
    </row>
    <row r="546" spans="1:30" ht="15.75" x14ac:dyDescent="0.25">
      <c r="A546" s="416" t="str">
        <f>RIGHT('[1]2ª EM'!$A$5:$D$5,12)</f>
        <v>2ª SÉRIE E.M</v>
      </c>
      <c r="B546" s="451">
        <v>50</v>
      </c>
      <c r="C546" s="248">
        <f>'2ª EM'!$B56</f>
        <v>0</v>
      </c>
      <c r="D546" s="362">
        <f>'2ª EM'!$C56</f>
        <v>0</v>
      </c>
      <c r="E546" s="249">
        <f>'2ª EM'!$D56</f>
        <v>0</v>
      </c>
      <c r="F546" s="249">
        <f>'2ª EM'!E56</f>
        <v>0</v>
      </c>
      <c r="G546" s="250">
        <f>'2ª EM'!F56</f>
        <v>0</v>
      </c>
      <c r="H546" s="362">
        <f>'2ª EM'!G56</f>
        <v>0</v>
      </c>
      <c r="I546" s="363">
        <f>'2ª EM'!$H56</f>
        <v>0</v>
      </c>
      <c r="J546" s="362"/>
      <c r="K546" s="362">
        <f>'2ª EM'!$I56</f>
        <v>0</v>
      </c>
      <c r="L546" s="250">
        <f>'2ª EM'!$J56</f>
        <v>0</v>
      </c>
      <c r="M546" s="362"/>
      <c r="N546" s="252">
        <f>'2ª EM'!$K56</f>
        <v>0</v>
      </c>
      <c r="O546" s="362"/>
      <c r="P546" s="253" t="s">
        <v>110</v>
      </c>
      <c r="Q546" s="415" t="s">
        <v>251</v>
      </c>
      <c r="R546" s="383">
        <f>'2ª EM'!$L56</f>
        <v>0</v>
      </c>
      <c r="S546" s="383">
        <f>'2ª EM'!$M56</f>
        <v>0</v>
      </c>
      <c r="T546" s="383">
        <f>'2ª EM'!$N56</f>
        <v>0</v>
      </c>
      <c r="U546" s="383">
        <f>'2ª EM'!$O56</f>
        <v>0</v>
      </c>
      <c r="V546" s="383">
        <f>'2ª EM'!$P56</f>
        <v>0</v>
      </c>
      <c r="W546" s="383">
        <f>'2ª EM'!$Q56</f>
        <v>0</v>
      </c>
      <c r="X546" s="383">
        <f>'2ª EM'!$R56</f>
        <v>0</v>
      </c>
      <c r="Y546" s="383">
        <f>'2ª EM'!$S56</f>
        <v>0</v>
      </c>
      <c r="Z546" s="384">
        <f>'2ª EM'!$T56</f>
        <v>0</v>
      </c>
      <c r="AA546" s="384">
        <f>'2ª EM'!$U56</f>
        <v>0</v>
      </c>
      <c r="AB546" s="385" t="s">
        <v>330</v>
      </c>
      <c r="AC546" s="385"/>
      <c r="AD546" s="435" t="s">
        <v>466</v>
      </c>
    </row>
    <row r="547" spans="1:30" ht="15.75" x14ac:dyDescent="0.25">
      <c r="A547" s="416" t="str">
        <f>RIGHT('[1]2ª EM'!$A$5:$D$5,12)</f>
        <v>2ª SÉRIE E.M</v>
      </c>
      <c r="B547" s="451">
        <v>51</v>
      </c>
      <c r="C547" s="248">
        <f>'2ª EM'!$B57</f>
        <v>0</v>
      </c>
      <c r="D547" s="362">
        <f>'2ª EM'!$C57</f>
        <v>0</v>
      </c>
      <c r="E547" s="249">
        <f>'2ª EM'!$D57</f>
        <v>0</v>
      </c>
      <c r="F547" s="249">
        <f>'2ª EM'!E57</f>
        <v>0</v>
      </c>
      <c r="G547" s="250">
        <f>'2ª EM'!F57</f>
        <v>0</v>
      </c>
      <c r="H547" s="362">
        <f>'2ª EM'!G57</f>
        <v>0</v>
      </c>
      <c r="I547" s="363">
        <f>'2ª EM'!$H57</f>
        <v>0</v>
      </c>
      <c r="J547" s="362"/>
      <c r="K547" s="362">
        <f>'2ª EM'!$I57</f>
        <v>0</v>
      </c>
      <c r="L547" s="250">
        <f>'2ª EM'!$J57</f>
        <v>0</v>
      </c>
      <c r="M547" s="362"/>
      <c r="N547" s="252">
        <f>'2ª EM'!$K57</f>
        <v>0</v>
      </c>
      <c r="O547" s="362"/>
      <c r="P547" s="253" t="s">
        <v>110</v>
      </c>
      <c r="Q547" s="415" t="s">
        <v>251</v>
      </c>
      <c r="R547" s="383">
        <f>'2ª EM'!$L57</f>
        <v>0</v>
      </c>
      <c r="S547" s="383">
        <f>'2ª EM'!$M57</f>
        <v>0</v>
      </c>
      <c r="T547" s="383">
        <f>'2ª EM'!$N57</f>
        <v>0</v>
      </c>
      <c r="U547" s="383">
        <f>'2ª EM'!$O57</f>
        <v>0</v>
      </c>
      <c r="V547" s="383">
        <f>'2ª EM'!$P57</f>
        <v>0</v>
      </c>
      <c r="W547" s="383">
        <f>'2ª EM'!$Q57</f>
        <v>0</v>
      </c>
      <c r="X547" s="383">
        <f>'2ª EM'!$R57</f>
        <v>0</v>
      </c>
      <c r="Y547" s="383">
        <f>'2ª EM'!$S57</f>
        <v>0</v>
      </c>
      <c r="Z547" s="384">
        <f>'2ª EM'!$T57</f>
        <v>0</v>
      </c>
      <c r="AA547" s="384">
        <f>'2ª EM'!$U57</f>
        <v>0</v>
      </c>
      <c r="AB547" s="385" t="s">
        <v>330</v>
      </c>
      <c r="AC547" s="385"/>
      <c r="AD547" s="435" t="s">
        <v>466</v>
      </c>
    </row>
    <row r="548" spans="1:30" ht="15.75" x14ac:dyDescent="0.25">
      <c r="A548" s="416" t="str">
        <f>RIGHT('[1]2ª EM'!$A$5:$D$5,12)</f>
        <v>2ª SÉRIE E.M</v>
      </c>
      <c r="B548" s="451">
        <v>52</v>
      </c>
      <c r="C548" s="248">
        <f>'2ª EM'!$B58</f>
        <v>0</v>
      </c>
      <c r="D548" s="362">
        <f>'2ª EM'!$C58</f>
        <v>0</v>
      </c>
      <c r="E548" s="249">
        <f>'2ª EM'!$D58</f>
        <v>0</v>
      </c>
      <c r="F548" s="249">
        <f>'2ª EM'!E58</f>
        <v>0</v>
      </c>
      <c r="G548" s="250">
        <f>'2ª EM'!F58</f>
        <v>0</v>
      </c>
      <c r="H548" s="362">
        <f>'2ª EM'!G58</f>
        <v>0</v>
      </c>
      <c r="I548" s="363">
        <f>'2ª EM'!$H58</f>
        <v>0</v>
      </c>
      <c r="J548" s="362"/>
      <c r="K548" s="362">
        <f>'2ª EM'!$I58</f>
        <v>0</v>
      </c>
      <c r="L548" s="250">
        <f>'2ª EM'!$J58</f>
        <v>0</v>
      </c>
      <c r="M548" s="362"/>
      <c r="N548" s="252">
        <f>'2ª EM'!$K58</f>
        <v>0</v>
      </c>
      <c r="O548" s="362"/>
      <c r="P548" s="253" t="s">
        <v>110</v>
      </c>
      <c r="Q548" s="415" t="s">
        <v>251</v>
      </c>
      <c r="R548" s="383">
        <f>'2ª EM'!$L58</f>
        <v>0</v>
      </c>
      <c r="S548" s="383">
        <f>'2ª EM'!$M58</f>
        <v>0</v>
      </c>
      <c r="T548" s="383">
        <f>'2ª EM'!$N58</f>
        <v>0</v>
      </c>
      <c r="U548" s="383">
        <f>'2ª EM'!$O58</f>
        <v>0</v>
      </c>
      <c r="V548" s="383">
        <f>'2ª EM'!$P58</f>
        <v>0</v>
      </c>
      <c r="W548" s="383">
        <f>'2ª EM'!$Q58</f>
        <v>0</v>
      </c>
      <c r="X548" s="383">
        <f>'2ª EM'!$R58</f>
        <v>0</v>
      </c>
      <c r="Y548" s="383">
        <f>'2ª EM'!$S58</f>
        <v>0</v>
      </c>
      <c r="Z548" s="384">
        <f>'2ª EM'!$T58</f>
        <v>0</v>
      </c>
      <c r="AA548" s="384">
        <f>'2ª EM'!$U58</f>
        <v>0</v>
      </c>
      <c r="AB548" s="385" t="s">
        <v>330</v>
      </c>
      <c r="AC548" s="385"/>
      <c r="AD548" s="435" t="s">
        <v>466</v>
      </c>
    </row>
    <row r="549" spans="1:30" ht="15.75" x14ac:dyDescent="0.25">
      <c r="A549" s="416" t="str">
        <f>RIGHT('[1]2ª EM'!$A$5:$D$5,12)</f>
        <v>2ª SÉRIE E.M</v>
      </c>
      <c r="B549" s="451">
        <v>53</v>
      </c>
      <c r="C549" s="248">
        <f>'2ª EM'!$B59</f>
        <v>0</v>
      </c>
      <c r="D549" s="362">
        <f>'2ª EM'!$C59</f>
        <v>0</v>
      </c>
      <c r="E549" s="249">
        <f>'2ª EM'!$D59</f>
        <v>0</v>
      </c>
      <c r="F549" s="249">
        <f>'2ª EM'!E59</f>
        <v>0</v>
      </c>
      <c r="G549" s="250">
        <f>'2ª EM'!F59</f>
        <v>0</v>
      </c>
      <c r="H549" s="362">
        <f>'2ª EM'!G59</f>
        <v>0</v>
      </c>
      <c r="I549" s="363">
        <f>'2ª EM'!$H59</f>
        <v>0</v>
      </c>
      <c r="J549" s="362"/>
      <c r="K549" s="362">
        <f>'2ª EM'!$I59</f>
        <v>0</v>
      </c>
      <c r="L549" s="250">
        <f>'2ª EM'!$J59</f>
        <v>0</v>
      </c>
      <c r="M549" s="362"/>
      <c r="N549" s="252">
        <f>'2ª EM'!$K59</f>
        <v>0</v>
      </c>
      <c r="O549" s="362"/>
      <c r="P549" s="253" t="s">
        <v>110</v>
      </c>
      <c r="Q549" s="415" t="s">
        <v>251</v>
      </c>
      <c r="R549" s="383">
        <f>'2ª EM'!$L59</f>
        <v>0</v>
      </c>
      <c r="S549" s="383">
        <f>'2ª EM'!$M59</f>
        <v>0</v>
      </c>
      <c r="T549" s="383">
        <f>'2ª EM'!$N59</f>
        <v>0</v>
      </c>
      <c r="U549" s="383">
        <f>'2ª EM'!$O59</f>
        <v>0</v>
      </c>
      <c r="V549" s="383">
        <f>'2ª EM'!$P59</f>
        <v>0</v>
      </c>
      <c r="W549" s="383">
        <f>'2ª EM'!$Q59</f>
        <v>0</v>
      </c>
      <c r="X549" s="383">
        <f>'2ª EM'!$R59</f>
        <v>0</v>
      </c>
      <c r="Y549" s="383">
        <f>'2ª EM'!$S59</f>
        <v>0</v>
      </c>
      <c r="Z549" s="384">
        <f>'2ª EM'!$T59</f>
        <v>0</v>
      </c>
      <c r="AA549" s="384">
        <f>'2ª EM'!$U59</f>
        <v>0</v>
      </c>
      <c r="AB549" s="385" t="s">
        <v>330</v>
      </c>
      <c r="AC549" s="385"/>
      <c r="AD549" s="435" t="s">
        <v>466</v>
      </c>
    </row>
    <row r="550" spans="1:30" ht="15.75" x14ac:dyDescent="0.25">
      <c r="A550" s="416" t="str">
        <f>RIGHT('[1]2ª EM'!$A$5:$D$5,12)</f>
        <v>2ª SÉRIE E.M</v>
      </c>
      <c r="B550" s="451">
        <v>54</v>
      </c>
      <c r="C550" s="248">
        <f>'2ª EM'!$B60</f>
        <v>0</v>
      </c>
      <c r="D550" s="362">
        <f>'2ª EM'!$C60</f>
        <v>0</v>
      </c>
      <c r="E550" s="249">
        <f>'2ª EM'!$D60</f>
        <v>0</v>
      </c>
      <c r="F550" s="249">
        <f>'2ª EM'!E60</f>
        <v>0</v>
      </c>
      <c r="G550" s="250">
        <f>'2ª EM'!F60</f>
        <v>0</v>
      </c>
      <c r="H550" s="362">
        <f>'2ª EM'!G60</f>
        <v>0</v>
      </c>
      <c r="I550" s="363">
        <f>'2ª EM'!$H60</f>
        <v>0</v>
      </c>
      <c r="J550" s="362"/>
      <c r="K550" s="362">
        <f>'2ª EM'!$I60</f>
        <v>0</v>
      </c>
      <c r="L550" s="250">
        <f>'2ª EM'!$J60</f>
        <v>0</v>
      </c>
      <c r="M550" s="362"/>
      <c r="N550" s="252">
        <f>'2ª EM'!$K60</f>
        <v>0</v>
      </c>
      <c r="O550" s="362"/>
      <c r="P550" s="253" t="s">
        <v>110</v>
      </c>
      <c r="Q550" s="415" t="s">
        <v>251</v>
      </c>
      <c r="R550" s="383">
        <f>'2ª EM'!$L60</f>
        <v>0</v>
      </c>
      <c r="S550" s="383">
        <f>'2ª EM'!$M60</f>
        <v>0</v>
      </c>
      <c r="T550" s="383">
        <f>'2ª EM'!$N60</f>
        <v>0</v>
      </c>
      <c r="U550" s="383">
        <f>'2ª EM'!$O60</f>
        <v>0</v>
      </c>
      <c r="V550" s="383">
        <f>'2ª EM'!$P60</f>
        <v>0</v>
      </c>
      <c r="W550" s="383">
        <f>'2ª EM'!$Q60</f>
        <v>0</v>
      </c>
      <c r="X550" s="383">
        <f>'2ª EM'!$R60</f>
        <v>0</v>
      </c>
      <c r="Y550" s="383">
        <f>'2ª EM'!$S60</f>
        <v>0</v>
      </c>
      <c r="Z550" s="384">
        <f>'2ª EM'!$T60</f>
        <v>0</v>
      </c>
      <c r="AA550" s="384">
        <f>'2ª EM'!$U60</f>
        <v>0</v>
      </c>
      <c r="AB550" s="385" t="s">
        <v>330</v>
      </c>
      <c r="AC550" s="385"/>
      <c r="AD550" s="435" t="s">
        <v>466</v>
      </c>
    </row>
    <row r="551" spans="1:30" ht="15.75" x14ac:dyDescent="0.25">
      <c r="A551" s="416" t="str">
        <f>RIGHT('[1]2ª EM'!$A$5:$D$5,12)</f>
        <v>2ª SÉRIE E.M</v>
      </c>
      <c r="B551" s="451">
        <v>55</v>
      </c>
      <c r="C551" s="248">
        <f>'2ª EM'!$B61</f>
        <v>0</v>
      </c>
      <c r="D551" s="362">
        <f>'2ª EM'!$C61</f>
        <v>0</v>
      </c>
      <c r="E551" s="249">
        <f>'2ª EM'!$D61</f>
        <v>0</v>
      </c>
      <c r="F551" s="249">
        <f>'2ª EM'!E61</f>
        <v>0</v>
      </c>
      <c r="G551" s="250">
        <f>'2ª EM'!F61</f>
        <v>0</v>
      </c>
      <c r="H551" s="362">
        <f>'2ª EM'!G61</f>
        <v>0</v>
      </c>
      <c r="I551" s="363">
        <f>'2ª EM'!$H61</f>
        <v>0</v>
      </c>
      <c r="J551" s="362"/>
      <c r="K551" s="362">
        <f>'2ª EM'!$I61</f>
        <v>0</v>
      </c>
      <c r="L551" s="250">
        <f>'2ª EM'!$J61</f>
        <v>0</v>
      </c>
      <c r="M551" s="362"/>
      <c r="N551" s="252">
        <f>'2ª EM'!$K61</f>
        <v>0</v>
      </c>
      <c r="O551" s="362"/>
      <c r="P551" s="253" t="s">
        <v>110</v>
      </c>
      <c r="Q551" s="415" t="s">
        <v>251</v>
      </c>
      <c r="R551" s="383">
        <f>'2ª EM'!$L61</f>
        <v>0</v>
      </c>
      <c r="S551" s="383">
        <f>'2ª EM'!$M61</f>
        <v>0</v>
      </c>
      <c r="T551" s="383">
        <f>'2ª EM'!$N61</f>
        <v>0</v>
      </c>
      <c r="U551" s="383">
        <f>'2ª EM'!$O61</f>
        <v>0</v>
      </c>
      <c r="V551" s="383">
        <f>'2ª EM'!$P61</f>
        <v>0</v>
      </c>
      <c r="W551" s="383">
        <f>'2ª EM'!$Q61</f>
        <v>0</v>
      </c>
      <c r="X551" s="383">
        <f>'2ª EM'!$R61</f>
        <v>0</v>
      </c>
      <c r="Y551" s="383">
        <f>'2ª EM'!$S61</f>
        <v>0</v>
      </c>
      <c r="Z551" s="384">
        <f>'2ª EM'!$T61</f>
        <v>0</v>
      </c>
      <c r="AA551" s="384">
        <f>'2ª EM'!$U61</f>
        <v>0</v>
      </c>
      <c r="AB551" s="385" t="s">
        <v>330</v>
      </c>
      <c r="AC551" s="385"/>
      <c r="AD551" s="435" t="s">
        <v>466</v>
      </c>
    </row>
    <row r="552" spans="1:30" s="446" customFormat="1" ht="15.75" x14ac:dyDescent="0.25">
      <c r="A552" s="387" t="str">
        <f>RIGHT('[1]3ª EM'!$A$5:$D$5,12)</f>
        <v>3ª SÉRIE E.M</v>
      </c>
      <c r="B552" s="388">
        <v>1</v>
      </c>
      <c r="C552" s="389">
        <f>'3ª EM'!$B7</f>
        <v>18048</v>
      </c>
      <c r="D552" s="390" t="str">
        <f>'3ª EM'!$C7</f>
        <v>ANDERSON RODRIGUES NASCIMENTO</v>
      </c>
      <c r="E552" s="391" t="str">
        <f>'3ª EM'!$D7</f>
        <v>M</v>
      </c>
      <c r="F552" s="391" t="str">
        <f>'3ª EM'!E7</f>
        <v>MA</v>
      </c>
      <c r="G552" s="392">
        <f>'3ª EM'!F7</f>
        <v>36935</v>
      </c>
      <c r="H552" s="390">
        <f>'3ª EM'!G7</f>
        <v>0</v>
      </c>
      <c r="I552" s="393" t="str">
        <f>'3ª EM'!$H7</f>
        <v>67113602-1</v>
      </c>
      <c r="J552" s="390"/>
      <c r="K552" s="390">
        <f>'3ª EM'!$I7</f>
        <v>0</v>
      </c>
      <c r="L552" s="392" t="str">
        <f>'3ª EM'!$J7</f>
        <v>DISP. TRABALHO</v>
      </c>
      <c r="M552" s="390"/>
      <c r="N552" s="394">
        <f ca="1">'3ª EM'!$K7</f>
        <v>24</v>
      </c>
      <c r="O552" s="390"/>
      <c r="P552" s="395" t="s">
        <v>110</v>
      </c>
      <c r="Q552" s="396" t="s">
        <v>251</v>
      </c>
      <c r="R552" s="397" t="str">
        <f>'3ª EM'!$L7</f>
        <v>Não</v>
      </c>
      <c r="S552" s="397" t="str">
        <f>'3ª EM'!$M7</f>
        <v>-</v>
      </c>
      <c r="T552" s="397" t="str">
        <f>'3ª EM'!$N7</f>
        <v>-</v>
      </c>
      <c r="U552" s="397" t="str">
        <f>'3ª EM'!$O7</f>
        <v>-</v>
      </c>
      <c r="V552" s="397" t="str">
        <f>'3ª EM'!$P7</f>
        <v>-</v>
      </c>
      <c r="W552" s="397" t="str">
        <f>'3ª EM'!$Q7</f>
        <v>-</v>
      </c>
      <c r="X552" s="397" t="str">
        <f>'3ª EM'!$R7</f>
        <v>-</v>
      </c>
      <c r="Y552" s="397" t="str">
        <f>'3ª EM'!$S7</f>
        <v>-</v>
      </c>
      <c r="Z552" s="398">
        <f>'3ª EM'!$T7</f>
        <v>0</v>
      </c>
      <c r="AA552" s="398">
        <f>'3ª EM'!$U7</f>
        <v>0</v>
      </c>
      <c r="AB552" s="399" t="s">
        <v>331</v>
      </c>
      <c r="AC552" s="399"/>
      <c r="AD552" s="435" t="s">
        <v>466</v>
      </c>
    </row>
    <row r="553" spans="1:30" ht="15.75" x14ac:dyDescent="0.25">
      <c r="A553" s="416" t="str">
        <f>RIGHT('[1]3ª EM'!$A$5:$D$5,12)</f>
        <v>3ª SÉRIE E.M</v>
      </c>
      <c r="B553" s="451">
        <v>2</v>
      </c>
      <c r="C553" s="248">
        <f>'3ª EM'!$B8</f>
        <v>18900</v>
      </c>
      <c r="D553" s="362" t="str">
        <f>'3ª EM'!$C8</f>
        <v>ANDREI LLOBREGAT MANES</v>
      </c>
      <c r="E553" s="249" t="str">
        <f>'3ª EM'!$D8</f>
        <v>M</v>
      </c>
      <c r="F553" s="249" t="str">
        <f>'3ª EM'!E8</f>
        <v>MA</v>
      </c>
      <c r="G553" s="250">
        <f>'3ª EM'!F8</f>
        <v>38538</v>
      </c>
      <c r="H553" s="362">
        <f>'3ª EM'!G8</f>
        <v>1063028115</v>
      </c>
      <c r="I553" s="363" t="str">
        <f>'3ª EM'!$H8</f>
        <v>62682461-8</v>
      </c>
      <c r="J553" s="362"/>
      <c r="K553" s="362">
        <f>'3ª EM'!$I8</f>
        <v>0</v>
      </c>
      <c r="L553" s="250" t="str">
        <f ca="1">'2ª EM'!$J8</f>
        <v>DISP.IDADE</v>
      </c>
      <c r="M553" s="362"/>
      <c r="N553" s="252">
        <f ca="1">'3ª EM'!$K8</f>
        <v>20</v>
      </c>
      <c r="O553" s="362"/>
      <c r="P553" s="253" t="s">
        <v>110</v>
      </c>
      <c r="Q553" s="415" t="s">
        <v>251</v>
      </c>
      <c r="R553" s="383" t="str">
        <f>'3ª EM'!$L8</f>
        <v>Não</v>
      </c>
      <c r="S553" s="383" t="str">
        <f>'3ª EM'!$M8</f>
        <v>-</v>
      </c>
      <c r="T553" s="383" t="str">
        <f>'3ª EM'!$N8</f>
        <v>-</v>
      </c>
      <c r="U553" s="383" t="str">
        <f>'3ª EM'!$O8</f>
        <v>-</v>
      </c>
      <c r="V553" s="383" t="str">
        <f>'3ª EM'!$P8</f>
        <v>-</v>
      </c>
      <c r="W553" s="383" t="str">
        <f>'3ª EM'!$Q8</f>
        <v>-</v>
      </c>
      <c r="X553" s="383" t="str">
        <f>'3ª EM'!$R8</f>
        <v>-</v>
      </c>
      <c r="Y553" s="383" t="str">
        <f>'3ª EM'!$S8</f>
        <v>-</v>
      </c>
      <c r="Z553" s="384">
        <f>'3ª EM'!$T8</f>
        <v>0</v>
      </c>
      <c r="AA553" s="384">
        <f>'2ª EM'!$U8</f>
        <v>0</v>
      </c>
      <c r="AB553" s="385" t="s">
        <v>331</v>
      </c>
      <c r="AC553" s="385"/>
      <c r="AD553" s="435" t="s">
        <v>466</v>
      </c>
    </row>
    <row r="554" spans="1:30" ht="15.75" x14ac:dyDescent="0.25">
      <c r="A554" s="416" t="str">
        <f>RIGHT('[1]3ª EM'!$A$5:$D$5,12)</f>
        <v>3ª SÉRIE E.M</v>
      </c>
      <c r="B554" s="451">
        <v>3</v>
      </c>
      <c r="C554" s="248">
        <f>'3ª EM'!$B9</f>
        <v>18119</v>
      </c>
      <c r="D554" s="362" t="str">
        <f>'3ª EM'!$C9</f>
        <v>ASSUNTA NADIM</v>
      </c>
      <c r="E554" s="249" t="str">
        <f>'3ª EM'!$D9</f>
        <v>F</v>
      </c>
      <c r="F554" s="249" t="str">
        <f>'3ª EM'!E9</f>
        <v>MA</v>
      </c>
      <c r="G554" s="250">
        <f>'3ª EM'!F9</f>
        <v>22363</v>
      </c>
      <c r="H554" s="362" t="str">
        <f>'3ª EM'!G9</f>
        <v>123764031-3</v>
      </c>
      <c r="I554" s="363" t="str">
        <f>'3ª EM'!$H9</f>
        <v>11417321-7</v>
      </c>
      <c r="J554" s="362"/>
      <c r="K554" s="362">
        <f>'3ª EM'!$I9</f>
        <v>0</v>
      </c>
      <c r="L554" s="250" t="str">
        <f ca="1">'2ª EM'!$J9</f>
        <v>DISP.IDADE</v>
      </c>
      <c r="M554" s="362"/>
      <c r="N554" s="252">
        <f ca="1">'3ª EM'!$K9</f>
        <v>64</v>
      </c>
      <c r="O554" s="362"/>
      <c r="P554" s="253" t="s">
        <v>110</v>
      </c>
      <c r="Q554" s="415" t="s">
        <v>251</v>
      </c>
      <c r="R554" s="383" t="str">
        <f>'3ª EM'!$L9</f>
        <v>Não</v>
      </c>
      <c r="S554" s="383" t="str">
        <f>'3ª EM'!$M9</f>
        <v>-</v>
      </c>
      <c r="T554" s="383" t="str">
        <f>'3ª EM'!$N9</f>
        <v>-</v>
      </c>
      <c r="U554" s="383" t="str">
        <f>'3ª EM'!$O9</f>
        <v>-</v>
      </c>
      <c r="V554" s="383" t="str">
        <f>'3ª EM'!$P9</f>
        <v>-</v>
      </c>
      <c r="W554" s="383" t="str">
        <f>'3ª EM'!$Q9</f>
        <v>-</v>
      </c>
      <c r="X554" s="383" t="str">
        <f>'3ª EM'!$R9</f>
        <v>-</v>
      </c>
      <c r="Y554" s="383" t="str">
        <f>'3ª EM'!$S9</f>
        <v>-</v>
      </c>
      <c r="Z554" s="384">
        <f>'3ª EM'!$T9</f>
        <v>0</v>
      </c>
      <c r="AA554" s="384">
        <f>'2ª EM'!$U9</f>
        <v>0</v>
      </c>
      <c r="AB554" s="385" t="s">
        <v>331</v>
      </c>
      <c r="AC554" s="385"/>
      <c r="AD554" s="435" t="s">
        <v>466</v>
      </c>
    </row>
    <row r="555" spans="1:30" ht="15.75" x14ac:dyDescent="0.25">
      <c r="A555" s="416" t="str">
        <f>RIGHT('[1]3ª EM'!$A$5:$D$5,12)</f>
        <v>3ª SÉRIE E.M</v>
      </c>
      <c r="B555" s="451">
        <v>4</v>
      </c>
      <c r="C555" s="248">
        <f>'3ª EM'!$B10</f>
        <v>18928</v>
      </c>
      <c r="D555" s="362" t="str">
        <f>'3ª EM'!$C10</f>
        <v>CLAYTON VINICIUS VIANA COSTA DOS SANTOS</v>
      </c>
      <c r="E555" s="249" t="str">
        <f>'3ª EM'!$D10</f>
        <v>M</v>
      </c>
      <c r="F555" s="249" t="str">
        <f>'3ª EM'!E10</f>
        <v>MC</v>
      </c>
      <c r="G555" s="250">
        <f>'3ª EM'!F10</f>
        <v>39214</v>
      </c>
      <c r="H555" s="362">
        <f>'3ª EM'!G10</f>
        <v>1084196700</v>
      </c>
      <c r="I555" s="363">
        <f>'3ª EM'!$H10</f>
        <v>0</v>
      </c>
      <c r="J555" s="362"/>
      <c r="K555" s="362" t="str">
        <f>'3ª EM'!$I10</f>
        <v>MC - 30/09</v>
      </c>
      <c r="L555" s="250" t="str">
        <f ca="1">'2ª EM'!$J10</f>
        <v>DISP.IDADE</v>
      </c>
      <c r="M555" s="362"/>
      <c r="N555" s="252">
        <f ca="1">'3ª EM'!$K10</f>
        <v>18</v>
      </c>
      <c r="O555" s="362"/>
      <c r="P555" s="253" t="s">
        <v>110</v>
      </c>
      <c r="Q555" s="415" t="s">
        <v>251</v>
      </c>
      <c r="R555" s="383" t="str">
        <f>'3ª EM'!$L10</f>
        <v>Não</v>
      </c>
      <c r="S555" s="383" t="str">
        <f>'3ª EM'!$M10</f>
        <v>-</v>
      </c>
      <c r="T555" s="383" t="str">
        <f>'3ª EM'!$N10</f>
        <v>-</v>
      </c>
      <c r="U555" s="383" t="str">
        <f>'3ª EM'!$O10</f>
        <v>-</v>
      </c>
      <c r="V555" s="383" t="str">
        <f>'3ª EM'!$P10</f>
        <v>-</v>
      </c>
      <c r="W555" s="383" t="str">
        <f>'3ª EM'!$Q10</f>
        <v>-</v>
      </c>
      <c r="X555" s="383" t="str">
        <f>'3ª EM'!$R10</f>
        <v>-</v>
      </c>
      <c r="Y555" s="383" t="str">
        <f>'3ª EM'!$S10</f>
        <v>-</v>
      </c>
      <c r="Z555" s="384">
        <f>'3ª EM'!$T10</f>
        <v>0</v>
      </c>
      <c r="AA555" s="384">
        <f>'2ª EM'!$U10</f>
        <v>0</v>
      </c>
      <c r="AB555" s="385" t="s">
        <v>331</v>
      </c>
      <c r="AC555" s="385"/>
      <c r="AD555" s="435" t="s">
        <v>466</v>
      </c>
    </row>
    <row r="556" spans="1:30" ht="15.75" x14ac:dyDescent="0.25">
      <c r="A556" s="416" t="str">
        <f>RIGHT('[1]3ª EM'!$A$5:$D$5,12)</f>
        <v>3ª SÉRIE E.M</v>
      </c>
      <c r="B556" s="451">
        <v>5</v>
      </c>
      <c r="C556" s="248">
        <f>'3ª EM'!$B11</f>
        <v>18926</v>
      </c>
      <c r="D556" s="362" t="str">
        <f>'3ª EM'!$C11</f>
        <v>DAMARIS ELIZABETH</v>
      </c>
      <c r="E556" s="249" t="str">
        <f>'3ª EM'!$D11</f>
        <v>F</v>
      </c>
      <c r="F556" s="249" t="str">
        <f>'3ª EM'!E11</f>
        <v>MA</v>
      </c>
      <c r="G556" s="250">
        <f>'3ª EM'!F11</f>
        <v>38782</v>
      </c>
      <c r="H556" s="362">
        <f>'3ª EM'!G11</f>
        <v>0</v>
      </c>
      <c r="I556" s="363">
        <f>'3ª EM'!$H11</f>
        <v>0</v>
      </c>
      <c r="J556" s="362"/>
      <c r="K556" s="362">
        <f>'3ª EM'!$I11</f>
        <v>0</v>
      </c>
      <c r="L556" s="250" t="str">
        <f ca="1">'2ª EM'!$J11</f>
        <v>DISP.IDADE</v>
      </c>
      <c r="M556" s="362"/>
      <c r="N556" s="252">
        <f ca="1">'3ª EM'!$K11</f>
        <v>19</v>
      </c>
      <c r="O556" s="362"/>
      <c r="P556" s="253" t="s">
        <v>110</v>
      </c>
      <c r="Q556" s="415" t="s">
        <v>251</v>
      </c>
      <c r="R556" s="383" t="str">
        <f>'3ª EM'!$L11</f>
        <v>Não</v>
      </c>
      <c r="S556" s="383" t="str">
        <f>'3ª EM'!$M11</f>
        <v>-</v>
      </c>
      <c r="T556" s="383" t="str">
        <f>'3ª EM'!$N11</f>
        <v>-</v>
      </c>
      <c r="U556" s="383" t="str">
        <f>'3ª EM'!$O11</f>
        <v>-</v>
      </c>
      <c r="V556" s="383" t="str">
        <f>'3ª EM'!$P11</f>
        <v>-</v>
      </c>
      <c r="W556" s="383" t="str">
        <f>'3ª EM'!$Q11</f>
        <v>-</v>
      </c>
      <c r="X556" s="383" t="str">
        <f>'3ª EM'!$R11</f>
        <v>-</v>
      </c>
      <c r="Y556" s="383" t="str">
        <f>'3ª EM'!$S11</f>
        <v>-</v>
      </c>
      <c r="Z556" s="384">
        <f>'3ª EM'!$T11</f>
        <v>0</v>
      </c>
      <c r="AA556" s="384">
        <f>'2ª EM'!$U11</f>
        <v>0</v>
      </c>
      <c r="AB556" s="385" t="s">
        <v>331</v>
      </c>
      <c r="AC556" s="385"/>
      <c r="AD556" s="435" t="s">
        <v>466</v>
      </c>
    </row>
    <row r="557" spans="1:30" ht="15.75" x14ac:dyDescent="0.25">
      <c r="A557" s="416" t="str">
        <f>RIGHT('[1]3ª EM'!$A$5:$D$5,12)</f>
        <v>3ª SÉRIE E.M</v>
      </c>
      <c r="B557" s="451">
        <v>6</v>
      </c>
      <c r="C557" s="248">
        <f>'3ª EM'!$B12</f>
        <v>18914</v>
      </c>
      <c r="D557" s="362" t="str">
        <f>'3ª EM'!$C12</f>
        <v>DOMENICA SANTOS DA SILVA TOZZI</v>
      </c>
      <c r="E557" s="249" t="str">
        <f>'3ª EM'!$D12</f>
        <v>F</v>
      </c>
      <c r="F557" s="249" t="str">
        <f>'3ª EM'!E12</f>
        <v>MC</v>
      </c>
      <c r="G557" s="250">
        <f>'3ª EM'!F12</f>
        <v>32378</v>
      </c>
      <c r="H557" s="362" t="str">
        <f>'3ª EM'!G12</f>
        <v>44769369-4</v>
      </c>
      <c r="I557" s="363">
        <f>'3ª EM'!$H12</f>
        <v>0</v>
      </c>
      <c r="J557" s="362"/>
      <c r="K557" s="362" t="str">
        <f>'3ª EM'!$I12</f>
        <v>MC 18/09</v>
      </c>
      <c r="L557" s="250" t="str">
        <f ca="1">'2ª EM'!$J12</f>
        <v/>
      </c>
      <c r="M557" s="362"/>
      <c r="N557" s="252">
        <f ca="1">'3ª EM'!$K12</f>
        <v>37</v>
      </c>
      <c r="O557" s="362"/>
      <c r="P557" s="253" t="s">
        <v>110</v>
      </c>
      <c r="Q557" s="415" t="s">
        <v>251</v>
      </c>
      <c r="R557" s="383" t="str">
        <f>'3ª EM'!$L12</f>
        <v>Não</v>
      </c>
      <c r="S557" s="383" t="str">
        <f>'3ª EM'!$M12</f>
        <v>-</v>
      </c>
      <c r="T557" s="383" t="str">
        <f>'3ª EM'!$N12</f>
        <v>-</v>
      </c>
      <c r="U557" s="383" t="str">
        <f>'3ª EM'!$O12</f>
        <v>-</v>
      </c>
      <c r="V557" s="383" t="str">
        <f>'3ª EM'!$P12</f>
        <v>-</v>
      </c>
      <c r="W557" s="383" t="str">
        <f>'3ª EM'!$Q12</f>
        <v>-</v>
      </c>
      <c r="X557" s="383" t="str">
        <f>'3ª EM'!$R12</f>
        <v>-</v>
      </c>
      <c r="Y557" s="383" t="str">
        <f>'3ª EM'!$S12</f>
        <v>-</v>
      </c>
      <c r="Z557" s="384">
        <f>'3ª EM'!$T12</f>
        <v>0</v>
      </c>
      <c r="AA557" s="384">
        <f>'2ª EM'!$U12</f>
        <v>0</v>
      </c>
      <c r="AB557" s="385" t="s">
        <v>331</v>
      </c>
      <c r="AC557" s="385"/>
      <c r="AD557" s="435" t="s">
        <v>466</v>
      </c>
    </row>
    <row r="558" spans="1:30" ht="15.75" x14ac:dyDescent="0.25">
      <c r="A558" s="416" t="str">
        <f>RIGHT('[1]3ª EM'!$A$5:$D$5,12)</f>
        <v>3ª SÉRIE E.M</v>
      </c>
      <c r="B558" s="451">
        <v>7</v>
      </c>
      <c r="C558" s="248">
        <f>'3ª EM'!$B13</f>
        <v>18489</v>
      </c>
      <c r="D558" s="362" t="str">
        <f>'3ª EM'!$C13</f>
        <v>ELENICE MARIA DO PATROCINIO</v>
      </c>
      <c r="E558" s="249" t="str">
        <f>'3ª EM'!$D13</f>
        <v>F</v>
      </c>
      <c r="F558" s="249" t="str">
        <f>'3ª EM'!E13</f>
        <v>MA</v>
      </c>
      <c r="G558" s="250">
        <f>'3ª EM'!F13</f>
        <v>29094</v>
      </c>
      <c r="H558" s="362" t="str">
        <f>'3ª EM'!G13</f>
        <v>34153067-0</v>
      </c>
      <c r="I558" s="363" t="str">
        <f>'3ª EM'!$H13</f>
        <v>34153067-0</v>
      </c>
      <c r="J558" s="362"/>
      <c r="K558" s="362">
        <f>'3ª EM'!$I13</f>
        <v>0</v>
      </c>
      <c r="L558" s="250" t="str">
        <f ca="1">'2ª EM'!$J13</f>
        <v>DISP.IDADE</v>
      </c>
      <c r="M558" s="362"/>
      <c r="N558" s="252">
        <f ca="1">'3ª EM'!$K13</f>
        <v>46</v>
      </c>
      <c r="O558" s="362"/>
      <c r="P558" s="253" t="s">
        <v>110</v>
      </c>
      <c r="Q558" s="415" t="s">
        <v>251</v>
      </c>
      <c r="R558" s="383" t="str">
        <f>'3ª EM'!$L13</f>
        <v>Não</v>
      </c>
      <c r="S558" s="383" t="str">
        <f>'3ª EM'!$M13</f>
        <v>-</v>
      </c>
      <c r="T558" s="383" t="str">
        <f>'3ª EM'!$N13</f>
        <v>-</v>
      </c>
      <c r="U558" s="383" t="str">
        <f>'3ª EM'!$O13</f>
        <v>-</v>
      </c>
      <c r="V558" s="383" t="str">
        <f>'3ª EM'!$P13</f>
        <v>-</v>
      </c>
      <c r="W558" s="383" t="str">
        <f>'3ª EM'!$Q13</f>
        <v>-</v>
      </c>
      <c r="X558" s="383" t="str">
        <f>'3ª EM'!$R13</f>
        <v>-</v>
      </c>
      <c r="Y558" s="383" t="str">
        <f>'3ª EM'!$S13</f>
        <v>-</v>
      </c>
      <c r="Z558" s="384">
        <f>'3ª EM'!$T13</f>
        <v>0</v>
      </c>
      <c r="AA558" s="384">
        <f>'2ª EM'!$U13</f>
        <v>0</v>
      </c>
      <c r="AB558" s="385" t="s">
        <v>331</v>
      </c>
      <c r="AC558" s="385"/>
      <c r="AD558" s="435" t="s">
        <v>466</v>
      </c>
    </row>
    <row r="559" spans="1:30" ht="15.75" x14ac:dyDescent="0.25">
      <c r="A559" s="416" t="str">
        <f>RIGHT('[1]3ª EM'!$A$5:$D$5,12)</f>
        <v>3ª SÉRIE E.M</v>
      </c>
      <c r="B559" s="451">
        <v>8</v>
      </c>
      <c r="C559" s="248">
        <f>'3ª EM'!$B14</f>
        <v>18921</v>
      </c>
      <c r="D559" s="362" t="str">
        <f>'3ª EM'!$C14</f>
        <v>EVILYN DE AGRELA BEGUETTO</v>
      </c>
      <c r="E559" s="249" t="str">
        <f>'3ª EM'!$D14</f>
        <v>F</v>
      </c>
      <c r="F559" s="249" t="str">
        <f>'3ª EM'!E14</f>
        <v>MA</v>
      </c>
      <c r="G559" s="250">
        <f>'3ª EM'!F14</f>
        <v>39175</v>
      </c>
      <c r="H559" s="362">
        <f>'3ª EM'!G14</f>
        <v>1077171845</v>
      </c>
      <c r="I559" s="363">
        <f>'3ª EM'!$H14</f>
        <v>0</v>
      </c>
      <c r="J559" s="362"/>
      <c r="K559" s="362">
        <f>'3ª EM'!$I14</f>
        <v>0</v>
      </c>
      <c r="L559" s="250" t="str">
        <f ca="1">'2ª EM'!$J14</f>
        <v/>
      </c>
      <c r="M559" s="362"/>
      <c r="N559" s="252">
        <f ca="1">'3ª EM'!$K14</f>
        <v>18</v>
      </c>
      <c r="O559" s="362"/>
      <c r="P559" s="253" t="s">
        <v>110</v>
      </c>
      <c r="Q559" s="415" t="s">
        <v>251</v>
      </c>
      <c r="R559" s="383" t="str">
        <f>'3ª EM'!$L14</f>
        <v>Não</v>
      </c>
      <c r="S559" s="383" t="str">
        <f>'3ª EM'!$M14</f>
        <v>-</v>
      </c>
      <c r="T559" s="383" t="str">
        <f>'3ª EM'!$N14</f>
        <v>-</v>
      </c>
      <c r="U559" s="383" t="str">
        <f>'3ª EM'!$O14</f>
        <v>-</v>
      </c>
      <c r="V559" s="383" t="str">
        <f>'3ª EM'!$P14</f>
        <v>-</v>
      </c>
      <c r="W559" s="383" t="str">
        <f>'3ª EM'!$Q14</f>
        <v>-</v>
      </c>
      <c r="X559" s="383" t="str">
        <f>'3ª EM'!$R14</f>
        <v>-</v>
      </c>
      <c r="Y559" s="383" t="str">
        <f>'3ª EM'!$S14</f>
        <v>-</v>
      </c>
      <c r="Z559" s="384">
        <f>'3ª EM'!$T14</f>
        <v>0</v>
      </c>
      <c r="AA559" s="384">
        <f>'2ª EM'!$U14</f>
        <v>0</v>
      </c>
      <c r="AB559" s="385" t="s">
        <v>331</v>
      </c>
      <c r="AC559" s="385"/>
      <c r="AD559" s="435" t="s">
        <v>466</v>
      </c>
    </row>
    <row r="560" spans="1:30" ht="15.75" x14ac:dyDescent="0.25">
      <c r="A560" s="416" t="str">
        <f>RIGHT('[1]3ª EM'!$A$5:$D$5,12)</f>
        <v>3ª SÉRIE E.M</v>
      </c>
      <c r="B560" s="451">
        <v>9</v>
      </c>
      <c r="C560" s="248">
        <f>'3ª EM'!$B15</f>
        <v>17686</v>
      </c>
      <c r="D560" s="362" t="str">
        <f>'3ª EM'!$C15</f>
        <v>FABRICIO FRANCA MIRANDA</v>
      </c>
      <c r="E560" s="249" t="str">
        <f>'3ª EM'!$D15</f>
        <v>M</v>
      </c>
      <c r="F560" s="249" t="str">
        <f>'3ª EM'!E15</f>
        <v>MA</v>
      </c>
      <c r="G560" s="250">
        <f>'3ª EM'!F15</f>
        <v>38797</v>
      </c>
      <c r="H560" s="362" t="str">
        <f>'3ª EM'!G15</f>
        <v>108309624-2</v>
      </c>
      <c r="I560" s="363" t="str">
        <f>'3ª EM'!$H15</f>
        <v>68488533-5</v>
      </c>
      <c r="J560" s="362"/>
      <c r="K560" s="362">
        <f>'3ª EM'!$I15</f>
        <v>0</v>
      </c>
      <c r="L560" s="250" t="str">
        <f>'2ª EM'!$J15</f>
        <v>DISP.TRABALHO</v>
      </c>
      <c r="M560" s="362"/>
      <c r="N560" s="252">
        <f ca="1">'3ª EM'!$K15</f>
        <v>19</v>
      </c>
      <c r="O560" s="362"/>
      <c r="P560" s="253" t="s">
        <v>110</v>
      </c>
      <c r="Q560" s="415" t="s">
        <v>251</v>
      </c>
      <c r="R560" s="383" t="str">
        <f>'3ª EM'!$L15</f>
        <v>Não</v>
      </c>
      <c r="S560" s="383" t="str">
        <f>'3ª EM'!$M15</f>
        <v>-</v>
      </c>
      <c r="T560" s="383" t="str">
        <f>'3ª EM'!$N15</f>
        <v>-</v>
      </c>
      <c r="U560" s="383" t="str">
        <f>'3ª EM'!$O15</f>
        <v>-</v>
      </c>
      <c r="V560" s="383" t="str">
        <f>'3ª EM'!$P15</f>
        <v>-</v>
      </c>
      <c r="W560" s="383" t="str">
        <f>'3ª EM'!$Q15</f>
        <v>-</v>
      </c>
      <c r="X560" s="383" t="str">
        <f>'3ª EM'!$R15</f>
        <v>-</v>
      </c>
      <c r="Y560" s="383" t="str">
        <f>'3ª EM'!$S15</f>
        <v>-</v>
      </c>
      <c r="Z560" s="384">
        <f>'3ª EM'!$T15</f>
        <v>0</v>
      </c>
      <c r="AA560" s="384">
        <f>'2ª EM'!$U15</f>
        <v>0</v>
      </c>
      <c r="AB560" s="385" t="s">
        <v>331</v>
      </c>
      <c r="AC560" s="385"/>
      <c r="AD560" s="435" t="s">
        <v>466</v>
      </c>
    </row>
    <row r="561" spans="1:30" ht="15.75" x14ac:dyDescent="0.25">
      <c r="A561" s="416" t="str">
        <f>RIGHT('[1]3ª EM'!$A$5:$D$5,12)</f>
        <v>3ª SÉRIE E.M</v>
      </c>
      <c r="B561" s="451">
        <v>10</v>
      </c>
      <c r="C561" s="248" t="e">
        <f>'3ª EM'!#REF!</f>
        <v>#REF!</v>
      </c>
      <c r="D561" s="362" t="e">
        <f>'3ª EM'!#REF!</f>
        <v>#REF!</v>
      </c>
      <c r="E561" s="249" t="e">
        <f>'3ª EM'!#REF!</f>
        <v>#REF!</v>
      </c>
      <c r="F561" s="249" t="e">
        <f>'3ª EM'!#REF!</f>
        <v>#REF!</v>
      </c>
      <c r="G561" s="250" t="e">
        <f>'3ª EM'!#REF!</f>
        <v>#REF!</v>
      </c>
      <c r="H561" s="362" t="e">
        <f>'3ª EM'!#REF!</f>
        <v>#REF!</v>
      </c>
      <c r="I561" s="363" t="e">
        <f>'3ª EM'!#REF!</f>
        <v>#REF!</v>
      </c>
      <c r="J561" s="362"/>
      <c r="K561" s="362" t="e">
        <f>'3ª EM'!#REF!</f>
        <v>#REF!</v>
      </c>
      <c r="L561" s="250" t="str">
        <f ca="1">'2ª EM'!$J16</f>
        <v>DISP.IDADE</v>
      </c>
      <c r="M561" s="362"/>
      <c r="N561" s="252" t="e">
        <f>'3ª EM'!#REF!</f>
        <v>#REF!</v>
      </c>
      <c r="O561" s="362"/>
      <c r="P561" s="253" t="s">
        <v>110</v>
      </c>
      <c r="Q561" s="415" t="s">
        <v>251</v>
      </c>
      <c r="R561" s="383" t="e">
        <f>'3ª EM'!#REF!</f>
        <v>#REF!</v>
      </c>
      <c r="S561" s="383" t="e">
        <f>'3ª EM'!#REF!</f>
        <v>#REF!</v>
      </c>
      <c r="T561" s="383" t="e">
        <f>'3ª EM'!#REF!</f>
        <v>#REF!</v>
      </c>
      <c r="U561" s="383" t="e">
        <f>'3ª EM'!#REF!</f>
        <v>#REF!</v>
      </c>
      <c r="V561" s="383" t="e">
        <f>'3ª EM'!#REF!</f>
        <v>#REF!</v>
      </c>
      <c r="W561" s="383" t="e">
        <f>'3ª EM'!#REF!</f>
        <v>#REF!</v>
      </c>
      <c r="X561" s="383" t="e">
        <f>'3ª EM'!#REF!</f>
        <v>#REF!</v>
      </c>
      <c r="Y561" s="383" t="e">
        <f>'3ª EM'!#REF!</f>
        <v>#REF!</v>
      </c>
      <c r="Z561" s="384" t="e">
        <f>'3ª EM'!#REF!</f>
        <v>#REF!</v>
      </c>
      <c r="AA561" s="384">
        <f>'2ª EM'!$U16</f>
        <v>0</v>
      </c>
      <c r="AB561" s="385" t="s">
        <v>331</v>
      </c>
      <c r="AC561" s="385"/>
      <c r="AD561" s="435" t="s">
        <v>466</v>
      </c>
    </row>
    <row r="562" spans="1:30" ht="15.75" x14ac:dyDescent="0.25">
      <c r="A562" s="416" t="str">
        <f>RIGHT('[1]3ª EM'!$A$5:$D$5,12)</f>
        <v>3ª SÉRIE E.M</v>
      </c>
      <c r="B562" s="451">
        <v>11</v>
      </c>
      <c r="C562" s="248">
        <f>'3ª EM'!$B16</f>
        <v>18485</v>
      </c>
      <c r="D562" s="362" t="str">
        <f>'3ª EM'!$C16</f>
        <v>GUILHERME CARDOSO GOMBIO</v>
      </c>
      <c r="E562" s="249" t="str">
        <f>'3ª EM'!$D16</f>
        <v>M</v>
      </c>
      <c r="F562" s="249" t="str">
        <f>'3ª EM'!E16</f>
        <v>MA</v>
      </c>
      <c r="G562" s="250">
        <f>'3ª EM'!F16</f>
        <v>38107</v>
      </c>
      <c r="H562" s="362" t="str">
        <f>'3ª EM'!G16</f>
        <v>103886852-X</v>
      </c>
      <c r="I562" s="363" t="str">
        <f>'3ª EM'!$H16</f>
        <v>68297430-4</v>
      </c>
      <c r="J562" s="362"/>
      <c r="K562" s="362">
        <f>'3ª EM'!$I16</f>
        <v>0</v>
      </c>
      <c r="L562" s="250" t="str">
        <f ca="1">'2ª EM'!$J17</f>
        <v>DISP.IDADE</v>
      </c>
      <c r="M562" s="362"/>
      <c r="N562" s="252">
        <f ca="1">'3ª EM'!$K16</f>
        <v>21</v>
      </c>
      <c r="O562" s="362"/>
      <c r="P562" s="253" t="s">
        <v>110</v>
      </c>
      <c r="Q562" s="415" t="s">
        <v>251</v>
      </c>
      <c r="R562" s="383" t="str">
        <f>'3ª EM'!$L16</f>
        <v>Não</v>
      </c>
      <c r="S562" s="383" t="str">
        <f>'3ª EM'!$M16</f>
        <v>-</v>
      </c>
      <c r="T562" s="383" t="str">
        <f>'3ª EM'!$N16</f>
        <v>-</v>
      </c>
      <c r="U562" s="383" t="str">
        <f>'3ª EM'!$O16</f>
        <v>-</v>
      </c>
      <c r="V562" s="383" t="str">
        <f>'3ª EM'!$P16</f>
        <v>-</v>
      </c>
      <c r="W562" s="383" t="str">
        <f>'3ª EM'!$Q16</f>
        <v>-</v>
      </c>
      <c r="X562" s="383" t="str">
        <f>'3ª EM'!$R16</f>
        <v>-</v>
      </c>
      <c r="Y562" s="383" t="str">
        <f>'3ª EM'!$S16</f>
        <v>-</v>
      </c>
      <c r="Z562" s="384">
        <f>'3ª EM'!$T16</f>
        <v>0</v>
      </c>
      <c r="AA562" s="384">
        <f>'2ª EM'!$U17</f>
        <v>0</v>
      </c>
      <c r="AB562" s="385" t="s">
        <v>331</v>
      </c>
      <c r="AC562" s="385"/>
      <c r="AD562" s="435" t="s">
        <v>466</v>
      </c>
    </row>
    <row r="563" spans="1:30" ht="15.75" x14ac:dyDescent="0.25">
      <c r="A563" s="416" t="str">
        <f>RIGHT('[1]3ª EM'!$A$5:$D$5,12)</f>
        <v>3ª SÉRIE E.M</v>
      </c>
      <c r="B563" s="451">
        <v>12</v>
      </c>
      <c r="C563" s="248">
        <f>'3ª EM'!$B17</f>
        <v>18915</v>
      </c>
      <c r="D563" s="362" t="str">
        <f>'3ª EM'!$C17</f>
        <v>GUILHERME COSMO DA COSTA FERREIRA</v>
      </c>
      <c r="E563" s="249" t="str">
        <f>'3ª EM'!$D17</f>
        <v>F</v>
      </c>
      <c r="F563" s="249" t="str">
        <f>'3ª EM'!E17</f>
        <v>MA</v>
      </c>
      <c r="G563" s="250">
        <f>'3ª EM'!F17</f>
        <v>38893</v>
      </c>
      <c r="H563" s="362">
        <f>'3ª EM'!G17</f>
        <v>1066524129</v>
      </c>
      <c r="I563" s="363">
        <f>'3ª EM'!$H17</f>
        <v>0</v>
      </c>
      <c r="J563" s="362"/>
      <c r="K563" s="362">
        <f>'3ª EM'!$I17</f>
        <v>0</v>
      </c>
      <c r="L563" s="250" t="str">
        <f ca="1">'2ª EM'!$J18</f>
        <v>DISP.IDADE</v>
      </c>
      <c r="M563" s="362"/>
      <c r="N563" s="252">
        <f ca="1">'3ª EM'!$K17</f>
        <v>19</v>
      </c>
      <c r="O563" s="362"/>
      <c r="P563" s="253" t="s">
        <v>110</v>
      </c>
      <c r="Q563" s="415" t="s">
        <v>251</v>
      </c>
      <c r="R563" s="383" t="str">
        <f>'3ª EM'!$L17</f>
        <v>Não</v>
      </c>
      <c r="S563" s="383" t="str">
        <f>'3ª EM'!$M17</f>
        <v>-</v>
      </c>
      <c r="T563" s="383" t="str">
        <f>'3ª EM'!$N17</f>
        <v>-</v>
      </c>
      <c r="U563" s="383" t="str">
        <f>'3ª EM'!$O17</f>
        <v>-</v>
      </c>
      <c r="V563" s="383" t="str">
        <f>'3ª EM'!$P17</f>
        <v>-</v>
      </c>
      <c r="W563" s="383" t="str">
        <f>'3ª EM'!$Q17</f>
        <v>-</v>
      </c>
      <c r="X563" s="383" t="str">
        <f>'3ª EM'!$R17</f>
        <v>-</v>
      </c>
      <c r="Y563" s="383" t="str">
        <f>'3ª EM'!$S17</f>
        <v>-</v>
      </c>
      <c r="Z563" s="384">
        <f>'3ª EM'!$T17</f>
        <v>0</v>
      </c>
      <c r="AA563" s="384">
        <f>'2ª EM'!$U18</f>
        <v>0</v>
      </c>
      <c r="AB563" s="385" t="s">
        <v>331</v>
      </c>
      <c r="AC563" s="385"/>
      <c r="AD563" s="435" t="s">
        <v>466</v>
      </c>
    </row>
    <row r="564" spans="1:30" ht="15.75" x14ac:dyDescent="0.25">
      <c r="A564" s="416" t="str">
        <f>RIGHT('[1]3ª EM'!$A$5:$D$5,12)</f>
        <v>3ª SÉRIE E.M</v>
      </c>
      <c r="B564" s="451">
        <v>13</v>
      </c>
      <c r="C564" s="248">
        <f>'3ª EM'!$B18</f>
        <v>15848</v>
      </c>
      <c r="D564" s="362" t="str">
        <f>'3ª EM'!$C18</f>
        <v>JULIANA LIMA DA SILVA</v>
      </c>
      <c r="E564" s="249" t="str">
        <f>'3ª EM'!$D18</f>
        <v>F</v>
      </c>
      <c r="F564" s="249" t="str">
        <f>'3ª EM'!E18</f>
        <v>MA</v>
      </c>
      <c r="G564" s="250">
        <f>'3ª EM'!F18</f>
        <v>33913</v>
      </c>
      <c r="H564" s="362" t="str">
        <f>'3ª EM'!G18</f>
        <v>48861814-9</v>
      </c>
      <c r="I564" s="363">
        <f>'3ª EM'!$H18</f>
        <v>0</v>
      </c>
      <c r="J564" s="362"/>
      <c r="K564" s="362">
        <f>'3ª EM'!$I18</f>
        <v>0</v>
      </c>
      <c r="L564" s="250" t="str">
        <f ca="1">'2ª EM'!$J19</f>
        <v/>
      </c>
      <c r="M564" s="362"/>
      <c r="N564" s="252">
        <f ca="1">'3ª EM'!$K18</f>
        <v>32</v>
      </c>
      <c r="O564" s="362"/>
      <c r="P564" s="253" t="s">
        <v>110</v>
      </c>
      <c r="Q564" s="415" t="s">
        <v>251</v>
      </c>
      <c r="R564" s="383" t="str">
        <f>'3ª EM'!$L18</f>
        <v>Não</v>
      </c>
      <c r="S564" s="383" t="str">
        <f>'3ª EM'!$M18</f>
        <v>-</v>
      </c>
      <c r="T564" s="383" t="str">
        <f>'3ª EM'!$N18</f>
        <v>-</v>
      </c>
      <c r="U564" s="383" t="str">
        <f>'3ª EM'!$O18</f>
        <v>-</v>
      </c>
      <c r="V564" s="383" t="str">
        <f>'3ª EM'!$P18</f>
        <v>-</v>
      </c>
      <c r="W564" s="383" t="str">
        <f>'3ª EM'!$Q18</f>
        <v>-</v>
      </c>
      <c r="X564" s="383" t="str">
        <f>'3ª EM'!$R18</f>
        <v>-</v>
      </c>
      <c r="Y564" s="383" t="str">
        <f>'3ª EM'!$S18</f>
        <v>-</v>
      </c>
      <c r="Z564" s="384">
        <f>'3ª EM'!$T18</f>
        <v>0</v>
      </c>
      <c r="AA564" s="384">
        <f>'2ª EM'!$U19</f>
        <v>0</v>
      </c>
      <c r="AB564" s="385" t="s">
        <v>331</v>
      </c>
      <c r="AC564" s="385"/>
      <c r="AD564" s="435" t="s">
        <v>466</v>
      </c>
    </row>
    <row r="565" spans="1:30" ht="15.75" x14ac:dyDescent="0.25">
      <c r="A565" s="416" t="str">
        <f>RIGHT('[1]3ª EM'!$A$5:$D$5,12)</f>
        <v>3ª SÉRIE E.M</v>
      </c>
      <c r="B565" s="451">
        <v>14</v>
      </c>
      <c r="C565" s="248">
        <f>'3ª EM'!$B19</f>
        <v>13386</v>
      </c>
      <c r="D565" s="362" t="str">
        <f>'3ª EM'!$C19</f>
        <v>LUIZ CARLOS GOUVEA DOS SANTOS SILVA</v>
      </c>
      <c r="E565" s="249" t="str">
        <f>'3ª EM'!$D19</f>
        <v>M</v>
      </c>
      <c r="F565" s="249" t="str">
        <f>'3ª EM'!E19</f>
        <v>MA</v>
      </c>
      <c r="G565" s="250">
        <f>'3ª EM'!F19</f>
        <v>38810</v>
      </c>
      <c r="H565" s="362" t="str">
        <f>'3ª EM'!G19</f>
        <v>110803889X</v>
      </c>
      <c r="I565" s="363" t="str">
        <f>'3ª EM'!$H19</f>
        <v>59356996-9</v>
      </c>
      <c r="J565" s="362"/>
      <c r="K565" s="362">
        <f>'3ª EM'!$I19</f>
        <v>0</v>
      </c>
      <c r="L565" s="250" t="str">
        <f ca="1">'2ª EM'!$J20</f>
        <v>DISP.IDADE</v>
      </c>
      <c r="M565" s="362"/>
      <c r="N565" s="252">
        <f ca="1">'3ª EM'!$K19</f>
        <v>19</v>
      </c>
      <c r="O565" s="362"/>
      <c r="P565" s="253" t="s">
        <v>110</v>
      </c>
      <c r="Q565" s="415" t="s">
        <v>251</v>
      </c>
      <c r="R565" s="383" t="str">
        <f>'3ª EM'!$L19</f>
        <v>Não</v>
      </c>
      <c r="S565" s="383" t="str">
        <f>'3ª EM'!$M19</f>
        <v>-</v>
      </c>
      <c r="T565" s="383" t="str">
        <f>'3ª EM'!$N19</f>
        <v>-</v>
      </c>
      <c r="U565" s="383" t="str">
        <f>'3ª EM'!$O19</f>
        <v>-</v>
      </c>
      <c r="V565" s="383" t="str">
        <f>'3ª EM'!$P19</f>
        <v>-</v>
      </c>
      <c r="W565" s="383" t="str">
        <f>'3ª EM'!$Q19</f>
        <v>-</v>
      </c>
      <c r="X565" s="383" t="str">
        <f>'3ª EM'!$R19</f>
        <v>-</v>
      </c>
      <c r="Y565" s="383" t="str">
        <f>'3ª EM'!$S19</f>
        <v>-</v>
      </c>
      <c r="Z565" s="384">
        <f>'3ª EM'!$T19</f>
        <v>0</v>
      </c>
      <c r="AA565" s="384">
        <f>'2ª EM'!$U20</f>
        <v>0</v>
      </c>
      <c r="AB565" s="385" t="s">
        <v>331</v>
      </c>
      <c r="AC565" s="385"/>
      <c r="AD565" s="435" t="s">
        <v>466</v>
      </c>
    </row>
    <row r="566" spans="1:30" ht="15.75" x14ac:dyDescent="0.25">
      <c r="A566" s="416" t="str">
        <f>RIGHT('[1]3ª EM'!$A$5:$D$5,12)</f>
        <v>3ª SÉRIE E.M</v>
      </c>
      <c r="B566" s="451">
        <v>15</v>
      </c>
      <c r="C566" s="248" t="e">
        <f>'3ª EM'!#REF!</f>
        <v>#REF!</v>
      </c>
      <c r="D566" s="362" t="e">
        <f>'3ª EM'!#REF!</f>
        <v>#REF!</v>
      </c>
      <c r="E566" s="249" t="e">
        <f>'3ª EM'!#REF!</f>
        <v>#REF!</v>
      </c>
      <c r="F566" s="249" t="e">
        <f>'3ª EM'!#REF!</f>
        <v>#REF!</v>
      </c>
      <c r="G566" s="250" t="e">
        <f>'3ª EM'!#REF!</f>
        <v>#REF!</v>
      </c>
      <c r="H566" s="362" t="e">
        <f>'3ª EM'!#REF!</f>
        <v>#REF!</v>
      </c>
      <c r="I566" s="363" t="e">
        <f>'3ª EM'!#REF!</f>
        <v>#REF!</v>
      </c>
      <c r="J566" s="362"/>
      <c r="K566" s="362" t="e">
        <f>'3ª EM'!#REF!</f>
        <v>#REF!</v>
      </c>
      <c r="L566" s="250" t="str">
        <f ca="1">'2ª EM'!$J21</f>
        <v/>
      </c>
      <c r="M566" s="362"/>
      <c r="N566" s="252" t="e">
        <f>'3ª EM'!#REF!</f>
        <v>#REF!</v>
      </c>
      <c r="O566" s="362"/>
      <c r="P566" s="253" t="s">
        <v>110</v>
      </c>
      <c r="Q566" s="415" t="s">
        <v>251</v>
      </c>
      <c r="R566" s="383" t="e">
        <f>'3ª EM'!#REF!</f>
        <v>#REF!</v>
      </c>
      <c r="S566" s="383" t="e">
        <f>'3ª EM'!#REF!</f>
        <v>#REF!</v>
      </c>
      <c r="T566" s="383" t="e">
        <f>'3ª EM'!#REF!</f>
        <v>#REF!</v>
      </c>
      <c r="U566" s="383" t="e">
        <f>'3ª EM'!#REF!</f>
        <v>#REF!</v>
      </c>
      <c r="V566" s="383" t="e">
        <f>'3ª EM'!#REF!</f>
        <v>#REF!</v>
      </c>
      <c r="W566" s="383" t="e">
        <f>'3ª EM'!#REF!</f>
        <v>#REF!</v>
      </c>
      <c r="X566" s="383" t="e">
        <f>'3ª EM'!#REF!</f>
        <v>#REF!</v>
      </c>
      <c r="Y566" s="383" t="e">
        <f>'3ª EM'!#REF!</f>
        <v>#REF!</v>
      </c>
      <c r="Z566" s="384" t="e">
        <f>'3ª EM'!#REF!</f>
        <v>#REF!</v>
      </c>
      <c r="AA566" s="384">
        <f>'2ª EM'!$U21</f>
        <v>0</v>
      </c>
      <c r="AB566" s="385" t="s">
        <v>331</v>
      </c>
      <c r="AC566" s="385"/>
      <c r="AD566" s="435" t="s">
        <v>466</v>
      </c>
    </row>
    <row r="567" spans="1:30" ht="15.75" x14ac:dyDescent="0.25">
      <c r="A567" s="416" t="str">
        <f>RIGHT('[1]3ª EM'!$A$5:$D$5,12)</f>
        <v>3ª SÉRIE E.M</v>
      </c>
      <c r="B567" s="451">
        <v>16</v>
      </c>
      <c r="C567" s="248">
        <f>'3ª EM'!$B20</f>
        <v>18395</v>
      </c>
      <c r="D567" s="362" t="str">
        <f>'3ª EM'!$C20</f>
        <v>MARCIA MARIA PIRES</v>
      </c>
      <c r="E567" s="249" t="str">
        <f>'3ª EM'!$D20</f>
        <v>F</v>
      </c>
      <c r="F567" s="249" t="str">
        <f>'3ª EM'!E20</f>
        <v>MA</v>
      </c>
      <c r="G567" s="250">
        <f>'3ª EM'!F20</f>
        <v>27629</v>
      </c>
      <c r="H567" s="362" t="str">
        <f>'3ª EM'!G20</f>
        <v>125159739-7</v>
      </c>
      <c r="I567" s="363" t="str">
        <f>'3ª EM'!$H20</f>
        <v>32400449-7</v>
      </c>
      <c r="J567" s="362"/>
      <c r="K567" s="362">
        <f>'3ª EM'!$I20</f>
        <v>0</v>
      </c>
      <c r="L567" s="250" t="str">
        <f ca="1">'2ª EM'!$J22</f>
        <v/>
      </c>
      <c r="M567" s="362"/>
      <c r="N567" s="252">
        <f ca="1">'3ª EM'!$K20</f>
        <v>50</v>
      </c>
      <c r="O567" s="362"/>
      <c r="P567" s="253" t="s">
        <v>110</v>
      </c>
      <c r="Q567" s="415" t="s">
        <v>251</v>
      </c>
      <c r="R567" s="383" t="str">
        <f>'3ª EM'!$L20</f>
        <v>Não</v>
      </c>
      <c r="S567" s="383" t="str">
        <f>'3ª EM'!$M20</f>
        <v>-</v>
      </c>
      <c r="T567" s="383" t="str">
        <f>'3ª EM'!$N20</f>
        <v>-</v>
      </c>
      <c r="U567" s="383" t="str">
        <f>'3ª EM'!$O20</f>
        <v>-</v>
      </c>
      <c r="V567" s="383" t="str">
        <f>'3ª EM'!$P20</f>
        <v>-</v>
      </c>
      <c r="W567" s="383" t="str">
        <f>'3ª EM'!$Q20</f>
        <v>-</v>
      </c>
      <c r="X567" s="383" t="str">
        <f>'3ª EM'!$R20</f>
        <v>-</v>
      </c>
      <c r="Y567" s="383" t="str">
        <f>'3ª EM'!$S20</f>
        <v>-</v>
      </c>
      <c r="Z567" s="384">
        <f>'3ª EM'!$T20</f>
        <v>0</v>
      </c>
      <c r="AA567" s="384">
        <f>'2ª EM'!$U22</f>
        <v>0</v>
      </c>
      <c r="AB567" s="385" t="s">
        <v>331</v>
      </c>
      <c r="AC567" s="385"/>
      <c r="AD567" s="435" t="s">
        <v>466</v>
      </c>
    </row>
    <row r="568" spans="1:30" ht="15.75" x14ac:dyDescent="0.25">
      <c r="A568" s="416" t="str">
        <f>RIGHT('[1]3ª EM'!$A$5:$D$5,12)</f>
        <v>3ª SÉRIE E.M</v>
      </c>
      <c r="B568" s="451">
        <v>17</v>
      </c>
      <c r="C568" s="248">
        <f>'3ª EM'!$B21</f>
        <v>18855</v>
      </c>
      <c r="D568" s="362" t="str">
        <f>'3ª EM'!$C21</f>
        <v>MARIA LUIZA DA SILVA DE OLIVEIRA</v>
      </c>
      <c r="E568" s="249" t="str">
        <f>'3ª EM'!$D21</f>
        <v>F</v>
      </c>
      <c r="F568" s="249" t="str">
        <f>'3ª EM'!E21</f>
        <v>MA</v>
      </c>
      <c r="G568" s="250">
        <f>'3ª EM'!F21</f>
        <v>39017</v>
      </c>
      <c r="H568" s="362">
        <f>'3ª EM'!G21</f>
        <v>0</v>
      </c>
      <c r="I568" s="363" t="str">
        <f>'3ª EM'!$H21</f>
        <v>59.066.916-3</v>
      </c>
      <c r="J568" s="362"/>
      <c r="K568" s="362">
        <f>'3ª EM'!$I21</f>
        <v>0</v>
      </c>
      <c r="L568" s="250" t="str">
        <f ca="1">'2ª EM'!$J23</f>
        <v/>
      </c>
      <c r="M568" s="362"/>
      <c r="N568" s="252">
        <f ca="1">'3ª EM'!$K21</f>
        <v>18</v>
      </c>
      <c r="O568" s="362"/>
      <c r="P568" s="253" t="s">
        <v>110</v>
      </c>
      <c r="Q568" s="415" t="s">
        <v>251</v>
      </c>
      <c r="R568" s="383" t="str">
        <f>'3ª EM'!$L21</f>
        <v>Não</v>
      </c>
      <c r="S568" s="383" t="str">
        <f>'3ª EM'!$M21</f>
        <v>-</v>
      </c>
      <c r="T568" s="383" t="str">
        <f>'3ª EM'!$N21</f>
        <v>-</v>
      </c>
      <c r="U568" s="383" t="str">
        <f>'3ª EM'!$O21</f>
        <v>-</v>
      </c>
      <c r="V568" s="383" t="str">
        <f>'3ª EM'!$P21</f>
        <v>-</v>
      </c>
      <c r="W568" s="383" t="str">
        <f>'3ª EM'!$Q21</f>
        <v>-</v>
      </c>
      <c r="X568" s="383" t="str">
        <f>'3ª EM'!$R21</f>
        <v>-</v>
      </c>
      <c r="Y568" s="383" t="str">
        <f>'3ª EM'!$S21</f>
        <v>-</v>
      </c>
      <c r="Z568" s="384">
        <f>'3ª EM'!$T21</f>
        <v>0</v>
      </c>
      <c r="AA568" s="384">
        <f>'2ª EM'!$U23</f>
        <v>0</v>
      </c>
      <c r="AB568" s="385" t="s">
        <v>331</v>
      </c>
      <c r="AC568" s="385"/>
      <c r="AD568" s="435" t="s">
        <v>466</v>
      </c>
    </row>
    <row r="569" spans="1:30" ht="15.75" x14ac:dyDescent="0.25">
      <c r="A569" s="416" t="str">
        <f>RIGHT('[1]3ª EM'!$A$5:$D$5,12)</f>
        <v>3ª SÉRIE E.M</v>
      </c>
      <c r="B569" s="451">
        <v>18</v>
      </c>
      <c r="C569" s="248">
        <f>'3ª EM'!$B22</f>
        <v>15889</v>
      </c>
      <c r="D569" s="362" t="str">
        <f>'3ª EM'!$C22</f>
        <v>MARIANA HELENA BATISTA CAMARGO</v>
      </c>
      <c r="E569" s="249" t="str">
        <f>'3ª EM'!$D22</f>
        <v>F</v>
      </c>
      <c r="F569" s="249" t="str">
        <f>'3ª EM'!E22</f>
        <v>MA</v>
      </c>
      <c r="G569" s="250">
        <f>'3ª EM'!F22</f>
        <v>34877</v>
      </c>
      <c r="H569" s="362">
        <f>'3ª EM'!G22</f>
        <v>0</v>
      </c>
      <c r="I569" s="363" t="str">
        <f>'3ª EM'!$H22</f>
        <v>42075510-X</v>
      </c>
      <c r="J569" s="362"/>
      <c r="K569" s="362">
        <f>'3ª EM'!$I22</f>
        <v>0</v>
      </c>
      <c r="L569" s="250" t="str">
        <f ca="1">'2ª EM'!$J24</f>
        <v/>
      </c>
      <c r="M569" s="362"/>
      <c r="N569" s="252">
        <f ca="1">'3ª EM'!$K22</f>
        <v>30</v>
      </c>
      <c r="O569" s="362"/>
      <c r="P569" s="253" t="s">
        <v>110</v>
      </c>
      <c r="Q569" s="415" t="s">
        <v>251</v>
      </c>
      <c r="R569" s="383" t="str">
        <f>'3ª EM'!$L22</f>
        <v>Não</v>
      </c>
      <c r="S569" s="383" t="str">
        <f>'3ª EM'!$M22</f>
        <v>-</v>
      </c>
      <c r="T569" s="383" t="str">
        <f>'3ª EM'!$N22</f>
        <v>-</v>
      </c>
      <c r="U569" s="383" t="str">
        <f>'3ª EM'!$O22</f>
        <v>-</v>
      </c>
      <c r="V569" s="383" t="str">
        <f>'3ª EM'!$P22</f>
        <v>-</v>
      </c>
      <c r="W569" s="383" t="str">
        <f>'3ª EM'!$Q22</f>
        <v>-</v>
      </c>
      <c r="X569" s="383" t="str">
        <f>'3ª EM'!$R22</f>
        <v>-</v>
      </c>
      <c r="Y569" s="383" t="str">
        <f>'3ª EM'!$S22</f>
        <v>-</v>
      </c>
      <c r="Z569" s="384">
        <f>'3ª EM'!$T22</f>
        <v>0</v>
      </c>
      <c r="AA569" s="384">
        <f>'2ª EM'!$U24</f>
        <v>0</v>
      </c>
      <c r="AB569" s="385" t="s">
        <v>331</v>
      </c>
      <c r="AC569" s="385"/>
      <c r="AD569" s="435" t="s">
        <v>466</v>
      </c>
    </row>
    <row r="570" spans="1:30" ht="15.75" x14ac:dyDescent="0.25">
      <c r="A570" s="416" t="str">
        <f>RIGHT('[1]3ª EM'!$A$5:$D$5,12)</f>
        <v>3ª SÉRIE E.M</v>
      </c>
      <c r="B570" s="451">
        <v>19</v>
      </c>
      <c r="C570" s="248">
        <f>'3ª EM'!$B23</f>
        <v>18492</v>
      </c>
      <c r="D570" s="362" t="str">
        <f>'3ª EM'!$C23</f>
        <v>MATHEUS INACIO SOTERIO</v>
      </c>
      <c r="E570" s="249" t="str">
        <f>'3ª EM'!$D23</f>
        <v>M</v>
      </c>
      <c r="F570" s="249" t="str">
        <f>'3ª EM'!E23</f>
        <v>MA</v>
      </c>
      <c r="G570" s="250">
        <f>'3ª EM'!F23</f>
        <v>38694</v>
      </c>
      <c r="H570" s="362" t="str">
        <f>'3ª EM'!G23</f>
        <v>111426300-X</v>
      </c>
      <c r="I570" s="363" t="str">
        <f>'3ª EM'!$H23</f>
        <v>50714963-4</v>
      </c>
      <c r="J570" s="362"/>
      <c r="K570" s="362">
        <f>'3ª EM'!$I23</f>
        <v>0</v>
      </c>
      <c r="L570" s="250" t="str">
        <f ca="1">'2ª EM'!$J25</f>
        <v/>
      </c>
      <c r="M570" s="362"/>
      <c r="N570" s="252">
        <f ca="1">'3ª EM'!$K23</f>
        <v>19</v>
      </c>
      <c r="O570" s="362"/>
      <c r="P570" s="253" t="s">
        <v>110</v>
      </c>
      <c r="Q570" s="415" t="s">
        <v>251</v>
      </c>
      <c r="R570" s="383" t="str">
        <f>'3ª EM'!$L23</f>
        <v>Não</v>
      </c>
      <c r="S570" s="383" t="str">
        <f>'3ª EM'!$M23</f>
        <v>-</v>
      </c>
      <c r="T570" s="383" t="str">
        <f>'3ª EM'!$N23</f>
        <v>-</v>
      </c>
      <c r="U570" s="383" t="str">
        <f>'3ª EM'!$O23</f>
        <v>-</v>
      </c>
      <c r="V570" s="383" t="str">
        <f>'3ª EM'!$P23</f>
        <v>-</v>
      </c>
      <c r="W570" s="383" t="str">
        <f>'3ª EM'!$Q23</f>
        <v>-</v>
      </c>
      <c r="X570" s="383" t="str">
        <f>'3ª EM'!$R23</f>
        <v>-</v>
      </c>
      <c r="Y570" s="383" t="str">
        <f>'3ª EM'!$S23</f>
        <v>-</v>
      </c>
      <c r="Z570" s="384">
        <f>'3ª EM'!$T23</f>
        <v>0</v>
      </c>
      <c r="AA570" s="384">
        <f>'2ª EM'!$U25</f>
        <v>0</v>
      </c>
      <c r="AB570" s="385" t="s">
        <v>331</v>
      </c>
      <c r="AC570" s="385"/>
      <c r="AD570" s="435" t="s">
        <v>466</v>
      </c>
    </row>
    <row r="571" spans="1:30" ht="15.75" x14ac:dyDescent="0.25">
      <c r="A571" s="416" t="str">
        <f>RIGHT('[1]3ª EM'!$A$5:$D$5,12)</f>
        <v>3ª SÉRIE E.M</v>
      </c>
      <c r="B571" s="451">
        <v>20</v>
      </c>
      <c r="C571" s="248">
        <f>'3ª EM'!$B24</f>
        <v>18905</v>
      </c>
      <c r="D571" s="362" t="str">
        <f>'3ª EM'!$C24</f>
        <v>MONIQUE RAMOS BELIZARIO</v>
      </c>
      <c r="E571" s="249" t="str">
        <f>'3ª EM'!$D24</f>
        <v>F</v>
      </c>
      <c r="F571" s="249" t="str">
        <f>'3ª EM'!E24</f>
        <v>MA</v>
      </c>
      <c r="G571" s="250">
        <f>'3ª EM'!F24</f>
        <v>39214</v>
      </c>
      <c r="H571" s="362">
        <f>'3ª EM'!G24</f>
        <v>1090774783</v>
      </c>
      <c r="I571" s="363">
        <f>'3ª EM'!$H24</f>
        <v>0</v>
      </c>
      <c r="J571" s="362"/>
      <c r="K571" s="362">
        <f>'3ª EM'!$I24</f>
        <v>0</v>
      </c>
      <c r="L571" s="250" t="str">
        <f ca="1">'2ª EM'!$J26</f>
        <v>DISP.IDADE</v>
      </c>
      <c r="M571" s="362"/>
      <c r="N571" s="252">
        <f ca="1">'3ª EM'!$K24</f>
        <v>18</v>
      </c>
      <c r="O571" s="362"/>
      <c r="P571" s="253" t="s">
        <v>110</v>
      </c>
      <c r="Q571" s="415" t="s">
        <v>251</v>
      </c>
      <c r="R571" s="383" t="str">
        <f>'3ª EM'!$L24</f>
        <v>Não</v>
      </c>
      <c r="S571" s="383" t="str">
        <f>'3ª EM'!$M24</f>
        <v>-</v>
      </c>
      <c r="T571" s="383" t="str">
        <f>'3ª EM'!$N24</f>
        <v>-</v>
      </c>
      <c r="U571" s="383" t="str">
        <f>'3ª EM'!$O24</f>
        <v>-</v>
      </c>
      <c r="V571" s="383" t="str">
        <f>'3ª EM'!$P24</f>
        <v>-</v>
      </c>
      <c r="W571" s="383" t="str">
        <f>'3ª EM'!$Q24</f>
        <v>-</v>
      </c>
      <c r="X571" s="383" t="str">
        <f>'3ª EM'!$R24</f>
        <v>-</v>
      </c>
      <c r="Y571" s="383" t="str">
        <f>'3ª EM'!$S24</f>
        <v>-</v>
      </c>
      <c r="Z571" s="384">
        <f>'3ª EM'!$T24</f>
        <v>0</v>
      </c>
      <c r="AA571" s="384">
        <f>'2ª EM'!$U26</f>
        <v>0</v>
      </c>
      <c r="AB571" s="385" t="s">
        <v>331</v>
      </c>
      <c r="AC571" s="385"/>
      <c r="AD571" s="435" t="s">
        <v>466</v>
      </c>
    </row>
    <row r="572" spans="1:30" ht="15.75" x14ac:dyDescent="0.25">
      <c r="A572" s="416" t="str">
        <f>RIGHT('[1]3ª EM'!$A$5:$D$5,12)</f>
        <v>3ª SÉRIE E.M</v>
      </c>
      <c r="B572" s="451">
        <v>21</v>
      </c>
      <c r="C572" s="248">
        <f>'3ª EM'!$B25</f>
        <v>18778</v>
      </c>
      <c r="D572" s="362" t="str">
        <f>'3ª EM'!$C25</f>
        <v>NATHALYA VITORIA OLIVEIRA DE SOUZA</v>
      </c>
      <c r="E572" s="249" t="str">
        <f>'3ª EM'!$D25</f>
        <v>F</v>
      </c>
      <c r="F572" s="249" t="str">
        <f>'3ª EM'!E25</f>
        <v>MA</v>
      </c>
      <c r="G572" s="250">
        <f>'3ª EM'!F25</f>
        <v>38945</v>
      </c>
      <c r="H572" s="362">
        <f>'3ª EM'!G25</f>
        <v>0</v>
      </c>
      <c r="I572" s="363" t="str">
        <f>'3ª EM'!$H25</f>
        <v>52645234-1</v>
      </c>
      <c r="J572" s="362"/>
      <c r="K572" s="362">
        <f>'3ª EM'!$I25</f>
        <v>0</v>
      </c>
      <c r="L572" s="250" t="str">
        <f ca="1">'2ª EM'!$J27</f>
        <v/>
      </c>
      <c r="M572" s="362"/>
      <c r="N572" s="252">
        <f ca="1">'3ª EM'!$K25</f>
        <v>19</v>
      </c>
      <c r="O572" s="362"/>
      <c r="P572" s="253" t="s">
        <v>110</v>
      </c>
      <c r="Q572" s="415" t="s">
        <v>251</v>
      </c>
      <c r="R572" s="383" t="str">
        <f>'3ª EM'!$L25</f>
        <v>Não</v>
      </c>
      <c r="S572" s="383" t="str">
        <f>'3ª EM'!$M25</f>
        <v>-</v>
      </c>
      <c r="T572" s="383" t="str">
        <f>'3ª EM'!$N25</f>
        <v>-</v>
      </c>
      <c r="U572" s="383" t="str">
        <f>'3ª EM'!$O25</f>
        <v>-</v>
      </c>
      <c r="V572" s="383" t="str">
        <f>'3ª EM'!$P25</f>
        <v>-</v>
      </c>
      <c r="W572" s="383" t="str">
        <f>'3ª EM'!$Q25</f>
        <v>-</v>
      </c>
      <c r="X572" s="383" t="str">
        <f>'3ª EM'!$R25</f>
        <v>-</v>
      </c>
      <c r="Y572" s="383" t="str">
        <f>'3ª EM'!$S25</f>
        <v>-</v>
      </c>
      <c r="Z572" s="384">
        <f>'3ª EM'!$T25</f>
        <v>0</v>
      </c>
      <c r="AA572" s="384">
        <f>'2ª EM'!$U27</f>
        <v>0</v>
      </c>
      <c r="AB572" s="385" t="s">
        <v>331</v>
      </c>
      <c r="AC572" s="385"/>
      <c r="AD572" s="435" t="s">
        <v>466</v>
      </c>
    </row>
    <row r="573" spans="1:30" ht="15.75" x14ac:dyDescent="0.25">
      <c r="A573" s="416" t="str">
        <f>RIGHT('[1]3ª EM'!$A$5:$D$5,12)</f>
        <v>3ª SÉRIE E.M</v>
      </c>
      <c r="B573" s="451">
        <v>22</v>
      </c>
      <c r="C573" s="248" t="e">
        <f>'3ª EM'!#REF!</f>
        <v>#REF!</v>
      </c>
      <c r="D573" s="362" t="e">
        <f>'3ª EM'!#REF!</f>
        <v>#REF!</v>
      </c>
      <c r="E573" s="249" t="e">
        <f>'3ª EM'!#REF!</f>
        <v>#REF!</v>
      </c>
      <c r="F573" s="249" t="e">
        <f>'3ª EM'!#REF!</f>
        <v>#REF!</v>
      </c>
      <c r="G573" s="250" t="e">
        <f>'3ª EM'!#REF!</f>
        <v>#REF!</v>
      </c>
      <c r="H573" s="362" t="e">
        <f>'3ª EM'!#REF!</f>
        <v>#REF!</v>
      </c>
      <c r="I573" s="363" t="e">
        <f>'3ª EM'!#REF!</f>
        <v>#REF!</v>
      </c>
      <c r="J573" s="362"/>
      <c r="K573" s="362" t="e">
        <f>'3ª EM'!#REF!</f>
        <v>#REF!</v>
      </c>
      <c r="L573" s="250" t="str">
        <f ca="1">'2ª EM'!$J28</f>
        <v/>
      </c>
      <c r="M573" s="362"/>
      <c r="N573" s="252" t="e">
        <f>'3ª EM'!#REF!</f>
        <v>#REF!</v>
      </c>
      <c r="O573" s="362"/>
      <c r="P573" s="253" t="s">
        <v>110</v>
      </c>
      <c r="Q573" s="415" t="s">
        <v>251</v>
      </c>
      <c r="R573" s="383" t="e">
        <f>'3ª EM'!#REF!</f>
        <v>#REF!</v>
      </c>
      <c r="S573" s="383" t="e">
        <f>'3ª EM'!#REF!</f>
        <v>#REF!</v>
      </c>
      <c r="T573" s="383" t="e">
        <f>'3ª EM'!#REF!</f>
        <v>#REF!</v>
      </c>
      <c r="U573" s="383" t="e">
        <f>'3ª EM'!#REF!</f>
        <v>#REF!</v>
      </c>
      <c r="V573" s="383" t="e">
        <f>'3ª EM'!#REF!</f>
        <v>#REF!</v>
      </c>
      <c r="W573" s="383" t="e">
        <f>'3ª EM'!#REF!</f>
        <v>#REF!</v>
      </c>
      <c r="X573" s="383" t="e">
        <f>'3ª EM'!#REF!</f>
        <v>#REF!</v>
      </c>
      <c r="Y573" s="383" t="e">
        <f>'3ª EM'!#REF!</f>
        <v>#REF!</v>
      </c>
      <c r="Z573" s="384" t="e">
        <f>'3ª EM'!#REF!</f>
        <v>#REF!</v>
      </c>
      <c r="AA573" s="384">
        <f>'2ª EM'!$U28</f>
        <v>0</v>
      </c>
      <c r="AB573" s="385" t="s">
        <v>331</v>
      </c>
      <c r="AC573" s="385"/>
      <c r="AD573" s="435" t="s">
        <v>466</v>
      </c>
    </row>
    <row r="574" spans="1:30" ht="15.75" x14ac:dyDescent="0.25">
      <c r="A574" s="416" t="str">
        <f>RIGHT('[1]3ª EM'!$A$5:$D$5,12)</f>
        <v>3ª SÉRIE E.M</v>
      </c>
      <c r="B574" s="451">
        <v>23</v>
      </c>
      <c r="C574" s="248">
        <f>'3ª EM'!$B26</f>
        <v>18706</v>
      </c>
      <c r="D574" s="362" t="str">
        <f>'3ª EM'!$C26</f>
        <v>ROSALINA DA SILVA DAMIAO</v>
      </c>
      <c r="E574" s="249" t="str">
        <f>'3ª EM'!$D26</f>
        <v>F</v>
      </c>
      <c r="F574" s="249" t="str">
        <f>'3ª EM'!E26</f>
        <v>MA</v>
      </c>
      <c r="G574" s="250">
        <f>'3ª EM'!F26</f>
        <v>28909</v>
      </c>
      <c r="H574" s="362">
        <f>'3ª EM'!G26</f>
        <v>1130491067</v>
      </c>
      <c r="I574" s="363" t="str">
        <f>'3ª EM'!$H26</f>
        <v>39004655-3</v>
      </c>
      <c r="J574" s="362"/>
      <c r="K574" s="362">
        <f>'3ª EM'!$I26</f>
        <v>0</v>
      </c>
      <c r="L574" s="250" t="str">
        <f ca="1">'2ª EM'!$J29</f>
        <v/>
      </c>
      <c r="M574" s="362"/>
      <c r="N574" s="252">
        <f ca="1">'3ª EM'!$K26</f>
        <v>46</v>
      </c>
      <c r="O574" s="362"/>
      <c r="P574" s="253" t="s">
        <v>110</v>
      </c>
      <c r="Q574" s="415" t="s">
        <v>251</v>
      </c>
      <c r="R574" s="383" t="str">
        <f>'3ª EM'!$L26</f>
        <v>Não</v>
      </c>
      <c r="S574" s="383" t="str">
        <f>'3ª EM'!$M26</f>
        <v>-</v>
      </c>
      <c r="T574" s="383" t="str">
        <f>'3ª EM'!$N26</f>
        <v>-</v>
      </c>
      <c r="U574" s="383" t="str">
        <f>'3ª EM'!$O26</f>
        <v>-</v>
      </c>
      <c r="V574" s="383" t="str">
        <f>'3ª EM'!$P26</f>
        <v>-</v>
      </c>
      <c r="W574" s="383" t="str">
        <f>'3ª EM'!$Q26</f>
        <v>-</v>
      </c>
      <c r="X574" s="383" t="str">
        <f>'3ª EM'!$R26</f>
        <v>-</v>
      </c>
      <c r="Y574" s="383" t="str">
        <f>'3ª EM'!$S26</f>
        <v>-</v>
      </c>
      <c r="Z574" s="384">
        <f>'3ª EM'!$T26</f>
        <v>0</v>
      </c>
      <c r="AA574" s="384">
        <f>'2ª EM'!$U29</f>
        <v>0</v>
      </c>
      <c r="AB574" s="385" t="s">
        <v>331</v>
      </c>
      <c r="AC574" s="385"/>
      <c r="AD574" s="435" t="s">
        <v>466</v>
      </c>
    </row>
    <row r="575" spans="1:30" ht="15.75" x14ac:dyDescent="0.25">
      <c r="A575" s="416" t="str">
        <f>RIGHT('[1]3ª EM'!$A$5:$D$5,12)</f>
        <v>3ª SÉRIE E.M</v>
      </c>
      <c r="B575" s="451">
        <v>24</v>
      </c>
      <c r="C575" s="248">
        <f>'3ª EM'!$B27</f>
        <v>13098</v>
      </c>
      <c r="D575" s="362" t="str">
        <f>'3ª EM'!$C27</f>
        <v>SANDRA REGINA RODRIGUES DOS SANTOS</v>
      </c>
      <c r="E575" s="249" t="str">
        <f>'3ª EM'!$D27</f>
        <v>F</v>
      </c>
      <c r="F575" s="249" t="str">
        <f>'3ª EM'!E27</f>
        <v>MA</v>
      </c>
      <c r="G575" s="250">
        <f>'3ª EM'!F27</f>
        <v>29588</v>
      </c>
      <c r="H575" s="362">
        <f>'3ª EM'!G27</f>
        <v>0</v>
      </c>
      <c r="I575" s="363" t="str">
        <f>'3ª EM'!$H27</f>
        <v>30289798-7</v>
      </c>
      <c r="J575" s="362"/>
      <c r="K575" s="362">
        <f>'3ª EM'!$I27</f>
        <v>0</v>
      </c>
      <c r="L575" s="250" t="str">
        <f ca="1">'2ª EM'!$J30</f>
        <v/>
      </c>
      <c r="M575" s="362"/>
      <c r="N575" s="252">
        <f ca="1">'3ª EM'!$K27</f>
        <v>44</v>
      </c>
      <c r="O575" s="362"/>
      <c r="P575" s="253" t="s">
        <v>110</v>
      </c>
      <c r="Q575" s="415" t="s">
        <v>251</v>
      </c>
      <c r="R575" s="383" t="str">
        <f>'3ª EM'!$L27</f>
        <v>Não</v>
      </c>
      <c r="S575" s="383" t="str">
        <f>'3ª EM'!$M27</f>
        <v>-</v>
      </c>
      <c r="T575" s="383" t="str">
        <f>'3ª EM'!$N27</f>
        <v>-</v>
      </c>
      <c r="U575" s="383" t="str">
        <f>'3ª EM'!$O27</f>
        <v>-</v>
      </c>
      <c r="V575" s="383" t="str">
        <f>'3ª EM'!$P27</f>
        <v>-</v>
      </c>
      <c r="W575" s="383" t="str">
        <f>'3ª EM'!$Q27</f>
        <v>-</v>
      </c>
      <c r="X575" s="383" t="str">
        <f>'3ª EM'!$R27</f>
        <v>-</v>
      </c>
      <c r="Y575" s="383" t="str">
        <f>'3ª EM'!$S27</f>
        <v>-</v>
      </c>
      <c r="Z575" s="384">
        <f>'3ª EM'!$T27</f>
        <v>0</v>
      </c>
      <c r="AA575" s="384">
        <f>'2ª EM'!$U30</f>
        <v>0</v>
      </c>
      <c r="AB575" s="385" t="s">
        <v>331</v>
      </c>
      <c r="AC575" s="385"/>
      <c r="AD575" s="435" t="s">
        <v>466</v>
      </c>
    </row>
    <row r="576" spans="1:30" ht="15.75" x14ac:dyDescent="0.25">
      <c r="A576" s="416" t="str">
        <f>RIGHT('[1]3ª EM'!$A$5:$D$5,12)</f>
        <v>3ª SÉRIE E.M</v>
      </c>
      <c r="B576" s="451">
        <v>25</v>
      </c>
      <c r="C576" s="248">
        <f>'3ª EM'!$B28</f>
        <v>18764</v>
      </c>
      <c r="D576" s="362" t="str">
        <f>'3ª EM'!$C28</f>
        <v>SILVINA ALVES CAMBOIN</v>
      </c>
      <c r="E576" s="249" t="str">
        <f>'3ª EM'!$D28</f>
        <v>F</v>
      </c>
      <c r="F576" s="249" t="str">
        <f>'3ª EM'!E28</f>
        <v>MA</v>
      </c>
      <c r="G576" s="250">
        <f>'3ª EM'!F28</f>
        <v>26781</v>
      </c>
      <c r="H576" s="362">
        <f>'3ª EM'!G28</f>
        <v>0</v>
      </c>
      <c r="I576" s="363" t="str">
        <f>'3ª EM'!$H28</f>
        <v>24412555-7</v>
      </c>
      <c r="J576" s="362"/>
      <c r="K576" s="362">
        <f>'3ª EM'!$I28</f>
        <v>0</v>
      </c>
      <c r="L576" s="250" t="str">
        <f>'2ª EM'!$J31</f>
        <v/>
      </c>
      <c r="M576" s="362"/>
      <c r="N576" s="252">
        <f ca="1">'3ª EM'!$K28</f>
        <v>52</v>
      </c>
      <c r="O576" s="362"/>
      <c r="P576" s="253" t="s">
        <v>110</v>
      </c>
      <c r="Q576" s="415" t="s">
        <v>251</v>
      </c>
      <c r="R576" s="383" t="str">
        <f>'3ª EM'!$L28</f>
        <v>Não</v>
      </c>
      <c r="S576" s="383" t="str">
        <f>'3ª EM'!$M28</f>
        <v>-</v>
      </c>
      <c r="T576" s="383" t="str">
        <f>'3ª EM'!$N28</f>
        <v>-</v>
      </c>
      <c r="U576" s="383" t="str">
        <f>'3ª EM'!$O28</f>
        <v>-</v>
      </c>
      <c r="V576" s="383" t="str">
        <f>'3ª EM'!$P28</f>
        <v>-</v>
      </c>
      <c r="W576" s="383" t="str">
        <f>'3ª EM'!$Q28</f>
        <v>-</v>
      </c>
      <c r="X576" s="383" t="str">
        <f>'3ª EM'!$R28</f>
        <v>-</v>
      </c>
      <c r="Y576" s="383" t="str">
        <f>'3ª EM'!$S28</f>
        <v>-</v>
      </c>
      <c r="Z576" s="384">
        <f>'3ª EM'!$T28</f>
        <v>0</v>
      </c>
      <c r="AA576" s="384">
        <f>'2ª EM'!$U31</f>
        <v>0</v>
      </c>
      <c r="AB576" s="385" t="s">
        <v>331</v>
      </c>
      <c r="AC576" s="385"/>
      <c r="AD576" s="435" t="s">
        <v>466</v>
      </c>
    </row>
    <row r="577" spans="1:30" ht="15.75" x14ac:dyDescent="0.25">
      <c r="A577" s="416" t="str">
        <f>RIGHT('[1]3ª EM'!$A$5:$D$5,12)</f>
        <v>3ª SÉRIE E.M</v>
      </c>
      <c r="B577" s="451">
        <v>26</v>
      </c>
      <c r="C577" s="248">
        <f>'3ª EM'!$B29</f>
        <v>10938</v>
      </c>
      <c r="D577" s="362" t="str">
        <f>'3ª EM'!$C29</f>
        <v>VALMIR DUTRA</v>
      </c>
      <c r="E577" s="249" t="str">
        <f>'3ª EM'!$D29</f>
        <v>M</v>
      </c>
      <c r="F577" s="249" t="str">
        <f>'3ª EM'!E29</f>
        <v>MA</v>
      </c>
      <c r="G577" s="250">
        <f>'3ª EM'!F29</f>
        <v>26456</v>
      </c>
      <c r="H577" s="362">
        <f>'3ª EM'!G29</f>
        <v>0</v>
      </c>
      <c r="I577" s="363" t="str">
        <f>'3ª EM'!$H29</f>
        <v>27203261-X</v>
      </c>
      <c r="J577" s="362"/>
      <c r="K577" s="362">
        <f>'3ª EM'!$I29</f>
        <v>0</v>
      </c>
      <c r="L577" s="250" t="str">
        <f>'2ª EM'!$J32</f>
        <v/>
      </c>
      <c r="M577" s="362"/>
      <c r="N577" s="252">
        <f ca="1">'3ª EM'!$K29</f>
        <v>53</v>
      </c>
      <c r="O577" s="362"/>
      <c r="P577" s="253" t="s">
        <v>110</v>
      </c>
      <c r="Q577" s="415" t="s">
        <v>251</v>
      </c>
      <c r="R577" s="383" t="str">
        <f>'3ª EM'!$L29</f>
        <v>Não</v>
      </c>
      <c r="S577" s="383" t="str">
        <f>'3ª EM'!$M29</f>
        <v>-</v>
      </c>
      <c r="T577" s="383" t="str">
        <f>'3ª EM'!$N29</f>
        <v>-</v>
      </c>
      <c r="U577" s="383" t="str">
        <f>'3ª EM'!$O29</f>
        <v>-</v>
      </c>
      <c r="V577" s="383" t="str">
        <f>'3ª EM'!$P29</f>
        <v>-</v>
      </c>
      <c r="W577" s="383" t="str">
        <f>'3ª EM'!$Q29</f>
        <v>-</v>
      </c>
      <c r="X577" s="383" t="str">
        <f>'3ª EM'!$R29</f>
        <v>-</v>
      </c>
      <c r="Y577" s="383" t="str">
        <f>'3ª EM'!$S29</f>
        <v>-</v>
      </c>
      <c r="Z577" s="384">
        <f>'3ª EM'!$T29</f>
        <v>0</v>
      </c>
      <c r="AA577" s="384">
        <f>'2ª EM'!$U32</f>
        <v>0</v>
      </c>
      <c r="AB577" s="385" t="s">
        <v>331</v>
      </c>
      <c r="AC577" s="385"/>
      <c r="AD577" s="435" t="s">
        <v>466</v>
      </c>
    </row>
    <row r="578" spans="1:30" ht="15.75" x14ac:dyDescent="0.25">
      <c r="A578" s="416" t="str">
        <f>RIGHT('[1]3ª EM'!$A$5:$D$5,12)</f>
        <v>3ª SÉRIE E.M</v>
      </c>
      <c r="B578" s="451">
        <v>27</v>
      </c>
      <c r="C578" s="248">
        <f>'3ª EM'!$B30</f>
        <v>18920</v>
      </c>
      <c r="D578" s="362" t="str">
        <f>'3ª EM'!$C30</f>
        <v>YASMIN CRISTINA DOS SANTOS</v>
      </c>
      <c r="E578" s="249" t="str">
        <f>'3ª EM'!$D30</f>
        <v>F</v>
      </c>
      <c r="F578" s="249" t="str">
        <f>'3ª EM'!E30</f>
        <v>MA</v>
      </c>
      <c r="G578" s="250">
        <f>'3ª EM'!F30</f>
        <v>37943</v>
      </c>
      <c r="H578" s="362">
        <f>'3ª EM'!G30</f>
        <v>0</v>
      </c>
      <c r="I578" s="363">
        <f>'3ª EM'!$H30</f>
        <v>0</v>
      </c>
      <c r="J578" s="362"/>
      <c r="K578" s="362">
        <f>'3ª EM'!$I30</f>
        <v>0</v>
      </c>
      <c r="L578" s="250" t="str">
        <f>'2ª EM'!$J33</f>
        <v/>
      </c>
      <c r="M578" s="362"/>
      <c r="N578" s="252">
        <f ca="1">'3ª EM'!$K30</f>
        <v>21</v>
      </c>
      <c r="O578" s="362"/>
      <c r="P578" s="253" t="s">
        <v>110</v>
      </c>
      <c r="Q578" s="415" t="s">
        <v>251</v>
      </c>
      <c r="R578" s="383" t="str">
        <f>'3ª EM'!$L30</f>
        <v>Não</v>
      </c>
      <c r="S578" s="383" t="str">
        <f>'3ª EM'!$M30</f>
        <v>-</v>
      </c>
      <c r="T578" s="383" t="str">
        <f>'3ª EM'!$N30</f>
        <v>-</v>
      </c>
      <c r="U578" s="383" t="str">
        <f>'3ª EM'!$O30</f>
        <v>-</v>
      </c>
      <c r="V578" s="383" t="str">
        <f>'3ª EM'!$P30</f>
        <v>-</v>
      </c>
      <c r="W578" s="383" t="str">
        <f>'3ª EM'!$Q30</f>
        <v>-</v>
      </c>
      <c r="X578" s="383" t="str">
        <f>'3ª EM'!$R30</f>
        <v>-</v>
      </c>
      <c r="Y578" s="383" t="str">
        <f>'3ª EM'!$S30</f>
        <v>-</v>
      </c>
      <c r="Z578" s="384">
        <f>'3ª EM'!$T30</f>
        <v>0</v>
      </c>
      <c r="AA578" s="384">
        <f>'2ª EM'!$U33</f>
        <v>0</v>
      </c>
      <c r="AB578" s="385" t="s">
        <v>331</v>
      </c>
      <c r="AC578" s="385"/>
      <c r="AD578" s="435" t="s">
        <v>466</v>
      </c>
    </row>
    <row r="579" spans="1:30" ht="15.75" x14ac:dyDescent="0.25">
      <c r="A579" s="416" t="str">
        <f>RIGHT('[1]3ª EM'!$A$5:$D$5,12)</f>
        <v>3ª SÉRIE E.M</v>
      </c>
      <c r="B579" s="451">
        <v>28</v>
      </c>
      <c r="C579" s="248">
        <f>'3ª EM'!$B31</f>
        <v>18944</v>
      </c>
      <c r="D579" s="362" t="str">
        <f>'3ª EM'!$C31</f>
        <v>CARLOS GUILHERME LEITE OLIVEIRA</v>
      </c>
      <c r="E579" s="249" t="str">
        <f>'3ª EM'!$D31</f>
        <v>M</v>
      </c>
      <c r="F579" s="249" t="str">
        <f>'3ª EM'!E31</f>
        <v>MA</v>
      </c>
      <c r="G579" s="250">
        <f>'3ª EM'!F31</f>
        <v>39242</v>
      </c>
      <c r="H579" s="362">
        <f>'3ª EM'!G31</f>
        <v>1088655650</v>
      </c>
      <c r="I579" s="363">
        <f>'3ª EM'!$H31</f>
        <v>0</v>
      </c>
      <c r="J579" s="362"/>
      <c r="K579" s="362">
        <f>'3ª EM'!$I31</f>
        <v>0</v>
      </c>
      <c r="L579" s="250">
        <f>'2ª EM'!$J34</f>
        <v>0</v>
      </c>
      <c r="M579" s="362"/>
      <c r="N579" s="252">
        <f ca="1">'3ª EM'!$K31</f>
        <v>18</v>
      </c>
      <c r="O579" s="362"/>
      <c r="P579" s="253" t="s">
        <v>110</v>
      </c>
      <c r="Q579" s="415" t="s">
        <v>251</v>
      </c>
      <c r="R579" s="383" t="str">
        <f>'3ª EM'!$L31</f>
        <v>Não</v>
      </c>
      <c r="S579" s="383" t="str">
        <f>'3ª EM'!$M31</f>
        <v>-</v>
      </c>
      <c r="T579" s="383" t="str">
        <f>'3ª EM'!$N31</f>
        <v>-</v>
      </c>
      <c r="U579" s="383" t="str">
        <f>'3ª EM'!$O31</f>
        <v>-</v>
      </c>
      <c r="V579" s="383" t="str">
        <f>'3ª EM'!$P31</f>
        <v>-</v>
      </c>
      <c r="W579" s="383" t="str">
        <f>'3ª EM'!$Q31</f>
        <v>-</v>
      </c>
      <c r="X579" s="383" t="str">
        <f>'3ª EM'!$R31</f>
        <v>-</v>
      </c>
      <c r="Y579" s="383" t="str">
        <f>'3ª EM'!$S31</f>
        <v>-</v>
      </c>
      <c r="Z579" s="384">
        <f>'3ª EM'!$T31</f>
        <v>0</v>
      </c>
      <c r="AA579" s="384">
        <f>'2ª EM'!$U34</f>
        <v>0</v>
      </c>
      <c r="AB579" s="385" t="s">
        <v>331</v>
      </c>
      <c r="AC579" s="385"/>
      <c r="AD579" s="435" t="s">
        <v>466</v>
      </c>
    </row>
    <row r="580" spans="1:30" ht="15.75" x14ac:dyDescent="0.25">
      <c r="A580" s="416" t="str">
        <f>RIGHT('[1]3ª EM'!$A$5:$D$5,12)</f>
        <v>3ª SÉRIE E.M</v>
      </c>
      <c r="B580" s="451">
        <v>29</v>
      </c>
      <c r="C580" s="248">
        <f>'3ª EM'!$B32</f>
        <v>18945</v>
      </c>
      <c r="D580" s="362" t="str">
        <f>'3ª EM'!$C32</f>
        <v>LUIZ FERNANDO DOS SANTOS MARTINS</v>
      </c>
      <c r="E580" s="249" t="str">
        <f>'3ª EM'!$D32</f>
        <v>M</v>
      </c>
      <c r="F580" s="249" t="str">
        <f>'3ª EM'!E32</f>
        <v>MA</v>
      </c>
      <c r="G580" s="250">
        <f>'3ª EM'!F32</f>
        <v>38872</v>
      </c>
      <c r="H580" s="362" t="str">
        <f>'3ª EM'!G32</f>
        <v>107286327-3</v>
      </c>
      <c r="I580" s="363" t="str">
        <f>'3ª EM'!$H32</f>
        <v>64265077-9</v>
      </c>
      <c r="J580" s="362"/>
      <c r="K580" s="362">
        <f>'3ª EM'!$I32</f>
        <v>0</v>
      </c>
      <c r="L580" s="250">
        <f>'2ª EM'!$J35</f>
        <v>0</v>
      </c>
      <c r="M580" s="362"/>
      <c r="N580" s="252">
        <f ca="1">'3ª EM'!$K32</f>
        <v>19</v>
      </c>
      <c r="O580" s="362"/>
      <c r="P580" s="253" t="s">
        <v>110</v>
      </c>
      <c r="Q580" s="415" t="s">
        <v>251</v>
      </c>
      <c r="R580" s="383" t="str">
        <f>'3ª EM'!$L32</f>
        <v>Não</v>
      </c>
      <c r="S580" s="383" t="str">
        <f>'3ª EM'!$M32</f>
        <v>-</v>
      </c>
      <c r="T580" s="383" t="str">
        <f>'3ª EM'!$N32</f>
        <v>-</v>
      </c>
      <c r="U580" s="383" t="str">
        <f>'3ª EM'!$O32</f>
        <v>-</v>
      </c>
      <c r="V580" s="383" t="str">
        <f>'3ª EM'!$P32</f>
        <v>-</v>
      </c>
      <c r="W580" s="383" t="str">
        <f>'3ª EM'!$Q32</f>
        <v>-</v>
      </c>
      <c r="X580" s="383" t="str">
        <f>'3ª EM'!$R32</f>
        <v>-</v>
      </c>
      <c r="Y580" s="383" t="str">
        <f>'3ª EM'!$S32</f>
        <v>-</v>
      </c>
      <c r="Z580" s="384">
        <f>'3ª EM'!$T32</f>
        <v>0</v>
      </c>
      <c r="AA580" s="384">
        <f>'2ª EM'!$U35</f>
        <v>0</v>
      </c>
      <c r="AB580" s="385" t="s">
        <v>331</v>
      </c>
      <c r="AC580" s="385"/>
      <c r="AD580" s="435" t="s">
        <v>466</v>
      </c>
    </row>
    <row r="581" spans="1:30" ht="15.75" x14ac:dyDescent="0.25">
      <c r="A581" s="416" t="str">
        <f>RIGHT('[1]3ª EM'!$A$5:$D$5,12)</f>
        <v>3ª SÉRIE E.M</v>
      </c>
      <c r="B581" s="451">
        <v>30</v>
      </c>
      <c r="C581" s="248">
        <f>'3ª EM'!$B33</f>
        <v>18948</v>
      </c>
      <c r="D581" s="362" t="str">
        <f>'3ª EM'!$C33</f>
        <v xml:space="preserve">KAUAN CAMARA MONTEIRO
</v>
      </c>
      <c r="E581" s="249" t="str">
        <f>'3ª EM'!$D33</f>
        <v>M</v>
      </c>
      <c r="F581" s="249" t="str">
        <f>'3ª EM'!E33</f>
        <v>MA</v>
      </c>
      <c r="G581" s="250">
        <f>'3ª EM'!F33</f>
        <v>39223</v>
      </c>
      <c r="H581" s="362">
        <f>'3ª EM'!G33</f>
        <v>1114420402</v>
      </c>
      <c r="I581" s="363">
        <f>'3ª EM'!$H33</f>
        <v>0</v>
      </c>
      <c r="J581" s="362"/>
      <c r="K581" s="362">
        <f>'3ª EM'!$I33</f>
        <v>0</v>
      </c>
      <c r="L581" s="250">
        <f>'2ª EM'!$J36</f>
        <v>0</v>
      </c>
      <c r="M581" s="362"/>
      <c r="N581" s="252">
        <f ca="1">'3ª EM'!$K33</f>
        <v>18</v>
      </c>
      <c r="O581" s="362"/>
      <c r="P581" s="253" t="s">
        <v>110</v>
      </c>
      <c r="Q581" s="415" t="s">
        <v>251</v>
      </c>
      <c r="R581" s="383" t="str">
        <f>'3ª EM'!$L33</f>
        <v>Não</v>
      </c>
      <c r="S581" s="383" t="str">
        <f>'3ª EM'!$M33</f>
        <v>-</v>
      </c>
      <c r="T581" s="383" t="str">
        <f>'3ª EM'!$N33</f>
        <v>-</v>
      </c>
      <c r="U581" s="383" t="str">
        <f>'3ª EM'!$O33</f>
        <v>-</v>
      </c>
      <c r="V581" s="383" t="str">
        <f>'3ª EM'!$P33</f>
        <v>-</v>
      </c>
      <c r="W581" s="383" t="str">
        <f>'3ª EM'!$Q33</f>
        <v>-</v>
      </c>
      <c r="X581" s="383" t="str">
        <f>'3ª EM'!$R33</f>
        <v>-</v>
      </c>
      <c r="Y581" s="383" t="str">
        <f>'3ª EM'!$S33</f>
        <v>-</v>
      </c>
      <c r="Z581" s="384">
        <f>'3ª EM'!$T33</f>
        <v>0</v>
      </c>
      <c r="AA581" s="384">
        <f>'2ª EM'!$U36</f>
        <v>0</v>
      </c>
      <c r="AB581" s="385" t="s">
        <v>331</v>
      </c>
      <c r="AC581" s="385"/>
      <c r="AD581" s="435" t="s">
        <v>466</v>
      </c>
    </row>
    <row r="582" spans="1:30" ht="15.75" x14ac:dyDescent="0.25">
      <c r="A582" s="416" t="str">
        <f>RIGHT('[1]3ª EM'!$A$5:$D$5,12)</f>
        <v>3ª SÉRIE E.M</v>
      </c>
      <c r="B582" s="451">
        <v>31</v>
      </c>
      <c r="C582" s="248" t="e">
        <f>'3ª EM'!#REF!</f>
        <v>#REF!</v>
      </c>
      <c r="D582" s="362" t="e">
        <f>'3ª EM'!#REF!</f>
        <v>#REF!</v>
      </c>
      <c r="E582" s="249" t="e">
        <f>'3ª EM'!#REF!</f>
        <v>#REF!</v>
      </c>
      <c r="F582" s="249" t="e">
        <f>'3ª EM'!#REF!</f>
        <v>#REF!</v>
      </c>
      <c r="G582" s="250" t="e">
        <f>'3ª EM'!#REF!</f>
        <v>#REF!</v>
      </c>
      <c r="H582" s="362" t="e">
        <f>'3ª EM'!#REF!</f>
        <v>#REF!</v>
      </c>
      <c r="I582" s="363" t="e">
        <f>'3ª EM'!#REF!</f>
        <v>#REF!</v>
      </c>
      <c r="J582" s="362"/>
      <c r="K582" s="362" t="e">
        <f>'3ª EM'!#REF!</f>
        <v>#REF!</v>
      </c>
      <c r="L582" s="250">
        <f>'2ª EM'!$J37</f>
        <v>0</v>
      </c>
      <c r="M582" s="362"/>
      <c r="N582" s="252" t="e">
        <f>'3ª EM'!#REF!</f>
        <v>#REF!</v>
      </c>
      <c r="O582" s="362"/>
      <c r="P582" s="253" t="s">
        <v>110</v>
      </c>
      <c r="Q582" s="415" t="s">
        <v>251</v>
      </c>
      <c r="R582" s="383" t="e">
        <f>'3ª EM'!#REF!</f>
        <v>#REF!</v>
      </c>
      <c r="S582" s="383" t="e">
        <f>'3ª EM'!#REF!</f>
        <v>#REF!</v>
      </c>
      <c r="T582" s="383" t="e">
        <f>'3ª EM'!#REF!</f>
        <v>#REF!</v>
      </c>
      <c r="U582" s="383" t="e">
        <f>'3ª EM'!#REF!</f>
        <v>#REF!</v>
      </c>
      <c r="V582" s="383" t="e">
        <f>'3ª EM'!#REF!</f>
        <v>#REF!</v>
      </c>
      <c r="W582" s="383" t="e">
        <f>'3ª EM'!#REF!</f>
        <v>#REF!</v>
      </c>
      <c r="X582" s="383" t="e">
        <f>'3ª EM'!#REF!</f>
        <v>#REF!</v>
      </c>
      <c r="Y582" s="383" t="e">
        <f>'3ª EM'!#REF!</f>
        <v>#REF!</v>
      </c>
      <c r="Z582" s="384" t="e">
        <f>'3ª EM'!#REF!</f>
        <v>#REF!</v>
      </c>
      <c r="AA582" s="384">
        <f>'2ª EM'!$U37</f>
        <v>0</v>
      </c>
      <c r="AB582" s="385" t="s">
        <v>331</v>
      </c>
      <c r="AC582" s="385"/>
      <c r="AD582" s="435" t="s">
        <v>466</v>
      </c>
    </row>
    <row r="583" spans="1:30" ht="15.75" x14ac:dyDescent="0.25">
      <c r="A583" s="416" t="str">
        <f>RIGHT('[1]3ª EM'!$A$5:$D$5,12)</f>
        <v>3ª SÉRIE E.M</v>
      </c>
      <c r="B583" s="451">
        <v>32</v>
      </c>
      <c r="C583" s="248">
        <f>'3ª EM'!$B36</f>
        <v>18959</v>
      </c>
      <c r="D583" s="362" t="str">
        <f>'3ª EM'!$C36</f>
        <v>JOAO VICTOR SILVA COSTA</v>
      </c>
      <c r="E583" s="249" t="str">
        <f>'3ª EM'!$D36</f>
        <v>M</v>
      </c>
      <c r="F583" s="249" t="str">
        <f>'3ª EM'!E36</f>
        <v>MA</v>
      </c>
      <c r="G583" s="250">
        <f>'3ª EM'!F36</f>
        <v>39232</v>
      </c>
      <c r="H583" s="362" t="str">
        <f>'3ª EM'!G36</f>
        <v>108770764-X</v>
      </c>
      <c r="I583" s="363">
        <f>'3ª EM'!$H36</f>
        <v>0</v>
      </c>
      <c r="J583" s="362"/>
      <c r="K583" s="362" t="str">
        <f>'3ª EM'!$I36</f>
        <v>TR 20/08</v>
      </c>
      <c r="L583" s="250">
        <f>'2ª EM'!$J38</f>
        <v>0</v>
      </c>
      <c r="M583" s="362"/>
      <c r="N583" s="252">
        <f ca="1">'3ª EM'!$K36</f>
        <v>18</v>
      </c>
      <c r="O583" s="362"/>
      <c r="P583" s="253" t="s">
        <v>110</v>
      </c>
      <c r="Q583" s="415" t="s">
        <v>251</v>
      </c>
      <c r="R583" s="383" t="str">
        <f>'3ª EM'!$L36</f>
        <v>Não</v>
      </c>
      <c r="S583" s="383" t="str">
        <f>'3ª EM'!$M36</f>
        <v>-</v>
      </c>
      <c r="T583" s="383" t="str">
        <f>'3ª EM'!$N36</f>
        <v>-</v>
      </c>
      <c r="U583" s="383" t="str">
        <f>'3ª EM'!$O36</f>
        <v>-</v>
      </c>
      <c r="V583" s="383" t="str">
        <f>'3ª EM'!$P36</f>
        <v>-</v>
      </c>
      <c r="W583" s="383" t="str">
        <f>'3ª EM'!$Q36</f>
        <v>-</v>
      </c>
      <c r="X583" s="383" t="str">
        <f>'3ª EM'!$R36</f>
        <v>-</v>
      </c>
      <c r="Y583" s="383" t="str">
        <f>'3ª EM'!$S36</f>
        <v>-</v>
      </c>
      <c r="Z583" s="384">
        <f>'3ª EM'!$T36</f>
        <v>0</v>
      </c>
      <c r="AA583" s="384">
        <f>'2ª EM'!$U38</f>
        <v>0</v>
      </c>
      <c r="AB583" s="385" t="s">
        <v>331</v>
      </c>
      <c r="AC583" s="385"/>
      <c r="AD583" s="435" t="s">
        <v>466</v>
      </c>
    </row>
    <row r="584" spans="1:30" ht="15.75" x14ac:dyDescent="0.25">
      <c r="A584" s="416" t="str">
        <f>RIGHT('[1]3ª EM'!$A$5:$D$5,12)</f>
        <v>3ª SÉRIE E.M</v>
      </c>
      <c r="B584" s="451">
        <v>33</v>
      </c>
      <c r="C584" s="248">
        <f>'3ª EM'!$B37</f>
        <v>18964</v>
      </c>
      <c r="D584" s="362" t="str">
        <f>'3ª EM'!$C37</f>
        <v>LUIZ GUSTAVO SIMON PERICLES</v>
      </c>
      <c r="E584" s="249" t="str">
        <f>'3ª EM'!$D37</f>
        <v>M</v>
      </c>
      <c r="F584" s="249" t="str">
        <f>'3ª EM'!E37</f>
        <v>MA</v>
      </c>
      <c r="G584" s="250">
        <f>'3ª EM'!F37</f>
        <v>39045</v>
      </c>
      <c r="H584" s="362" t="str">
        <f>'3ª EM'!G37</f>
        <v>111303376-9</v>
      </c>
      <c r="I584" s="363" t="str">
        <f>'3ª EM'!$H37</f>
        <v>67007002-6</v>
      </c>
      <c r="J584" s="362"/>
      <c r="K584" s="362" t="str">
        <f>'3ª EM'!$I37</f>
        <v>TR 21/08</v>
      </c>
      <c r="L584" s="250">
        <f>'2ª EM'!$J39</f>
        <v>0</v>
      </c>
      <c r="M584" s="362"/>
      <c r="N584" s="252">
        <f ca="1">'3ª EM'!$K37</f>
        <v>18</v>
      </c>
      <c r="O584" s="362"/>
      <c r="P584" s="253" t="s">
        <v>110</v>
      </c>
      <c r="Q584" s="415" t="s">
        <v>251</v>
      </c>
      <c r="R584" s="383" t="str">
        <f>'3ª EM'!$L37</f>
        <v>Não</v>
      </c>
      <c r="S584" s="383" t="str">
        <f>'3ª EM'!$M37</f>
        <v>-</v>
      </c>
      <c r="T584" s="383" t="str">
        <f>'3ª EM'!$N37</f>
        <v>-</v>
      </c>
      <c r="U584" s="383" t="str">
        <f>'3ª EM'!$O37</f>
        <v>-</v>
      </c>
      <c r="V584" s="383" t="str">
        <f>'3ª EM'!$P37</f>
        <v>-</v>
      </c>
      <c r="W584" s="383" t="str">
        <f>'3ª EM'!$Q37</f>
        <v>-</v>
      </c>
      <c r="X584" s="383" t="str">
        <f>'3ª EM'!$R37</f>
        <v>-</v>
      </c>
      <c r="Y584" s="383" t="str">
        <f>'3ª EM'!$S37</f>
        <v>-</v>
      </c>
      <c r="Z584" s="384">
        <f>'3ª EM'!$T37</f>
        <v>0</v>
      </c>
      <c r="AA584" s="384">
        <f>'2ª EM'!$U39</f>
        <v>0</v>
      </c>
      <c r="AB584" s="385" t="s">
        <v>331</v>
      </c>
      <c r="AC584" s="385"/>
      <c r="AD584" s="435" t="s">
        <v>466</v>
      </c>
    </row>
    <row r="585" spans="1:30" ht="15.75" x14ac:dyDescent="0.25">
      <c r="A585" s="416" t="str">
        <f>RIGHT('[1]3ª EM'!$A$5:$D$5,12)</f>
        <v>3ª SÉRIE E.M</v>
      </c>
      <c r="B585" s="451">
        <v>34</v>
      </c>
      <c r="C585" s="248">
        <f>'3ª EM'!$B38</f>
        <v>18766</v>
      </c>
      <c r="D585" s="362" t="str">
        <f>'3ª EM'!$C38</f>
        <v>YASMIN MOTTA FRANÇA DOS SANTOS</v>
      </c>
      <c r="E585" s="249" t="str">
        <f>'3ª EM'!$D38</f>
        <v>F</v>
      </c>
      <c r="F585" s="249" t="str">
        <f>'3ª EM'!E38</f>
        <v>MA</v>
      </c>
      <c r="G585" s="250">
        <f>'3ª EM'!F38</f>
        <v>38657</v>
      </c>
      <c r="H585" s="362" t="str">
        <f>'3ª EM'!G38</f>
        <v>111376307-3</v>
      </c>
      <c r="I585" s="363">
        <f>'3ª EM'!$H38</f>
        <v>0</v>
      </c>
      <c r="J585" s="362"/>
      <c r="K585" s="362" t="str">
        <f>'3ª EM'!$I38</f>
        <v>TR 21/08</v>
      </c>
      <c r="L585" s="250">
        <f>'2ª EM'!$J40</f>
        <v>0</v>
      </c>
      <c r="M585" s="362"/>
      <c r="N585" s="252">
        <f ca="1">'3ª EM'!$K38</f>
        <v>19</v>
      </c>
      <c r="O585" s="362"/>
      <c r="P585" s="253" t="s">
        <v>110</v>
      </c>
      <c r="Q585" s="415" t="s">
        <v>251</v>
      </c>
      <c r="R585" s="383" t="str">
        <f>'3ª EM'!$L38</f>
        <v>Não</v>
      </c>
      <c r="S585" s="383" t="str">
        <f>'3ª EM'!$M38</f>
        <v>-</v>
      </c>
      <c r="T585" s="383" t="str">
        <f>'3ª EM'!$N38</f>
        <v>-</v>
      </c>
      <c r="U585" s="383" t="str">
        <f>'3ª EM'!$O38</f>
        <v>-</v>
      </c>
      <c r="V585" s="383" t="str">
        <f>'3ª EM'!$P38</f>
        <v>-</v>
      </c>
      <c r="W585" s="383" t="str">
        <f>'3ª EM'!$Q38</f>
        <v>-</v>
      </c>
      <c r="X585" s="383" t="str">
        <f>'3ª EM'!$R38</f>
        <v>-</v>
      </c>
      <c r="Y585" s="383" t="str">
        <f>'3ª EM'!$S38</f>
        <v>-</v>
      </c>
      <c r="Z585" s="384">
        <f>'3ª EM'!$T38</f>
        <v>0</v>
      </c>
      <c r="AA585" s="384">
        <f>'2ª EM'!$U40</f>
        <v>0</v>
      </c>
      <c r="AB585" s="385" t="s">
        <v>331</v>
      </c>
      <c r="AC585" s="385"/>
      <c r="AD585" s="435" t="s">
        <v>466</v>
      </c>
    </row>
    <row r="586" spans="1:30" ht="15.75" x14ac:dyDescent="0.25">
      <c r="A586" s="416" t="str">
        <f>RIGHT('[1]3ª EM'!$A$5:$D$5,12)</f>
        <v>3ª SÉRIE E.M</v>
      </c>
      <c r="B586" s="451">
        <v>35</v>
      </c>
      <c r="C586" s="248">
        <f>'3ª EM'!$B39</f>
        <v>13246</v>
      </c>
      <c r="D586" s="362" t="str">
        <f>'3ª EM'!$C39</f>
        <v>NADIA REGINA MOTTA</v>
      </c>
      <c r="E586" s="249" t="str">
        <f>'3ª EM'!$D39</f>
        <v>F</v>
      </c>
      <c r="F586" s="249" t="str">
        <f>'3ª EM'!E39</f>
        <v>MA</v>
      </c>
      <c r="G586" s="250">
        <f>'3ª EM'!F39</f>
        <v>21415</v>
      </c>
      <c r="H586" s="362" t="str">
        <f>'3ª EM'!G39</f>
        <v>115907094-5</v>
      </c>
      <c r="I586" s="363">
        <f>'3ª EM'!$H39</f>
        <v>9684010</v>
      </c>
      <c r="J586" s="362"/>
      <c r="K586" s="362" t="str">
        <f>'3ª EM'!$I39</f>
        <v>TR 21/08</v>
      </c>
      <c r="L586" s="250">
        <f>'2ª EM'!$J41</f>
        <v>0</v>
      </c>
      <c r="M586" s="362"/>
      <c r="N586" s="252">
        <f ca="1">'3ª EM'!$K39</f>
        <v>67</v>
      </c>
      <c r="O586" s="362"/>
      <c r="P586" s="253" t="s">
        <v>110</v>
      </c>
      <c r="Q586" s="415" t="s">
        <v>251</v>
      </c>
      <c r="R586" s="383" t="str">
        <f>'3ª EM'!$L39</f>
        <v>Não</v>
      </c>
      <c r="S586" s="383" t="str">
        <f>'3ª EM'!$M39</f>
        <v>-</v>
      </c>
      <c r="T586" s="383" t="str">
        <f>'3ª EM'!$N39</f>
        <v>-</v>
      </c>
      <c r="U586" s="383" t="str">
        <f>'3ª EM'!$O39</f>
        <v>-</v>
      </c>
      <c r="V586" s="383" t="str">
        <f>'3ª EM'!$P39</f>
        <v>-</v>
      </c>
      <c r="W586" s="383" t="str">
        <f>'3ª EM'!$Q39</f>
        <v>-</v>
      </c>
      <c r="X586" s="383" t="str">
        <f>'3ª EM'!$R39</f>
        <v>-</v>
      </c>
      <c r="Y586" s="383" t="str">
        <f>'3ª EM'!$S39</f>
        <v>-</v>
      </c>
      <c r="Z586" s="384">
        <f>'3ª EM'!$T39</f>
        <v>0</v>
      </c>
      <c r="AA586" s="384">
        <f>'2ª EM'!$U41</f>
        <v>0</v>
      </c>
      <c r="AB586" s="385" t="s">
        <v>331</v>
      </c>
      <c r="AC586" s="385"/>
      <c r="AD586" s="435" t="s">
        <v>466</v>
      </c>
    </row>
    <row r="587" spans="1:30" ht="15.75" x14ac:dyDescent="0.25">
      <c r="A587" s="416" t="str">
        <f>RIGHT('[1]3ª EM'!$A$5:$D$5,12)</f>
        <v>3ª SÉRIE E.M</v>
      </c>
      <c r="B587" s="451">
        <v>36</v>
      </c>
      <c r="C587" s="248">
        <f>'3ª EM'!$B40</f>
        <v>15205</v>
      </c>
      <c r="D587" s="362" t="str">
        <f>'3ª EM'!$C40</f>
        <v>LUANA GAVIAO FORTI</v>
      </c>
      <c r="E587" s="249" t="str">
        <f>'3ª EM'!$D40</f>
        <v>F</v>
      </c>
      <c r="F587" s="249" t="str">
        <f>'3ª EM'!E40</f>
        <v>MA</v>
      </c>
      <c r="G587" s="250">
        <f>'3ª EM'!F40</f>
        <v>31284</v>
      </c>
      <c r="H587" s="362" t="str">
        <f>'3ª EM'!G40</f>
        <v xml:space="preserve">40491035-X </v>
      </c>
      <c r="I587" s="363">
        <f>'3ª EM'!$H40</f>
        <v>0</v>
      </c>
      <c r="J587" s="362"/>
      <c r="K587" s="362" t="str">
        <f>'3ª EM'!$I40</f>
        <v>TR 22/08</v>
      </c>
      <c r="L587" s="250">
        <f>'2ª EM'!$J42</f>
        <v>0</v>
      </c>
      <c r="M587" s="362"/>
      <c r="N587" s="252">
        <f ca="1">'3ª EM'!$K40</f>
        <v>40</v>
      </c>
      <c r="O587" s="362"/>
      <c r="P587" s="253" t="s">
        <v>110</v>
      </c>
      <c r="Q587" s="415" t="s">
        <v>251</v>
      </c>
      <c r="R587" s="383" t="str">
        <f>'3ª EM'!$L40</f>
        <v>Não</v>
      </c>
      <c r="S587" s="383" t="str">
        <f>'3ª EM'!$M40</f>
        <v>-</v>
      </c>
      <c r="T587" s="383" t="str">
        <f>'3ª EM'!$N40</f>
        <v>-</v>
      </c>
      <c r="U587" s="383" t="str">
        <f>'3ª EM'!$O40</f>
        <v>-</v>
      </c>
      <c r="V587" s="383" t="str">
        <f>'3ª EM'!$P40</f>
        <v>-</v>
      </c>
      <c r="W587" s="383" t="str">
        <f>'3ª EM'!$Q40</f>
        <v>-</v>
      </c>
      <c r="X587" s="383" t="str">
        <f>'3ª EM'!$R40</f>
        <v>-</v>
      </c>
      <c r="Y587" s="383" t="str">
        <f>'3ª EM'!$S40</f>
        <v>-</v>
      </c>
      <c r="Z587" s="384">
        <f>'3ª EM'!$T40</f>
        <v>0</v>
      </c>
      <c r="AA587" s="384">
        <f>'2ª EM'!$U42</f>
        <v>0</v>
      </c>
      <c r="AB587" s="385" t="s">
        <v>331</v>
      </c>
      <c r="AC587" s="385"/>
      <c r="AD587" s="435" t="s">
        <v>466</v>
      </c>
    </row>
    <row r="588" spans="1:30" ht="15.75" x14ac:dyDescent="0.25">
      <c r="A588" s="416" t="str">
        <f>RIGHT('[1]3ª EM'!$A$5:$D$5,12)</f>
        <v>3ª SÉRIE E.M</v>
      </c>
      <c r="B588" s="451">
        <v>37</v>
      </c>
      <c r="C588" s="248">
        <f>'3ª EM'!$B41</f>
        <v>18968</v>
      </c>
      <c r="D588" s="362" t="str">
        <f>'3ª EM'!$C41</f>
        <v>GEOVANNA FARIA SILVA</v>
      </c>
      <c r="E588" s="249" t="str">
        <f>'3ª EM'!$D41</f>
        <v>F</v>
      </c>
      <c r="F588" s="249" t="str">
        <f>'3ª EM'!E41</f>
        <v>MA</v>
      </c>
      <c r="G588" s="250">
        <f>'3ª EM'!F41</f>
        <v>38690</v>
      </c>
      <c r="H588" s="362" t="str">
        <f>'3ª EM'!G41</f>
        <v>110296772-5</v>
      </c>
      <c r="I588" s="363" t="str">
        <f>'3ª EM'!$H41</f>
        <v>57547302-2</v>
      </c>
      <c r="J588" s="362"/>
      <c r="K588" s="362" t="str">
        <f>'3ª EM'!$I41</f>
        <v>TR 22/08</v>
      </c>
      <c r="L588" s="250">
        <f>'2ª EM'!$J43</f>
        <v>0</v>
      </c>
      <c r="M588" s="362"/>
      <c r="N588" s="252">
        <f ca="1">'3ª EM'!$K41</f>
        <v>19</v>
      </c>
      <c r="O588" s="362"/>
      <c r="P588" s="253" t="s">
        <v>110</v>
      </c>
      <c r="Q588" s="415" t="s">
        <v>251</v>
      </c>
      <c r="R588" s="383" t="str">
        <f>'3ª EM'!$L41</f>
        <v>Não</v>
      </c>
      <c r="S588" s="383" t="str">
        <f>'3ª EM'!$M41</f>
        <v>-</v>
      </c>
      <c r="T588" s="383" t="str">
        <f>'3ª EM'!$N41</f>
        <v>-</v>
      </c>
      <c r="U588" s="383" t="str">
        <f>'3ª EM'!$O41</f>
        <v>-</v>
      </c>
      <c r="V588" s="383" t="str">
        <f>'3ª EM'!$P41</f>
        <v>-</v>
      </c>
      <c r="W588" s="383" t="str">
        <f>'3ª EM'!$Q41</f>
        <v>-</v>
      </c>
      <c r="X588" s="383" t="str">
        <f>'3ª EM'!$R41</f>
        <v>-</v>
      </c>
      <c r="Y588" s="383" t="str">
        <f>'3ª EM'!$S41</f>
        <v>-</v>
      </c>
      <c r="Z588" s="384">
        <f>'3ª EM'!$T41</f>
        <v>0</v>
      </c>
      <c r="AA588" s="384">
        <f>'2ª EM'!$U43</f>
        <v>0</v>
      </c>
      <c r="AB588" s="385" t="s">
        <v>331</v>
      </c>
      <c r="AC588" s="385"/>
      <c r="AD588" s="435" t="s">
        <v>466</v>
      </c>
    </row>
    <row r="589" spans="1:30" ht="15.75" x14ac:dyDescent="0.25">
      <c r="A589" s="416" t="str">
        <f>RIGHT('[1]3ª EM'!$A$5:$D$5,12)</f>
        <v>3ª SÉRIE E.M</v>
      </c>
      <c r="B589" s="451">
        <v>38</v>
      </c>
      <c r="C589" s="248">
        <f>'3ª EM'!$B42</f>
        <v>15439</v>
      </c>
      <c r="D589" s="362" t="str">
        <f>'3ª EM'!$C42</f>
        <v>GUILHERME OLIVEIRA SILVA</v>
      </c>
      <c r="E589" s="249" t="str">
        <f>'3ª EM'!$D42</f>
        <v>M</v>
      </c>
      <c r="F589" s="249" t="str">
        <f>'3ª EM'!E42</f>
        <v>MA</v>
      </c>
      <c r="G589" s="250">
        <f>'3ª EM'!F42</f>
        <v>38536</v>
      </c>
      <c r="H589" s="362" t="str">
        <f>'3ª EM'!G42</f>
        <v>108599848-4</v>
      </c>
      <c r="I589" s="363" t="str">
        <f>'3ª EM'!$H42</f>
        <v>59883597-0</v>
      </c>
      <c r="J589" s="362"/>
      <c r="K589" s="362" t="str">
        <f>'3ª EM'!$I42</f>
        <v>INCLUSAO TR 22/08</v>
      </c>
      <c r="L589" s="250">
        <f>'2ª EM'!$J44</f>
        <v>0</v>
      </c>
      <c r="M589" s="362"/>
      <c r="N589" s="252">
        <f ca="1">'3ª EM'!$K42</f>
        <v>20</v>
      </c>
      <c r="O589" s="362"/>
      <c r="P589" s="253" t="s">
        <v>110</v>
      </c>
      <c r="Q589" s="415" t="s">
        <v>251</v>
      </c>
      <c r="R589" s="383" t="str">
        <f>'3ª EM'!$L42</f>
        <v>Sim</v>
      </c>
      <c r="S589" s="383" t="str">
        <f>'3ª EM'!$M42</f>
        <v>-</v>
      </c>
      <c r="T589" s="383" t="str">
        <f>'3ª EM'!$N42</f>
        <v>-</v>
      </c>
      <c r="U589" s="383" t="str">
        <f>'3ª EM'!$O42</f>
        <v>-</v>
      </c>
      <c r="V589" s="383" t="str">
        <f>'3ª EM'!$P42</f>
        <v>-</v>
      </c>
      <c r="W589" s="383" t="str">
        <f>'3ª EM'!$Q42</f>
        <v>-</v>
      </c>
      <c r="X589" s="383" t="str">
        <f>'3ª EM'!$R42</f>
        <v>-</v>
      </c>
      <c r="Y589" s="383" t="str">
        <f>'3ª EM'!$S42</f>
        <v>-</v>
      </c>
      <c r="Z589" s="384">
        <f>'3ª EM'!$T42</f>
        <v>0</v>
      </c>
      <c r="AA589" s="384">
        <f>'2ª EM'!$U44</f>
        <v>0</v>
      </c>
      <c r="AB589" s="385" t="s">
        <v>331</v>
      </c>
      <c r="AC589" s="385"/>
      <c r="AD589" s="435" t="s">
        <v>466</v>
      </c>
    </row>
    <row r="590" spans="1:30" ht="15.75" x14ac:dyDescent="0.25">
      <c r="A590" s="416" t="str">
        <f>RIGHT('[1]3ª EM'!$A$5:$D$5,12)</f>
        <v>3ª SÉRIE E.M</v>
      </c>
      <c r="B590" s="451">
        <v>39</v>
      </c>
      <c r="C590" s="248">
        <f>'3ª EM'!$B43</f>
        <v>0</v>
      </c>
      <c r="D590" s="362">
        <f>'3ª EM'!$C43</f>
        <v>0</v>
      </c>
      <c r="E590" s="249">
        <f>'3ª EM'!$D43</f>
        <v>0</v>
      </c>
      <c r="F590" s="249" t="str">
        <f>'3ª EM'!E43</f>
        <v/>
      </c>
      <c r="G590" s="250">
        <f>'3ª EM'!F43</f>
        <v>0</v>
      </c>
      <c r="H590" s="362">
        <f>'3ª EM'!G43</f>
        <v>0</v>
      </c>
      <c r="I590" s="363">
        <f>'3ª EM'!$H43</f>
        <v>0</v>
      </c>
      <c r="J590" s="362"/>
      <c r="K590" s="362">
        <f>'3ª EM'!$I43</f>
        <v>0</v>
      </c>
      <c r="L590" s="250">
        <f>'2ª EM'!$J45</f>
        <v>0</v>
      </c>
      <c r="M590" s="362"/>
      <c r="N590" s="252">
        <f>'3ª EM'!$K43</f>
        <v>0</v>
      </c>
      <c r="O590" s="362"/>
      <c r="P590" s="253" t="s">
        <v>110</v>
      </c>
      <c r="Q590" s="415" t="s">
        <v>251</v>
      </c>
      <c r="R590" s="383">
        <f>'3ª EM'!$L43</f>
        <v>0</v>
      </c>
      <c r="S590" s="383">
        <f>'3ª EM'!$M43</f>
        <v>0</v>
      </c>
      <c r="T590" s="383">
        <f>'3ª EM'!$N43</f>
        <v>0</v>
      </c>
      <c r="U590" s="383">
        <f>'3ª EM'!$O43</f>
        <v>0</v>
      </c>
      <c r="V590" s="383">
        <f>'3ª EM'!$P43</f>
        <v>0</v>
      </c>
      <c r="W590" s="383">
        <f>'3ª EM'!$Q43</f>
        <v>0</v>
      </c>
      <c r="X590" s="383">
        <f>'3ª EM'!$R43</f>
        <v>0</v>
      </c>
      <c r="Y590" s="383">
        <f>'3ª EM'!$S43</f>
        <v>0</v>
      </c>
      <c r="Z590" s="384">
        <f>'3ª EM'!$T43</f>
        <v>0</v>
      </c>
      <c r="AA590" s="384">
        <f>'2ª EM'!$U45</f>
        <v>0</v>
      </c>
      <c r="AB590" s="385" t="s">
        <v>331</v>
      </c>
      <c r="AC590" s="385"/>
      <c r="AD590" s="435" t="s">
        <v>466</v>
      </c>
    </row>
    <row r="591" spans="1:30" ht="15.75" x14ac:dyDescent="0.25">
      <c r="A591" s="416" t="str">
        <f>RIGHT('[1]3ª EM'!$A$5:$D$5,12)</f>
        <v>3ª SÉRIE E.M</v>
      </c>
      <c r="B591" s="451">
        <v>40</v>
      </c>
      <c r="C591" s="248">
        <f>'3ª EM'!$B44</f>
        <v>0</v>
      </c>
      <c r="D591" s="362">
        <f>'3ª EM'!$C44</f>
        <v>0</v>
      </c>
      <c r="E591" s="249">
        <f>'3ª EM'!$D44</f>
        <v>0</v>
      </c>
      <c r="F591" s="249" t="str">
        <f>'3ª EM'!E44</f>
        <v/>
      </c>
      <c r="G591" s="250">
        <f>'3ª EM'!F44</f>
        <v>0</v>
      </c>
      <c r="H591" s="362">
        <f>'3ª EM'!G44</f>
        <v>0</v>
      </c>
      <c r="I591" s="363">
        <f>'3ª EM'!$H44</f>
        <v>0</v>
      </c>
      <c r="J591" s="362"/>
      <c r="K591" s="362">
        <f>'3ª EM'!$I44</f>
        <v>0</v>
      </c>
      <c r="L591" s="250">
        <f>'2ª EM'!$J46</f>
        <v>0</v>
      </c>
      <c r="M591" s="362"/>
      <c r="N591" s="252">
        <f>'3ª EM'!$K44</f>
        <v>0</v>
      </c>
      <c r="O591" s="362"/>
      <c r="P591" s="253" t="s">
        <v>110</v>
      </c>
      <c r="Q591" s="415" t="s">
        <v>251</v>
      </c>
      <c r="R591" s="383">
        <f>'3ª EM'!$L44</f>
        <v>0</v>
      </c>
      <c r="S591" s="383">
        <f>'3ª EM'!$M44</f>
        <v>0</v>
      </c>
      <c r="T591" s="383">
        <f>'3ª EM'!$N44</f>
        <v>0</v>
      </c>
      <c r="U591" s="383">
        <f>'3ª EM'!$O44</f>
        <v>0</v>
      </c>
      <c r="V591" s="383">
        <f>'3ª EM'!$P44</f>
        <v>0</v>
      </c>
      <c r="W591" s="383">
        <f>'3ª EM'!$Q44</f>
        <v>0</v>
      </c>
      <c r="X591" s="383">
        <f>'3ª EM'!$R44</f>
        <v>0</v>
      </c>
      <c r="Y591" s="383">
        <f>'3ª EM'!$S44</f>
        <v>0</v>
      </c>
      <c r="Z591" s="384">
        <f>'3ª EM'!$T44</f>
        <v>0</v>
      </c>
      <c r="AA591" s="384">
        <f>'2ª EM'!$U46</f>
        <v>0</v>
      </c>
      <c r="AB591" s="385" t="s">
        <v>331</v>
      </c>
      <c r="AC591" s="385"/>
      <c r="AD591" s="435" t="s">
        <v>466</v>
      </c>
    </row>
    <row r="592" spans="1:30" ht="15.75" x14ac:dyDescent="0.25">
      <c r="A592" s="416" t="str">
        <f>RIGHT('[1]3ª EM'!$A$5:$D$5,12)</f>
        <v>3ª SÉRIE E.M</v>
      </c>
      <c r="B592" s="451">
        <v>41</v>
      </c>
      <c r="C592" s="248">
        <f>'3ª EM'!$B45</f>
        <v>0</v>
      </c>
      <c r="D592" s="362">
        <f>'3ª EM'!$C45</f>
        <v>0</v>
      </c>
      <c r="E592" s="249">
        <f>'3ª EM'!$D45</f>
        <v>0</v>
      </c>
      <c r="F592" s="249" t="str">
        <f>'3ª EM'!E45</f>
        <v/>
      </c>
      <c r="G592" s="250">
        <f>'3ª EM'!F45</f>
        <v>0</v>
      </c>
      <c r="H592" s="362">
        <f>'3ª EM'!G45</f>
        <v>0</v>
      </c>
      <c r="I592" s="363">
        <f>'3ª EM'!$H45</f>
        <v>0</v>
      </c>
      <c r="J592" s="362"/>
      <c r="K592" s="362">
        <f>'3ª EM'!$I45</f>
        <v>0</v>
      </c>
      <c r="L592" s="250">
        <f>'2ª EM'!$J47</f>
        <v>0</v>
      </c>
      <c r="M592" s="362"/>
      <c r="N592" s="252">
        <f>'3ª EM'!$K45</f>
        <v>0</v>
      </c>
      <c r="O592" s="362"/>
      <c r="P592" s="253" t="s">
        <v>110</v>
      </c>
      <c r="Q592" s="415" t="s">
        <v>251</v>
      </c>
      <c r="R592" s="383">
        <f>'3ª EM'!$L45</f>
        <v>0</v>
      </c>
      <c r="S592" s="383">
        <f>'3ª EM'!$M45</f>
        <v>0</v>
      </c>
      <c r="T592" s="383">
        <f>'3ª EM'!$N45</f>
        <v>0</v>
      </c>
      <c r="U592" s="383">
        <f>'3ª EM'!$O45</f>
        <v>0</v>
      </c>
      <c r="V592" s="383">
        <f>'3ª EM'!$P45</f>
        <v>0</v>
      </c>
      <c r="W592" s="383">
        <f>'3ª EM'!$Q45</f>
        <v>0</v>
      </c>
      <c r="X592" s="383">
        <f>'3ª EM'!$R45</f>
        <v>0</v>
      </c>
      <c r="Y592" s="383">
        <f>'3ª EM'!$S45</f>
        <v>0</v>
      </c>
      <c r="Z592" s="384">
        <f>'3ª EM'!$T45</f>
        <v>0</v>
      </c>
      <c r="AA592" s="384">
        <f>'2ª EM'!$U47</f>
        <v>0</v>
      </c>
      <c r="AB592" s="385" t="s">
        <v>331</v>
      </c>
      <c r="AC592" s="385"/>
      <c r="AD592" s="435" t="s">
        <v>466</v>
      </c>
    </row>
    <row r="593" spans="1:30" ht="15.75" x14ac:dyDescent="0.25">
      <c r="A593" s="416" t="str">
        <f>RIGHT('[1]3ª EM'!$A$5:$D$5,12)</f>
        <v>3ª SÉRIE E.M</v>
      </c>
      <c r="B593" s="451">
        <v>42</v>
      </c>
      <c r="C593" s="248">
        <f>'3ª EM'!$B46</f>
        <v>0</v>
      </c>
      <c r="D593" s="362">
        <f>'3ª EM'!$C46</f>
        <v>0</v>
      </c>
      <c r="E593" s="249">
        <f>'3ª EM'!$D46</f>
        <v>0</v>
      </c>
      <c r="F593" s="249" t="str">
        <f>'3ª EM'!E46</f>
        <v/>
      </c>
      <c r="G593" s="250">
        <f>'3ª EM'!F46</f>
        <v>0</v>
      </c>
      <c r="H593" s="362">
        <f>'3ª EM'!G46</f>
        <v>0</v>
      </c>
      <c r="I593" s="363">
        <f>'3ª EM'!$H46</f>
        <v>0</v>
      </c>
      <c r="J593" s="362"/>
      <c r="K593" s="362">
        <f>'3ª EM'!$I46</f>
        <v>0</v>
      </c>
      <c r="L593" s="250">
        <f>'2ª EM'!$J48</f>
        <v>0</v>
      </c>
      <c r="M593" s="362"/>
      <c r="N593" s="252">
        <f>'3ª EM'!$K46</f>
        <v>0</v>
      </c>
      <c r="O593" s="362"/>
      <c r="P593" s="253" t="s">
        <v>110</v>
      </c>
      <c r="Q593" s="415" t="s">
        <v>251</v>
      </c>
      <c r="R593" s="383">
        <f>'3ª EM'!$L46</f>
        <v>0</v>
      </c>
      <c r="S593" s="383">
        <f>'3ª EM'!$M46</f>
        <v>0</v>
      </c>
      <c r="T593" s="383">
        <f>'3ª EM'!$N46</f>
        <v>0</v>
      </c>
      <c r="U593" s="383">
        <f>'3ª EM'!$O46</f>
        <v>0</v>
      </c>
      <c r="V593" s="383">
        <f>'3ª EM'!$P46</f>
        <v>0</v>
      </c>
      <c r="W593" s="383">
        <f>'3ª EM'!$Q46</f>
        <v>0</v>
      </c>
      <c r="X593" s="383">
        <f>'3ª EM'!$R46</f>
        <v>0</v>
      </c>
      <c r="Y593" s="383">
        <f>'3ª EM'!$S46</f>
        <v>0</v>
      </c>
      <c r="Z593" s="384">
        <f>'3ª EM'!$T46</f>
        <v>0</v>
      </c>
      <c r="AA593" s="384">
        <f>'2ª EM'!$U48</f>
        <v>0</v>
      </c>
      <c r="AB593" s="385" t="s">
        <v>331</v>
      </c>
      <c r="AC593" s="385"/>
      <c r="AD593" s="435" t="s">
        <v>466</v>
      </c>
    </row>
    <row r="594" spans="1:30" ht="15.75" x14ac:dyDescent="0.25">
      <c r="A594" s="416" t="str">
        <f>RIGHT('[1]3ª EM'!$A$5:$D$5,12)</f>
        <v>3ª SÉRIE E.M</v>
      </c>
      <c r="B594" s="451">
        <v>43</v>
      </c>
      <c r="C594" s="248">
        <f>'3ª EM'!$B47</f>
        <v>0</v>
      </c>
      <c r="D594" s="362">
        <f>'3ª EM'!$C47</f>
        <v>0</v>
      </c>
      <c r="E594" s="249">
        <f>'3ª EM'!$D47</f>
        <v>0</v>
      </c>
      <c r="F594" s="249" t="str">
        <f>'3ª EM'!E47</f>
        <v/>
      </c>
      <c r="G594" s="250">
        <f>'3ª EM'!F47</f>
        <v>0</v>
      </c>
      <c r="H594" s="362">
        <f>'3ª EM'!G47</f>
        <v>0</v>
      </c>
      <c r="I594" s="363">
        <f>'3ª EM'!$H47</f>
        <v>0</v>
      </c>
      <c r="J594" s="362"/>
      <c r="K594" s="362">
        <f>'3ª EM'!$I47</f>
        <v>0</v>
      </c>
      <c r="L594" s="250">
        <f>'2ª EM'!$J49</f>
        <v>0</v>
      </c>
      <c r="M594" s="362"/>
      <c r="N594" s="252">
        <f>'3ª EM'!$K47</f>
        <v>0</v>
      </c>
      <c r="O594" s="362"/>
      <c r="P594" s="253" t="s">
        <v>110</v>
      </c>
      <c r="Q594" s="415" t="s">
        <v>251</v>
      </c>
      <c r="R594" s="383">
        <f>'3ª EM'!$L47</f>
        <v>0</v>
      </c>
      <c r="S594" s="383">
        <f>'3ª EM'!$M47</f>
        <v>0</v>
      </c>
      <c r="T594" s="383">
        <f>'3ª EM'!$N47</f>
        <v>0</v>
      </c>
      <c r="U594" s="383">
        <f>'3ª EM'!$O47</f>
        <v>0</v>
      </c>
      <c r="V594" s="383">
        <f>'3ª EM'!$P47</f>
        <v>0</v>
      </c>
      <c r="W594" s="383">
        <f>'3ª EM'!$Q47</f>
        <v>0</v>
      </c>
      <c r="X594" s="383">
        <f>'3ª EM'!$R47</f>
        <v>0</v>
      </c>
      <c r="Y594" s="383">
        <f>'3ª EM'!$S47</f>
        <v>0</v>
      </c>
      <c r="Z594" s="384">
        <f>'3ª EM'!$T47</f>
        <v>0</v>
      </c>
      <c r="AA594" s="384">
        <f>'2ª EM'!$U49</f>
        <v>0</v>
      </c>
      <c r="AB594" s="385" t="s">
        <v>331</v>
      </c>
      <c r="AC594" s="385"/>
      <c r="AD594" s="435" t="s">
        <v>466</v>
      </c>
    </row>
    <row r="595" spans="1:30" ht="15.75" x14ac:dyDescent="0.25">
      <c r="A595" s="416" t="str">
        <f>RIGHT('[1]3ª EM'!$A$5:$D$5,12)</f>
        <v>3ª SÉRIE E.M</v>
      </c>
      <c r="B595" s="451">
        <v>44</v>
      </c>
      <c r="C595" s="248">
        <f>'3ª EM'!$B48</f>
        <v>0</v>
      </c>
      <c r="D595" s="362">
        <f>'3ª EM'!$C48</f>
        <v>0</v>
      </c>
      <c r="E595" s="249">
        <f>'3ª EM'!$D48</f>
        <v>0</v>
      </c>
      <c r="F595" s="249" t="str">
        <f>'3ª EM'!E48</f>
        <v/>
      </c>
      <c r="G595" s="250">
        <f>'3ª EM'!F48</f>
        <v>0</v>
      </c>
      <c r="H595" s="362">
        <f>'3ª EM'!G48</f>
        <v>0</v>
      </c>
      <c r="I595" s="363">
        <f>'3ª EM'!$H48</f>
        <v>0</v>
      </c>
      <c r="J595" s="362"/>
      <c r="K595" s="362">
        <f>'3ª EM'!$I48</f>
        <v>0</v>
      </c>
      <c r="L595" s="250">
        <f>'2ª EM'!$J50</f>
        <v>0</v>
      </c>
      <c r="M595" s="362"/>
      <c r="N595" s="252">
        <f>'3ª EM'!$K48</f>
        <v>0</v>
      </c>
      <c r="O595" s="362"/>
      <c r="P595" s="253" t="s">
        <v>110</v>
      </c>
      <c r="Q595" s="415" t="s">
        <v>251</v>
      </c>
      <c r="R595" s="383">
        <f>'3ª EM'!$L48</f>
        <v>0</v>
      </c>
      <c r="S595" s="383">
        <f>'3ª EM'!$M48</f>
        <v>0</v>
      </c>
      <c r="T595" s="383">
        <f>'3ª EM'!$N48</f>
        <v>0</v>
      </c>
      <c r="U595" s="383">
        <f>'3ª EM'!$O48</f>
        <v>0</v>
      </c>
      <c r="V595" s="383">
        <f>'3ª EM'!$P48</f>
        <v>0</v>
      </c>
      <c r="W595" s="383">
        <f>'3ª EM'!$Q48</f>
        <v>0</v>
      </c>
      <c r="X595" s="383">
        <f>'3ª EM'!$R48</f>
        <v>0</v>
      </c>
      <c r="Y595" s="383">
        <f>'3ª EM'!$S48</f>
        <v>0</v>
      </c>
      <c r="Z595" s="384">
        <f>'3ª EM'!$T48</f>
        <v>0</v>
      </c>
      <c r="AA595" s="384">
        <f>'2ª EM'!$U50</f>
        <v>0</v>
      </c>
      <c r="AB595" s="385" t="s">
        <v>331</v>
      </c>
      <c r="AC595" s="385"/>
      <c r="AD595" s="435" t="s">
        <v>466</v>
      </c>
    </row>
    <row r="596" spans="1:30" ht="15.75" x14ac:dyDescent="0.25">
      <c r="A596" s="416" t="str">
        <f>RIGHT('[1]3ª EM'!$A$5:$D$5,12)</f>
        <v>3ª SÉRIE E.M</v>
      </c>
      <c r="B596" s="451">
        <v>45</v>
      </c>
      <c r="C596" s="248">
        <f>'3ª EM'!$B49</f>
        <v>0</v>
      </c>
      <c r="D596" s="362">
        <f>'3ª EM'!$C49</f>
        <v>0</v>
      </c>
      <c r="E596" s="249">
        <f>'3ª EM'!$D49</f>
        <v>0</v>
      </c>
      <c r="F596" s="249" t="str">
        <f>'3ª EM'!E49</f>
        <v/>
      </c>
      <c r="G596" s="250">
        <f>'3ª EM'!F49</f>
        <v>0</v>
      </c>
      <c r="H596" s="362">
        <f>'3ª EM'!G49</f>
        <v>0</v>
      </c>
      <c r="I596" s="363">
        <f>'3ª EM'!$H49</f>
        <v>0</v>
      </c>
      <c r="J596" s="362"/>
      <c r="K596" s="362">
        <f>'3ª EM'!$I49</f>
        <v>0</v>
      </c>
      <c r="L596" s="250">
        <f>'2ª EM'!$J51</f>
        <v>0</v>
      </c>
      <c r="M596" s="362"/>
      <c r="N596" s="252">
        <f>'3ª EM'!$K49</f>
        <v>0</v>
      </c>
      <c r="O596" s="362"/>
      <c r="P596" s="253" t="s">
        <v>110</v>
      </c>
      <c r="Q596" s="415" t="s">
        <v>251</v>
      </c>
      <c r="R596" s="383">
        <f>'3ª EM'!$L49</f>
        <v>0</v>
      </c>
      <c r="S596" s="383">
        <f>'3ª EM'!$M49</f>
        <v>0</v>
      </c>
      <c r="T596" s="383">
        <f>'3ª EM'!$N49</f>
        <v>0</v>
      </c>
      <c r="U596" s="383">
        <f>'3ª EM'!$O49</f>
        <v>0</v>
      </c>
      <c r="V596" s="383">
        <f>'3ª EM'!$P49</f>
        <v>0</v>
      </c>
      <c r="W596" s="383">
        <f>'3ª EM'!$Q49</f>
        <v>0</v>
      </c>
      <c r="X596" s="383">
        <f>'3ª EM'!$R49</f>
        <v>0</v>
      </c>
      <c r="Y596" s="383">
        <f>'3ª EM'!$S49</f>
        <v>0</v>
      </c>
      <c r="Z596" s="384">
        <f>'3ª EM'!$T49</f>
        <v>0</v>
      </c>
      <c r="AA596" s="384">
        <f>'2ª EM'!$U51</f>
        <v>0</v>
      </c>
      <c r="AB596" s="385" t="s">
        <v>331</v>
      </c>
      <c r="AC596" s="385"/>
      <c r="AD596" s="435" t="s">
        <v>466</v>
      </c>
    </row>
    <row r="597" spans="1:30" ht="15.75" x14ac:dyDescent="0.25">
      <c r="A597" s="416" t="str">
        <f>RIGHT('[1]3ª EM'!$A$5:$D$5,12)</f>
        <v>3ª SÉRIE E.M</v>
      </c>
      <c r="B597" s="451">
        <v>46</v>
      </c>
      <c r="C597" s="248">
        <f>'3ª EM'!$B50</f>
        <v>0</v>
      </c>
      <c r="D597" s="362">
        <f>'3ª EM'!$C50</f>
        <v>0</v>
      </c>
      <c r="E597" s="249">
        <f>'3ª EM'!$D50</f>
        <v>0</v>
      </c>
      <c r="F597" s="249" t="str">
        <f>'3ª EM'!E50</f>
        <v/>
      </c>
      <c r="G597" s="250">
        <f>'3ª EM'!F50</f>
        <v>0</v>
      </c>
      <c r="H597" s="362">
        <f>'3ª EM'!G50</f>
        <v>0</v>
      </c>
      <c r="I597" s="363">
        <f>'3ª EM'!$H50</f>
        <v>0</v>
      </c>
      <c r="J597" s="362"/>
      <c r="K597" s="362">
        <f>'3ª EM'!$I50</f>
        <v>0</v>
      </c>
      <c r="L597" s="250">
        <f>'2ª EM'!$J52</f>
        <v>0</v>
      </c>
      <c r="M597" s="362"/>
      <c r="N597" s="252">
        <f>'3ª EM'!$K50</f>
        <v>0</v>
      </c>
      <c r="O597" s="362"/>
      <c r="P597" s="253" t="s">
        <v>110</v>
      </c>
      <c r="Q597" s="415" t="s">
        <v>251</v>
      </c>
      <c r="R597" s="383">
        <f>'3ª EM'!$L50</f>
        <v>0</v>
      </c>
      <c r="S597" s="383">
        <f>'3ª EM'!$M50</f>
        <v>0</v>
      </c>
      <c r="T597" s="383">
        <f>'3ª EM'!$N50</f>
        <v>0</v>
      </c>
      <c r="U597" s="383">
        <f>'3ª EM'!$O50</f>
        <v>0</v>
      </c>
      <c r="V597" s="383">
        <f>'3ª EM'!$P50</f>
        <v>0</v>
      </c>
      <c r="W597" s="383">
        <f>'3ª EM'!$Q50</f>
        <v>0</v>
      </c>
      <c r="X597" s="383">
        <f>'3ª EM'!$R50</f>
        <v>0</v>
      </c>
      <c r="Y597" s="383">
        <f>'3ª EM'!$S50</f>
        <v>0</v>
      </c>
      <c r="Z597" s="384">
        <f>'3ª EM'!$T50</f>
        <v>0</v>
      </c>
      <c r="AA597" s="384">
        <f>'2ª EM'!$U52</f>
        <v>0</v>
      </c>
      <c r="AB597" s="385" t="s">
        <v>331</v>
      </c>
      <c r="AC597" s="385"/>
      <c r="AD597" s="435" t="s">
        <v>466</v>
      </c>
    </row>
    <row r="598" spans="1:30" ht="15.75" x14ac:dyDescent="0.25">
      <c r="A598" s="416" t="str">
        <f>RIGHT('[1]3ª EM'!$A$5:$D$5,12)</f>
        <v>3ª SÉRIE E.M</v>
      </c>
      <c r="B598" s="451">
        <v>47</v>
      </c>
      <c r="C598" s="248">
        <f>'3ª EM'!$B51</f>
        <v>0</v>
      </c>
      <c r="D598" s="362">
        <f>'3ª EM'!$C51</f>
        <v>0</v>
      </c>
      <c r="E598" s="249">
        <f>'3ª EM'!$D51</f>
        <v>0</v>
      </c>
      <c r="F598" s="249" t="str">
        <f>'3ª EM'!E51</f>
        <v/>
      </c>
      <c r="G598" s="250">
        <f>'3ª EM'!F51</f>
        <v>0</v>
      </c>
      <c r="H598" s="362">
        <f>'3ª EM'!G51</f>
        <v>0</v>
      </c>
      <c r="I598" s="363">
        <f>'3ª EM'!$H51</f>
        <v>0</v>
      </c>
      <c r="J598" s="362"/>
      <c r="K598" s="362">
        <f>'3ª EM'!$I51</f>
        <v>0</v>
      </c>
      <c r="L598" s="250">
        <f>'2ª EM'!$J53</f>
        <v>0</v>
      </c>
      <c r="M598" s="362"/>
      <c r="N598" s="252">
        <f>'3ª EM'!$K51</f>
        <v>0</v>
      </c>
      <c r="O598" s="362"/>
      <c r="P598" s="253" t="s">
        <v>110</v>
      </c>
      <c r="Q598" s="415" t="s">
        <v>251</v>
      </c>
      <c r="R598" s="383">
        <f>'3ª EM'!$L51</f>
        <v>0</v>
      </c>
      <c r="S598" s="383">
        <f>'3ª EM'!$M51</f>
        <v>0</v>
      </c>
      <c r="T598" s="383">
        <f>'3ª EM'!$N51</f>
        <v>0</v>
      </c>
      <c r="U598" s="383">
        <f>'3ª EM'!$O51</f>
        <v>0</v>
      </c>
      <c r="V598" s="383">
        <f>'3ª EM'!$P51</f>
        <v>0</v>
      </c>
      <c r="W598" s="383">
        <f>'3ª EM'!$Q51</f>
        <v>0</v>
      </c>
      <c r="X598" s="383">
        <f>'3ª EM'!$R51</f>
        <v>0</v>
      </c>
      <c r="Y598" s="383">
        <f>'3ª EM'!$S51</f>
        <v>0</v>
      </c>
      <c r="Z598" s="384">
        <f>'3ª EM'!$T51</f>
        <v>0</v>
      </c>
      <c r="AA598" s="384">
        <f>'2ª EM'!$U53</f>
        <v>0</v>
      </c>
      <c r="AB598" s="385" t="s">
        <v>331</v>
      </c>
      <c r="AC598" s="385"/>
      <c r="AD598" s="435" t="s">
        <v>466</v>
      </c>
    </row>
    <row r="599" spans="1:30" ht="15.75" x14ac:dyDescent="0.25">
      <c r="A599" s="416" t="str">
        <f>RIGHT('[1]3ª EM'!$A$5:$D$5,12)</f>
        <v>3ª SÉRIE E.M</v>
      </c>
      <c r="B599" s="451">
        <v>48</v>
      </c>
      <c r="C599" s="248">
        <f>'3ª EM'!$B52</f>
        <v>0</v>
      </c>
      <c r="D599" s="362">
        <f>'3ª EM'!$C52</f>
        <v>0</v>
      </c>
      <c r="E599" s="249">
        <f>'3ª EM'!$D52</f>
        <v>0</v>
      </c>
      <c r="F599" s="249" t="str">
        <f>'3ª EM'!E52</f>
        <v/>
      </c>
      <c r="G599" s="250">
        <f>'3ª EM'!F52</f>
        <v>0</v>
      </c>
      <c r="H599" s="362">
        <f>'3ª EM'!G52</f>
        <v>0</v>
      </c>
      <c r="I599" s="363">
        <f>'3ª EM'!$H52</f>
        <v>0</v>
      </c>
      <c r="J599" s="362"/>
      <c r="K599" s="362">
        <f>'3ª EM'!$I52</f>
        <v>0</v>
      </c>
      <c r="L599" s="250">
        <f>'2ª EM'!$J54</f>
        <v>0</v>
      </c>
      <c r="M599" s="362"/>
      <c r="N599" s="252">
        <f>'3ª EM'!$K52</f>
        <v>0</v>
      </c>
      <c r="O599" s="362"/>
      <c r="P599" s="253" t="s">
        <v>110</v>
      </c>
      <c r="Q599" s="415" t="s">
        <v>251</v>
      </c>
      <c r="R599" s="383">
        <f>'3ª EM'!$L52</f>
        <v>0</v>
      </c>
      <c r="S599" s="383">
        <f>'3ª EM'!$M52</f>
        <v>0</v>
      </c>
      <c r="T599" s="383">
        <f>'3ª EM'!$N52</f>
        <v>0</v>
      </c>
      <c r="U599" s="383">
        <f>'3ª EM'!$O52</f>
        <v>0</v>
      </c>
      <c r="V599" s="383">
        <f>'3ª EM'!$P52</f>
        <v>0</v>
      </c>
      <c r="W599" s="383">
        <f>'3ª EM'!$Q52</f>
        <v>0</v>
      </c>
      <c r="X599" s="383">
        <f>'3ª EM'!$R52</f>
        <v>0</v>
      </c>
      <c r="Y599" s="383">
        <f>'3ª EM'!$S52</f>
        <v>0</v>
      </c>
      <c r="Z599" s="384">
        <f>'3ª EM'!$T52</f>
        <v>0</v>
      </c>
      <c r="AA599" s="384">
        <f>'2ª EM'!$U54</f>
        <v>0</v>
      </c>
      <c r="AB599" s="385" t="s">
        <v>331</v>
      </c>
      <c r="AC599" s="385"/>
      <c r="AD599" s="435" t="s">
        <v>466</v>
      </c>
    </row>
    <row r="600" spans="1:30" ht="15.75" x14ac:dyDescent="0.25">
      <c r="A600" s="416" t="str">
        <f>RIGHT('[1]3ª EM'!$A$5:$D$5,12)</f>
        <v>3ª SÉRIE E.M</v>
      </c>
      <c r="B600" s="451">
        <v>49</v>
      </c>
      <c r="C600" s="248">
        <f>'3ª EM'!$B53</f>
        <v>0</v>
      </c>
      <c r="D600" s="362">
        <f>'3ª EM'!$C53</f>
        <v>0</v>
      </c>
      <c r="E600" s="249">
        <f>'3ª EM'!$D53</f>
        <v>0</v>
      </c>
      <c r="F600" s="249" t="str">
        <f>'3ª EM'!E53</f>
        <v/>
      </c>
      <c r="G600" s="250">
        <f>'3ª EM'!F53</f>
        <v>0</v>
      </c>
      <c r="H600" s="362">
        <f>'3ª EM'!G53</f>
        <v>0</v>
      </c>
      <c r="I600" s="363">
        <f>'3ª EM'!$H53</f>
        <v>0</v>
      </c>
      <c r="J600" s="362"/>
      <c r="K600" s="362">
        <f>'3ª EM'!$I53</f>
        <v>0</v>
      </c>
      <c r="L600" s="250">
        <f>'2ª EM'!$J55</f>
        <v>0</v>
      </c>
      <c r="M600" s="362"/>
      <c r="N600" s="252">
        <f>'3ª EM'!$K53</f>
        <v>0</v>
      </c>
      <c r="O600" s="362"/>
      <c r="P600" s="253" t="s">
        <v>110</v>
      </c>
      <c r="Q600" s="415" t="s">
        <v>251</v>
      </c>
      <c r="R600" s="383">
        <f>'3ª EM'!$L53</f>
        <v>0</v>
      </c>
      <c r="S600" s="383">
        <f>'3ª EM'!$M53</f>
        <v>0</v>
      </c>
      <c r="T600" s="383">
        <f>'3ª EM'!$N53</f>
        <v>0</v>
      </c>
      <c r="U600" s="383">
        <f>'3ª EM'!$O53</f>
        <v>0</v>
      </c>
      <c r="V600" s="383">
        <f>'3ª EM'!$P53</f>
        <v>0</v>
      </c>
      <c r="W600" s="383">
        <f>'3ª EM'!$Q53</f>
        <v>0</v>
      </c>
      <c r="X600" s="383">
        <f>'3ª EM'!$R53</f>
        <v>0</v>
      </c>
      <c r="Y600" s="383">
        <f>'3ª EM'!$S53</f>
        <v>0</v>
      </c>
      <c r="Z600" s="384">
        <f>'3ª EM'!$T53</f>
        <v>0</v>
      </c>
      <c r="AA600" s="384">
        <f>'2ª EM'!$U55</f>
        <v>0</v>
      </c>
      <c r="AB600" s="385" t="s">
        <v>331</v>
      </c>
      <c r="AC600" s="385"/>
      <c r="AD600" s="435" t="s">
        <v>466</v>
      </c>
    </row>
    <row r="601" spans="1:30" ht="15.75" x14ac:dyDescent="0.25">
      <c r="A601" s="416" t="str">
        <f>RIGHT('[1]3ª EM'!$A$5:$D$5,12)</f>
        <v>3ª SÉRIE E.M</v>
      </c>
      <c r="B601" s="451">
        <v>50</v>
      </c>
      <c r="C601" s="248">
        <f>'3ª EM'!$B54</f>
        <v>0</v>
      </c>
      <c r="D601" s="362">
        <f>'3ª EM'!$C54</f>
        <v>0</v>
      </c>
      <c r="E601" s="249">
        <f>'3ª EM'!$D54</f>
        <v>0</v>
      </c>
      <c r="F601" s="249" t="str">
        <f>'3ª EM'!E54</f>
        <v/>
      </c>
      <c r="G601" s="250">
        <f>'3ª EM'!F54</f>
        <v>0</v>
      </c>
      <c r="H601" s="362">
        <f>'3ª EM'!G54</f>
        <v>0</v>
      </c>
      <c r="I601" s="363">
        <f>'3ª EM'!$H54</f>
        <v>0</v>
      </c>
      <c r="J601" s="362"/>
      <c r="K601" s="362">
        <f>'3ª EM'!$I54</f>
        <v>0</v>
      </c>
      <c r="L601" s="250">
        <f>'2ª EM'!$J56</f>
        <v>0</v>
      </c>
      <c r="M601" s="362"/>
      <c r="N601" s="252">
        <f>'3ª EM'!$K54</f>
        <v>0</v>
      </c>
      <c r="O601" s="362"/>
      <c r="P601" s="253" t="s">
        <v>110</v>
      </c>
      <c r="Q601" s="415" t="s">
        <v>251</v>
      </c>
      <c r="R601" s="383">
        <f>'3ª EM'!$L54</f>
        <v>0</v>
      </c>
      <c r="S601" s="383">
        <f>'3ª EM'!$M54</f>
        <v>0</v>
      </c>
      <c r="T601" s="383">
        <f>'3ª EM'!$N54</f>
        <v>0</v>
      </c>
      <c r="U601" s="383">
        <f>'3ª EM'!$O54</f>
        <v>0</v>
      </c>
      <c r="V601" s="383">
        <f>'3ª EM'!$P54</f>
        <v>0</v>
      </c>
      <c r="W601" s="383">
        <f>'3ª EM'!$Q54</f>
        <v>0</v>
      </c>
      <c r="X601" s="383">
        <f>'3ª EM'!$R54</f>
        <v>0</v>
      </c>
      <c r="Y601" s="383">
        <f>'3ª EM'!$S54</f>
        <v>0</v>
      </c>
      <c r="Z601" s="384">
        <f>'3ª EM'!$T54</f>
        <v>0</v>
      </c>
      <c r="AA601" s="384">
        <f>'2ª EM'!$U56</f>
        <v>0</v>
      </c>
      <c r="AB601" s="385" t="s">
        <v>331</v>
      </c>
      <c r="AC601" s="385"/>
      <c r="AD601" s="435" t="s">
        <v>466</v>
      </c>
    </row>
    <row r="602" spans="1:30" ht="15.75" x14ac:dyDescent="0.25">
      <c r="A602" s="416" t="str">
        <f>RIGHT('[1]3ª EM'!$A$5:$D$5,12)</f>
        <v>3ª SÉRIE E.M</v>
      </c>
      <c r="B602" s="451">
        <v>51</v>
      </c>
      <c r="C602" s="248">
        <f>'3ª EM'!$B55</f>
        <v>0</v>
      </c>
      <c r="D602" s="362">
        <f>'3ª EM'!$C55</f>
        <v>0</v>
      </c>
      <c r="E602" s="249">
        <f>'3ª EM'!$D55</f>
        <v>0</v>
      </c>
      <c r="F602" s="249" t="str">
        <f>'3ª EM'!E55</f>
        <v/>
      </c>
      <c r="G602" s="250">
        <f>'3ª EM'!F55</f>
        <v>0</v>
      </c>
      <c r="H602" s="362">
        <f>'3ª EM'!G55</f>
        <v>0</v>
      </c>
      <c r="I602" s="363">
        <f>'3ª EM'!$H55</f>
        <v>0</v>
      </c>
      <c r="J602" s="362"/>
      <c r="K602" s="362">
        <f>'3ª EM'!$I55</f>
        <v>0</v>
      </c>
      <c r="L602" s="250">
        <f>'2ª EM'!$J57</f>
        <v>0</v>
      </c>
      <c r="M602" s="362"/>
      <c r="N602" s="252">
        <f>'3ª EM'!$K55</f>
        <v>0</v>
      </c>
      <c r="O602" s="362"/>
      <c r="P602" s="253" t="s">
        <v>110</v>
      </c>
      <c r="Q602" s="415" t="s">
        <v>251</v>
      </c>
      <c r="R602" s="383">
        <f>'3ª EM'!$L55</f>
        <v>0</v>
      </c>
      <c r="S602" s="383">
        <f>'3ª EM'!$M55</f>
        <v>0</v>
      </c>
      <c r="T602" s="383">
        <f>'3ª EM'!$N55</f>
        <v>0</v>
      </c>
      <c r="U602" s="383">
        <f>'3ª EM'!$O55</f>
        <v>0</v>
      </c>
      <c r="V602" s="383">
        <f>'3ª EM'!$P55</f>
        <v>0</v>
      </c>
      <c r="W602" s="383">
        <f>'3ª EM'!$Q55</f>
        <v>0</v>
      </c>
      <c r="X602" s="383">
        <f>'3ª EM'!$R55</f>
        <v>0</v>
      </c>
      <c r="Y602" s="383">
        <f>'3ª EM'!$S55</f>
        <v>0</v>
      </c>
      <c r="Z602" s="384">
        <f>'3ª EM'!$T55</f>
        <v>0</v>
      </c>
      <c r="AA602" s="384">
        <f>'2ª EM'!$U57</f>
        <v>0</v>
      </c>
      <c r="AB602" s="385" t="s">
        <v>331</v>
      </c>
      <c r="AC602" s="385"/>
      <c r="AD602" s="435" t="s">
        <v>466</v>
      </c>
    </row>
    <row r="603" spans="1:30" ht="15.75" x14ac:dyDescent="0.25">
      <c r="A603" s="416" t="str">
        <f>RIGHT('[1]3ª EM'!$A$5:$D$5,12)</f>
        <v>3ª SÉRIE E.M</v>
      </c>
      <c r="B603" s="451">
        <v>52</v>
      </c>
      <c r="C603" s="248">
        <f>'3ª EM'!$B56</f>
        <v>0</v>
      </c>
      <c r="D603" s="362">
        <f>'3ª EM'!$C56</f>
        <v>0</v>
      </c>
      <c r="E603" s="249">
        <f>'3ª EM'!$D56</f>
        <v>0</v>
      </c>
      <c r="F603" s="249" t="str">
        <f>'3ª EM'!E56</f>
        <v/>
      </c>
      <c r="G603" s="250">
        <f>'3ª EM'!F56</f>
        <v>0</v>
      </c>
      <c r="H603" s="362">
        <f>'3ª EM'!G56</f>
        <v>0</v>
      </c>
      <c r="I603" s="363">
        <f>'3ª EM'!$H56</f>
        <v>0</v>
      </c>
      <c r="J603" s="362"/>
      <c r="K603" s="362">
        <f>'3ª EM'!$I56</f>
        <v>0</v>
      </c>
      <c r="L603" s="250">
        <f>'2ª EM'!$J58</f>
        <v>0</v>
      </c>
      <c r="M603" s="362"/>
      <c r="N603" s="252">
        <f>'3ª EM'!$K56</f>
        <v>0</v>
      </c>
      <c r="O603" s="362"/>
      <c r="P603" s="253" t="s">
        <v>110</v>
      </c>
      <c r="Q603" s="415" t="s">
        <v>251</v>
      </c>
      <c r="R603" s="383">
        <f>'3ª EM'!$L56</f>
        <v>0</v>
      </c>
      <c r="S603" s="383">
        <f>'3ª EM'!$M56</f>
        <v>0</v>
      </c>
      <c r="T603" s="383">
        <f>'3ª EM'!$N56</f>
        <v>0</v>
      </c>
      <c r="U603" s="383">
        <f>'3ª EM'!$O56</f>
        <v>0</v>
      </c>
      <c r="V603" s="383">
        <f>'3ª EM'!$P56</f>
        <v>0</v>
      </c>
      <c r="W603" s="383">
        <f>'3ª EM'!$Q56</f>
        <v>0</v>
      </c>
      <c r="X603" s="383">
        <f>'3ª EM'!$R56</f>
        <v>0</v>
      </c>
      <c r="Y603" s="383">
        <f>'3ª EM'!$S56</f>
        <v>0</v>
      </c>
      <c r="Z603" s="384">
        <f>'3ª EM'!$T56</f>
        <v>0</v>
      </c>
      <c r="AA603" s="384">
        <f>'2ª EM'!$U58</f>
        <v>0</v>
      </c>
      <c r="AB603" s="385" t="s">
        <v>331</v>
      </c>
      <c r="AC603" s="385"/>
      <c r="AD603" s="435" t="s">
        <v>466</v>
      </c>
    </row>
    <row r="604" spans="1:30" ht="15.75" x14ac:dyDescent="0.25">
      <c r="A604" s="416" t="str">
        <f>RIGHT('[1]3ª EM'!$A$5:$D$5,12)</f>
        <v>3ª SÉRIE E.M</v>
      </c>
      <c r="B604" s="451">
        <v>53</v>
      </c>
      <c r="C604" s="248">
        <f>'3ª EM'!$B57</f>
        <v>0</v>
      </c>
      <c r="D604" s="362">
        <f>'3ª EM'!$C57</f>
        <v>0</v>
      </c>
      <c r="E604" s="249">
        <f>'3ª EM'!$D57</f>
        <v>0</v>
      </c>
      <c r="F604" s="249" t="str">
        <f>'3ª EM'!E57</f>
        <v/>
      </c>
      <c r="G604" s="250">
        <f>'3ª EM'!F57</f>
        <v>0</v>
      </c>
      <c r="H604" s="362">
        <f>'3ª EM'!G57</f>
        <v>0</v>
      </c>
      <c r="I604" s="363">
        <f>'3ª EM'!$H57</f>
        <v>0</v>
      </c>
      <c r="J604" s="362"/>
      <c r="K604" s="362">
        <f>'3ª EM'!$I57</f>
        <v>0</v>
      </c>
      <c r="L604" s="250">
        <f>'2ª EM'!$J59</f>
        <v>0</v>
      </c>
      <c r="M604" s="362"/>
      <c r="N604" s="252">
        <f>'3ª EM'!$K57</f>
        <v>0</v>
      </c>
      <c r="O604" s="362"/>
      <c r="P604" s="253" t="s">
        <v>110</v>
      </c>
      <c r="Q604" s="415" t="s">
        <v>251</v>
      </c>
      <c r="R604" s="383">
        <f>'3ª EM'!$L57</f>
        <v>0</v>
      </c>
      <c r="S604" s="383">
        <f>'3ª EM'!$M57</f>
        <v>0</v>
      </c>
      <c r="T604" s="383">
        <f>'3ª EM'!$N57</f>
        <v>0</v>
      </c>
      <c r="U604" s="383">
        <f>'3ª EM'!$O57</f>
        <v>0</v>
      </c>
      <c r="V604" s="383">
        <f>'3ª EM'!$P57</f>
        <v>0</v>
      </c>
      <c r="W604" s="383">
        <f>'3ª EM'!$Q57</f>
        <v>0</v>
      </c>
      <c r="X604" s="383">
        <f>'3ª EM'!$R57</f>
        <v>0</v>
      </c>
      <c r="Y604" s="383">
        <f>'3ª EM'!$S57</f>
        <v>0</v>
      </c>
      <c r="Z604" s="384">
        <f>'3ª EM'!$T57</f>
        <v>0</v>
      </c>
      <c r="AA604" s="384">
        <f>'2ª EM'!$U59</f>
        <v>0</v>
      </c>
      <c r="AB604" s="385" t="s">
        <v>331</v>
      </c>
      <c r="AC604" s="385"/>
      <c r="AD604" s="435" t="s">
        <v>466</v>
      </c>
    </row>
    <row r="605" spans="1:30" ht="15.75" x14ac:dyDescent="0.25">
      <c r="A605" s="416" t="str">
        <f>RIGHT('[1]3ª EM'!$A$5:$D$5,12)</f>
        <v>3ª SÉRIE E.M</v>
      </c>
      <c r="B605" s="451">
        <v>54</v>
      </c>
      <c r="C605" s="248">
        <f>'3ª EM'!$B58</f>
        <v>0</v>
      </c>
      <c r="D605" s="362">
        <f>'3ª EM'!$C58</f>
        <v>0</v>
      </c>
      <c r="E605" s="249">
        <f>'3ª EM'!$D58</f>
        <v>0</v>
      </c>
      <c r="F605" s="249" t="str">
        <f>'3ª EM'!E58</f>
        <v/>
      </c>
      <c r="G605" s="250">
        <f>'3ª EM'!F58</f>
        <v>0</v>
      </c>
      <c r="H605" s="362">
        <f>'3ª EM'!G58</f>
        <v>0</v>
      </c>
      <c r="I605" s="363">
        <f>'3ª EM'!$H58</f>
        <v>0</v>
      </c>
      <c r="J605" s="362"/>
      <c r="K605" s="362">
        <f>'3ª EM'!$I58</f>
        <v>0</v>
      </c>
      <c r="L605" s="250">
        <f>'2ª EM'!$J60</f>
        <v>0</v>
      </c>
      <c r="M605" s="362"/>
      <c r="N605" s="252">
        <f>'3ª EM'!$K58</f>
        <v>0</v>
      </c>
      <c r="O605" s="362"/>
      <c r="P605" s="253" t="s">
        <v>110</v>
      </c>
      <c r="Q605" s="415" t="s">
        <v>251</v>
      </c>
      <c r="R605" s="383">
        <f>'3ª EM'!$L58</f>
        <v>0</v>
      </c>
      <c r="S605" s="383">
        <f>'3ª EM'!$M58</f>
        <v>0</v>
      </c>
      <c r="T605" s="383">
        <f>'3ª EM'!$N58</f>
        <v>0</v>
      </c>
      <c r="U605" s="383">
        <f>'3ª EM'!$O58</f>
        <v>0</v>
      </c>
      <c r="V605" s="383">
        <f>'3ª EM'!$P58</f>
        <v>0</v>
      </c>
      <c r="W605" s="383">
        <f>'3ª EM'!$Q58</f>
        <v>0</v>
      </c>
      <c r="X605" s="383">
        <f>'3ª EM'!$R58</f>
        <v>0</v>
      </c>
      <c r="Y605" s="383">
        <f>'3ª EM'!$S58</f>
        <v>0</v>
      </c>
      <c r="Z605" s="384">
        <f>'3ª EM'!$T58</f>
        <v>0</v>
      </c>
      <c r="AA605" s="384">
        <f>'2ª EM'!$U60</f>
        <v>0</v>
      </c>
      <c r="AB605" s="385" t="s">
        <v>331</v>
      </c>
      <c r="AC605" s="385"/>
      <c r="AD605" s="435" t="s">
        <v>466</v>
      </c>
    </row>
    <row r="606" spans="1:30" ht="15.75" x14ac:dyDescent="0.25">
      <c r="A606" s="416" t="str">
        <f>RIGHT('[1]3ª EM'!$A$5:$D$5,12)</f>
        <v>3ª SÉRIE E.M</v>
      </c>
      <c r="B606" s="451">
        <v>55</v>
      </c>
      <c r="C606" s="248">
        <f>'3ª EM'!$B59</f>
        <v>0</v>
      </c>
      <c r="D606" s="362">
        <f>'3ª EM'!$C59</f>
        <v>0</v>
      </c>
      <c r="E606" s="249">
        <f>'3ª EM'!$D59</f>
        <v>0</v>
      </c>
      <c r="F606" s="249" t="str">
        <f>'3ª EM'!E59</f>
        <v/>
      </c>
      <c r="G606" s="250">
        <f>'3ª EM'!F59</f>
        <v>0</v>
      </c>
      <c r="H606" s="362">
        <f>'3ª EM'!G59</f>
        <v>0</v>
      </c>
      <c r="I606" s="363">
        <f>'3ª EM'!$H59</f>
        <v>0</v>
      </c>
      <c r="J606" s="362"/>
      <c r="K606" s="362">
        <f>'3ª EM'!$I59</f>
        <v>0</v>
      </c>
      <c r="L606" s="250">
        <f>'2ª EM'!$J61</f>
        <v>0</v>
      </c>
      <c r="M606" s="362"/>
      <c r="N606" s="252">
        <f>'3ª EM'!$K59</f>
        <v>0</v>
      </c>
      <c r="O606" s="362"/>
      <c r="P606" s="253" t="s">
        <v>110</v>
      </c>
      <c r="Q606" s="415" t="s">
        <v>251</v>
      </c>
      <c r="R606" s="383">
        <f>'3ª EM'!$L59</f>
        <v>0</v>
      </c>
      <c r="S606" s="383">
        <f>'3ª EM'!$M59</f>
        <v>0</v>
      </c>
      <c r="T606" s="383">
        <f>'3ª EM'!$N59</f>
        <v>0</v>
      </c>
      <c r="U606" s="383">
        <f>'3ª EM'!$O59</f>
        <v>0</v>
      </c>
      <c r="V606" s="383">
        <f>'3ª EM'!$P59</f>
        <v>0</v>
      </c>
      <c r="W606" s="383">
        <f>'3ª EM'!$Q59</f>
        <v>0</v>
      </c>
      <c r="X606" s="383">
        <f>'3ª EM'!$R59</f>
        <v>0</v>
      </c>
      <c r="Y606" s="383">
        <f>'3ª EM'!$S59</f>
        <v>0</v>
      </c>
      <c r="Z606" s="384">
        <f>'3ª EM'!$T59</f>
        <v>0</v>
      </c>
      <c r="AA606" s="384">
        <f>'2ª EM'!$U61</f>
        <v>0</v>
      </c>
      <c r="AB606" s="385" t="s">
        <v>331</v>
      </c>
      <c r="AC606" s="385"/>
      <c r="AD606" s="435" t="s">
        <v>466</v>
      </c>
    </row>
    <row r="607" spans="1:30" x14ac:dyDescent="0.25">
      <c r="AB607" s="435"/>
      <c r="AC607" s="435"/>
    </row>
    <row r="608" spans="1:30" x14ac:dyDescent="0.25">
      <c r="AB608" s="435"/>
      <c r="AC608" s="435"/>
    </row>
    <row r="609" spans="28:29" x14ac:dyDescent="0.25">
      <c r="AB609" s="435"/>
      <c r="AC609" s="435"/>
    </row>
    <row r="610" spans="28:29" x14ac:dyDescent="0.25">
      <c r="AB610" s="435"/>
      <c r="AC610" s="435"/>
    </row>
    <row r="611" spans="28:29" x14ac:dyDescent="0.25">
      <c r="AB611" s="435"/>
      <c r="AC611" s="435"/>
    </row>
    <row r="612" spans="28:29" x14ac:dyDescent="0.25">
      <c r="AB612" s="435"/>
      <c r="AC612" s="435"/>
    </row>
    <row r="613" spans="28:29" x14ac:dyDescent="0.25">
      <c r="AB613" s="435"/>
      <c r="AC613" s="435"/>
    </row>
    <row r="614" spans="28:29" x14ac:dyDescent="0.25">
      <c r="AB614" s="435"/>
      <c r="AC614" s="435"/>
    </row>
    <row r="615" spans="28:29" x14ac:dyDescent="0.25">
      <c r="AB615" s="435"/>
      <c r="AC615" s="435"/>
    </row>
    <row r="616" spans="28:29" x14ac:dyDescent="0.25">
      <c r="AB616" s="435"/>
      <c r="AC616" s="435"/>
    </row>
    <row r="617" spans="28:29" x14ac:dyDescent="0.25">
      <c r="AB617" s="435"/>
      <c r="AC617" s="435"/>
    </row>
    <row r="618" spans="28:29" x14ac:dyDescent="0.25">
      <c r="AB618" s="435"/>
      <c r="AC618" s="435"/>
    </row>
    <row r="619" spans="28:29" x14ac:dyDescent="0.25">
      <c r="AB619" s="435"/>
      <c r="AC619" s="435"/>
    </row>
    <row r="620" spans="28:29" x14ac:dyDescent="0.25">
      <c r="AB620" s="435"/>
      <c r="AC620" s="435"/>
    </row>
    <row r="621" spans="28:29" x14ac:dyDescent="0.25">
      <c r="AB621" s="435"/>
      <c r="AC621" s="435"/>
    </row>
    <row r="622" spans="28:29" x14ac:dyDescent="0.25">
      <c r="AB622" s="435"/>
      <c r="AC622" s="435"/>
    </row>
    <row r="623" spans="28:29" x14ac:dyDescent="0.25">
      <c r="AB623" s="435"/>
      <c r="AC623" s="435"/>
    </row>
    <row r="624" spans="28:29" x14ac:dyDescent="0.25">
      <c r="AB624" s="435"/>
      <c r="AC624" s="435"/>
    </row>
    <row r="625" spans="28:29" x14ac:dyDescent="0.25">
      <c r="AB625" s="435"/>
      <c r="AC625" s="435"/>
    </row>
    <row r="626" spans="28:29" x14ac:dyDescent="0.25">
      <c r="AB626" s="435"/>
      <c r="AC626" s="435"/>
    </row>
    <row r="627" spans="28:29" x14ac:dyDescent="0.25">
      <c r="AB627" s="435"/>
      <c r="AC627" s="435"/>
    </row>
    <row r="628" spans="28:29" x14ac:dyDescent="0.25">
      <c r="AB628" s="435"/>
      <c r="AC628" s="435"/>
    </row>
    <row r="629" spans="28:29" x14ac:dyDescent="0.25">
      <c r="AB629" s="435"/>
      <c r="AC629" s="435"/>
    </row>
    <row r="630" spans="28:29" x14ac:dyDescent="0.25">
      <c r="AB630" s="435"/>
      <c r="AC630" s="435"/>
    </row>
    <row r="631" spans="28:29" x14ac:dyDescent="0.25">
      <c r="AB631" s="435"/>
      <c r="AC631" s="435"/>
    </row>
    <row r="632" spans="28:29" x14ac:dyDescent="0.25">
      <c r="AB632" s="435"/>
      <c r="AC632" s="435"/>
    </row>
    <row r="633" spans="28:29" x14ac:dyDescent="0.25">
      <c r="AB633" s="435"/>
      <c r="AC633" s="435"/>
    </row>
    <row r="634" spans="28:29" x14ac:dyDescent="0.25">
      <c r="AB634" s="435"/>
      <c r="AC634" s="435"/>
    </row>
    <row r="635" spans="28:29" x14ac:dyDescent="0.25">
      <c r="AB635" s="435"/>
      <c r="AC635" s="435"/>
    </row>
    <row r="636" spans="28:29" x14ac:dyDescent="0.25">
      <c r="AB636" s="435"/>
      <c r="AC636" s="435"/>
    </row>
    <row r="637" spans="28:29" x14ac:dyDescent="0.25">
      <c r="AB637" s="435"/>
      <c r="AC637" s="435"/>
    </row>
    <row r="638" spans="28:29" x14ac:dyDescent="0.25">
      <c r="AB638" s="435"/>
      <c r="AC638" s="435"/>
    </row>
    <row r="639" spans="28:29" x14ac:dyDescent="0.25">
      <c r="AB639" s="435"/>
      <c r="AC639" s="435"/>
    </row>
    <row r="640" spans="28:29" x14ac:dyDescent="0.25">
      <c r="AB640" s="435"/>
      <c r="AC640" s="435"/>
    </row>
    <row r="641" spans="28:29" x14ac:dyDescent="0.25">
      <c r="AB641" s="435"/>
      <c r="AC641" s="435"/>
    </row>
    <row r="642" spans="28:29" x14ac:dyDescent="0.25">
      <c r="AB642" s="435"/>
      <c r="AC642" s="435"/>
    </row>
    <row r="643" spans="28:29" x14ac:dyDescent="0.25">
      <c r="AB643" s="435"/>
      <c r="AC643" s="435"/>
    </row>
    <row r="644" spans="28:29" x14ac:dyDescent="0.25">
      <c r="AB644" s="435"/>
      <c r="AC644" s="435"/>
    </row>
    <row r="645" spans="28:29" x14ac:dyDescent="0.25">
      <c r="AB645" s="435"/>
      <c r="AC645" s="435"/>
    </row>
    <row r="646" spans="28:29" x14ac:dyDescent="0.25">
      <c r="AB646" s="435"/>
      <c r="AC646" s="435"/>
    </row>
    <row r="647" spans="28:29" x14ac:dyDescent="0.25">
      <c r="AB647" s="435"/>
      <c r="AC647" s="435"/>
    </row>
    <row r="648" spans="28:29" x14ac:dyDescent="0.25">
      <c r="AB648" s="435"/>
      <c r="AC648" s="435"/>
    </row>
    <row r="649" spans="28:29" x14ac:dyDescent="0.25">
      <c r="AB649" s="435"/>
      <c r="AC649" s="435"/>
    </row>
    <row r="650" spans="28:29" x14ac:dyDescent="0.25">
      <c r="AB650" s="435"/>
      <c r="AC650" s="435"/>
    </row>
    <row r="651" spans="28:29" x14ac:dyDescent="0.25">
      <c r="AB651" s="435"/>
      <c r="AC651" s="435"/>
    </row>
    <row r="652" spans="28:29" x14ac:dyDescent="0.25">
      <c r="AB652" s="435"/>
      <c r="AC652" s="435"/>
    </row>
    <row r="653" spans="28:29" x14ac:dyDescent="0.25">
      <c r="AB653" s="435"/>
      <c r="AC653" s="435"/>
    </row>
    <row r="654" spans="28:29" x14ac:dyDescent="0.25">
      <c r="AB654" s="435"/>
      <c r="AC654" s="435"/>
    </row>
    <row r="655" spans="28:29" x14ac:dyDescent="0.25">
      <c r="AB655" s="435"/>
      <c r="AC655" s="435"/>
    </row>
    <row r="656" spans="28:29" x14ac:dyDescent="0.25">
      <c r="AB656" s="435"/>
      <c r="AC656" s="435"/>
    </row>
    <row r="657" spans="28:29" x14ac:dyDescent="0.25">
      <c r="AB657" s="435"/>
      <c r="AC657" s="435"/>
    </row>
    <row r="658" spans="28:29" x14ac:dyDescent="0.25">
      <c r="AB658" s="435"/>
      <c r="AC658" s="435"/>
    </row>
    <row r="659" spans="28:29" x14ac:dyDescent="0.25">
      <c r="AB659" s="435"/>
      <c r="AC659" s="435"/>
    </row>
    <row r="660" spans="28:29" x14ac:dyDescent="0.25">
      <c r="AB660" s="435"/>
      <c r="AC660" s="435"/>
    </row>
    <row r="661" spans="28:29" x14ac:dyDescent="0.25">
      <c r="AB661" s="435"/>
      <c r="AC661" s="435"/>
    </row>
    <row r="662" spans="28:29" x14ac:dyDescent="0.25">
      <c r="AB662" s="435"/>
      <c r="AC662" s="435"/>
    </row>
    <row r="663" spans="28:29" x14ac:dyDescent="0.25">
      <c r="AB663" s="435"/>
      <c r="AC663" s="435"/>
    </row>
    <row r="664" spans="28:29" x14ac:dyDescent="0.25">
      <c r="AB664" s="435"/>
      <c r="AC664" s="435"/>
    </row>
    <row r="665" spans="28:29" x14ac:dyDescent="0.25">
      <c r="AB665" s="435"/>
      <c r="AC665" s="435"/>
    </row>
    <row r="666" spans="28:29" x14ac:dyDescent="0.25">
      <c r="AB666" s="435"/>
      <c r="AC666" s="435"/>
    </row>
    <row r="667" spans="28:29" x14ac:dyDescent="0.25">
      <c r="AB667" s="435"/>
      <c r="AC667" s="435"/>
    </row>
    <row r="668" spans="28:29" x14ac:dyDescent="0.25">
      <c r="AB668" s="435"/>
      <c r="AC668" s="435"/>
    </row>
    <row r="669" spans="28:29" x14ac:dyDescent="0.25">
      <c r="AB669" s="435"/>
      <c r="AC669" s="435"/>
    </row>
    <row r="670" spans="28:29" x14ac:dyDescent="0.25">
      <c r="AB670" s="435"/>
      <c r="AC670" s="435"/>
    </row>
    <row r="671" spans="28:29" x14ac:dyDescent="0.25">
      <c r="AB671" s="435"/>
      <c r="AC671" s="435"/>
    </row>
    <row r="672" spans="28:29" x14ac:dyDescent="0.25">
      <c r="AB672" s="435"/>
      <c r="AC672" s="435"/>
    </row>
    <row r="673" spans="28:29" x14ac:dyDescent="0.25">
      <c r="AB673" s="435"/>
      <c r="AC673" s="435"/>
    </row>
    <row r="674" spans="28:29" x14ac:dyDescent="0.25">
      <c r="AB674" s="435"/>
      <c r="AC674" s="435"/>
    </row>
    <row r="675" spans="28:29" x14ac:dyDescent="0.25">
      <c r="AB675" s="435"/>
      <c r="AC675" s="435"/>
    </row>
    <row r="676" spans="28:29" x14ac:dyDescent="0.25">
      <c r="AB676" s="435"/>
      <c r="AC676" s="435"/>
    </row>
    <row r="677" spans="28:29" x14ac:dyDescent="0.25">
      <c r="AB677" s="435"/>
      <c r="AC677" s="435"/>
    </row>
    <row r="678" spans="28:29" x14ac:dyDescent="0.25">
      <c r="AB678" s="435"/>
      <c r="AC678" s="435"/>
    </row>
    <row r="679" spans="28:29" x14ac:dyDescent="0.25">
      <c r="AB679" s="435"/>
      <c r="AC679" s="435"/>
    </row>
    <row r="680" spans="28:29" x14ac:dyDescent="0.25">
      <c r="AB680" s="435"/>
      <c r="AC680" s="435"/>
    </row>
    <row r="681" spans="28:29" x14ac:dyDescent="0.25">
      <c r="AB681" s="435"/>
      <c r="AC681" s="435"/>
    </row>
    <row r="682" spans="28:29" x14ac:dyDescent="0.25">
      <c r="AB682" s="435"/>
      <c r="AC682" s="435"/>
    </row>
    <row r="683" spans="28:29" x14ac:dyDescent="0.25">
      <c r="AB683" s="435"/>
      <c r="AC683" s="435"/>
    </row>
    <row r="684" spans="28:29" x14ac:dyDescent="0.25">
      <c r="AB684" s="435"/>
      <c r="AC684" s="435"/>
    </row>
    <row r="685" spans="28:29" x14ac:dyDescent="0.25">
      <c r="AB685" s="435"/>
      <c r="AC685" s="435"/>
    </row>
    <row r="686" spans="28:29" x14ac:dyDescent="0.25">
      <c r="AB686" s="435"/>
      <c r="AC686" s="435"/>
    </row>
    <row r="687" spans="28:29" x14ac:dyDescent="0.25">
      <c r="AB687" s="435"/>
      <c r="AC687" s="435"/>
    </row>
    <row r="688" spans="28:29" x14ac:dyDescent="0.25">
      <c r="AB688" s="435"/>
      <c r="AC688" s="435"/>
    </row>
    <row r="689" spans="28:29" x14ac:dyDescent="0.25">
      <c r="AB689" s="435"/>
      <c r="AC689" s="435"/>
    </row>
    <row r="690" spans="28:29" x14ac:dyDescent="0.25">
      <c r="AB690" s="435"/>
      <c r="AC690" s="435"/>
    </row>
    <row r="691" spans="28:29" x14ac:dyDescent="0.25">
      <c r="AB691" s="435"/>
      <c r="AC691" s="435"/>
    </row>
    <row r="692" spans="28:29" x14ac:dyDescent="0.25">
      <c r="AB692" s="435"/>
      <c r="AC692" s="435"/>
    </row>
    <row r="693" spans="28:29" x14ac:dyDescent="0.25">
      <c r="AB693" s="435"/>
      <c r="AC693" s="435"/>
    </row>
    <row r="694" spans="28:29" x14ac:dyDescent="0.25">
      <c r="AB694" s="435"/>
      <c r="AC694" s="435"/>
    </row>
    <row r="695" spans="28:29" x14ac:dyDescent="0.25">
      <c r="AB695" s="435"/>
      <c r="AC695" s="435"/>
    </row>
    <row r="696" spans="28:29" x14ac:dyDescent="0.25">
      <c r="AB696" s="435"/>
      <c r="AC696" s="435"/>
    </row>
    <row r="697" spans="28:29" x14ac:dyDescent="0.25">
      <c r="AB697" s="435"/>
      <c r="AC697" s="435"/>
    </row>
    <row r="698" spans="28:29" x14ac:dyDescent="0.25">
      <c r="AB698" s="435"/>
      <c r="AC698" s="435"/>
    </row>
    <row r="699" spans="28:29" x14ac:dyDescent="0.25">
      <c r="AB699" s="435"/>
      <c r="AC699" s="435"/>
    </row>
    <row r="700" spans="28:29" x14ac:dyDescent="0.25">
      <c r="AB700" s="435"/>
      <c r="AC700" s="435"/>
    </row>
    <row r="701" spans="28:29" x14ac:dyDescent="0.25">
      <c r="AB701" s="435"/>
      <c r="AC701" s="435"/>
    </row>
    <row r="702" spans="28:29" x14ac:dyDescent="0.25">
      <c r="AB702" s="435"/>
      <c r="AC702" s="435"/>
    </row>
    <row r="703" spans="28:29" x14ac:dyDescent="0.25">
      <c r="AB703" s="435"/>
      <c r="AC703" s="435"/>
    </row>
    <row r="704" spans="28:29" x14ac:dyDescent="0.25">
      <c r="AB704" s="435"/>
      <c r="AC704" s="435"/>
    </row>
    <row r="705" spans="28:29" x14ac:dyDescent="0.25">
      <c r="AB705" s="435"/>
      <c r="AC705" s="435"/>
    </row>
    <row r="706" spans="28:29" x14ac:dyDescent="0.25">
      <c r="AB706" s="435"/>
      <c r="AC706" s="435"/>
    </row>
    <row r="707" spans="28:29" x14ac:dyDescent="0.25">
      <c r="AB707" s="435"/>
      <c r="AC707" s="435"/>
    </row>
    <row r="708" spans="28:29" x14ac:dyDescent="0.25">
      <c r="AB708" s="435"/>
      <c r="AC708" s="435"/>
    </row>
    <row r="709" spans="28:29" x14ac:dyDescent="0.25">
      <c r="AB709" s="435"/>
      <c r="AC709" s="435"/>
    </row>
    <row r="710" spans="28:29" x14ac:dyDescent="0.25">
      <c r="AB710" s="435"/>
      <c r="AC710" s="435"/>
    </row>
    <row r="711" spans="28:29" x14ac:dyDescent="0.25">
      <c r="AB711" s="435"/>
      <c r="AC711" s="435"/>
    </row>
    <row r="712" spans="28:29" x14ac:dyDescent="0.25">
      <c r="AB712" s="435"/>
      <c r="AC712" s="435"/>
    </row>
    <row r="713" spans="28:29" x14ac:dyDescent="0.25">
      <c r="AB713" s="435"/>
      <c r="AC713" s="435"/>
    </row>
    <row r="714" spans="28:29" x14ac:dyDescent="0.25">
      <c r="AB714" s="435"/>
      <c r="AC714" s="435"/>
    </row>
    <row r="715" spans="28:29" x14ac:dyDescent="0.25">
      <c r="AB715" s="435"/>
      <c r="AC715" s="435"/>
    </row>
    <row r="716" spans="28:29" x14ac:dyDescent="0.25">
      <c r="AB716" s="435"/>
      <c r="AC716" s="435"/>
    </row>
    <row r="717" spans="28:29" x14ac:dyDescent="0.25">
      <c r="AB717" s="435"/>
      <c r="AC717" s="435"/>
    </row>
    <row r="718" spans="28:29" x14ac:dyDescent="0.25">
      <c r="AB718" s="435"/>
      <c r="AC718" s="435"/>
    </row>
    <row r="719" spans="28:29" x14ac:dyDescent="0.25">
      <c r="AB719" s="435"/>
      <c r="AC719" s="435"/>
    </row>
    <row r="720" spans="28:29" x14ac:dyDescent="0.25">
      <c r="AB720" s="435"/>
      <c r="AC720" s="435"/>
    </row>
    <row r="721" spans="28:29" x14ac:dyDescent="0.25">
      <c r="AB721" s="435"/>
      <c r="AC721" s="435"/>
    </row>
    <row r="722" spans="28:29" x14ac:dyDescent="0.25">
      <c r="AB722" s="435"/>
      <c r="AC722" s="435"/>
    </row>
    <row r="723" spans="28:29" x14ac:dyDescent="0.25">
      <c r="AB723" s="435"/>
      <c r="AC723" s="435"/>
    </row>
    <row r="724" spans="28:29" x14ac:dyDescent="0.25">
      <c r="AB724" s="435"/>
      <c r="AC724" s="435"/>
    </row>
    <row r="725" spans="28:29" x14ac:dyDescent="0.25">
      <c r="AB725" s="435"/>
      <c r="AC725" s="435"/>
    </row>
    <row r="726" spans="28:29" x14ac:dyDescent="0.25">
      <c r="AB726" s="435"/>
      <c r="AC726" s="435"/>
    </row>
    <row r="727" spans="28:29" x14ac:dyDescent="0.25">
      <c r="AB727" s="435"/>
      <c r="AC727" s="435"/>
    </row>
    <row r="728" spans="28:29" x14ac:dyDescent="0.25">
      <c r="AB728" s="435"/>
      <c r="AC728" s="435"/>
    </row>
    <row r="729" spans="28:29" x14ac:dyDescent="0.25">
      <c r="AB729" s="435"/>
      <c r="AC729" s="435"/>
    </row>
    <row r="730" spans="28:29" x14ac:dyDescent="0.25">
      <c r="AB730" s="435"/>
      <c r="AC730" s="435"/>
    </row>
    <row r="731" spans="28:29" x14ac:dyDescent="0.25">
      <c r="AB731" s="435"/>
      <c r="AC731" s="435"/>
    </row>
    <row r="732" spans="28:29" x14ac:dyDescent="0.25">
      <c r="AB732" s="435"/>
      <c r="AC732" s="435"/>
    </row>
    <row r="733" spans="28:29" x14ac:dyDescent="0.25">
      <c r="AB733" s="435"/>
      <c r="AC733" s="435"/>
    </row>
    <row r="734" spans="28:29" x14ac:dyDescent="0.25">
      <c r="AB734" s="435"/>
      <c r="AC734" s="435"/>
    </row>
    <row r="735" spans="28:29" x14ac:dyDescent="0.25">
      <c r="AB735" s="435"/>
      <c r="AC735" s="435"/>
    </row>
    <row r="736" spans="28:29" x14ac:dyDescent="0.25">
      <c r="AB736" s="435"/>
      <c r="AC736" s="435"/>
    </row>
    <row r="737" spans="28:29" x14ac:dyDescent="0.25">
      <c r="AB737" s="435"/>
      <c r="AC737" s="435"/>
    </row>
    <row r="738" spans="28:29" x14ac:dyDescent="0.25">
      <c r="AB738" s="435"/>
      <c r="AC738" s="435"/>
    </row>
    <row r="739" spans="28:29" x14ac:dyDescent="0.25">
      <c r="AB739" s="435"/>
      <c r="AC739" s="435"/>
    </row>
    <row r="740" spans="28:29" x14ac:dyDescent="0.25">
      <c r="AB740" s="435"/>
      <c r="AC740" s="435"/>
    </row>
    <row r="741" spans="28:29" x14ac:dyDescent="0.25">
      <c r="AB741" s="435"/>
      <c r="AC741" s="435"/>
    </row>
    <row r="742" spans="28:29" x14ac:dyDescent="0.25">
      <c r="AB742" s="435"/>
      <c r="AC742" s="435"/>
    </row>
    <row r="743" spans="28:29" x14ac:dyDescent="0.25">
      <c r="AB743" s="435"/>
      <c r="AC743" s="435"/>
    </row>
    <row r="744" spans="28:29" x14ac:dyDescent="0.25">
      <c r="AB744" s="435"/>
      <c r="AC744" s="435"/>
    </row>
    <row r="745" spans="28:29" x14ac:dyDescent="0.25">
      <c r="AB745" s="435"/>
      <c r="AC745" s="435"/>
    </row>
    <row r="746" spans="28:29" x14ac:dyDescent="0.25">
      <c r="AB746" s="435"/>
      <c r="AC746" s="435"/>
    </row>
    <row r="747" spans="28:29" x14ac:dyDescent="0.25">
      <c r="AB747" s="435"/>
      <c r="AC747" s="435"/>
    </row>
    <row r="748" spans="28:29" x14ac:dyDescent="0.25">
      <c r="AB748" s="435"/>
      <c r="AC748" s="435"/>
    </row>
    <row r="749" spans="28:29" x14ac:dyDescent="0.25">
      <c r="AB749" s="435"/>
      <c r="AC749" s="435"/>
    </row>
    <row r="750" spans="28:29" x14ac:dyDescent="0.25">
      <c r="AB750" s="435"/>
      <c r="AC750" s="435"/>
    </row>
    <row r="751" spans="28:29" x14ac:dyDescent="0.25">
      <c r="AB751" s="435"/>
      <c r="AC751" s="435"/>
    </row>
    <row r="752" spans="28:29" x14ac:dyDescent="0.25">
      <c r="AB752" s="435"/>
      <c r="AC752" s="435"/>
    </row>
    <row r="753" spans="28:29" x14ac:dyDescent="0.25">
      <c r="AB753" s="435"/>
      <c r="AC753" s="435"/>
    </row>
    <row r="754" spans="28:29" x14ac:dyDescent="0.25">
      <c r="AB754" s="435"/>
      <c r="AC754" s="435"/>
    </row>
    <row r="755" spans="28:29" x14ac:dyDescent="0.25">
      <c r="AB755" s="435"/>
      <c r="AC755" s="435"/>
    </row>
    <row r="756" spans="28:29" x14ac:dyDescent="0.25">
      <c r="AB756" s="435"/>
      <c r="AC756" s="435"/>
    </row>
    <row r="757" spans="28:29" x14ac:dyDescent="0.25">
      <c r="AB757" s="435"/>
      <c r="AC757" s="435"/>
    </row>
    <row r="758" spans="28:29" x14ac:dyDescent="0.25">
      <c r="AB758" s="435"/>
      <c r="AC758" s="435"/>
    </row>
    <row r="759" spans="28:29" x14ac:dyDescent="0.25">
      <c r="AB759" s="435"/>
      <c r="AC759" s="435"/>
    </row>
    <row r="760" spans="28:29" x14ac:dyDescent="0.25">
      <c r="AB760" s="435"/>
      <c r="AC760" s="435"/>
    </row>
    <row r="761" spans="28:29" x14ac:dyDescent="0.25">
      <c r="AB761" s="435"/>
      <c r="AC761" s="435"/>
    </row>
    <row r="762" spans="28:29" x14ac:dyDescent="0.25">
      <c r="AB762" s="435"/>
      <c r="AC762" s="435"/>
    </row>
    <row r="763" spans="28:29" x14ac:dyDescent="0.25">
      <c r="AB763" s="435"/>
      <c r="AC763" s="435"/>
    </row>
    <row r="764" spans="28:29" x14ac:dyDescent="0.25">
      <c r="AB764" s="435"/>
      <c r="AC764" s="435"/>
    </row>
    <row r="765" spans="28:29" x14ac:dyDescent="0.25">
      <c r="AB765" s="435"/>
      <c r="AC765" s="435"/>
    </row>
    <row r="766" spans="28:29" x14ac:dyDescent="0.25">
      <c r="AB766" s="435"/>
      <c r="AC766" s="435"/>
    </row>
    <row r="767" spans="28:29" x14ac:dyDescent="0.25">
      <c r="AB767" s="435"/>
      <c r="AC767" s="435"/>
    </row>
    <row r="768" spans="28:29" x14ac:dyDescent="0.25">
      <c r="AB768" s="435"/>
      <c r="AC768" s="435"/>
    </row>
    <row r="769" spans="28:29" x14ac:dyDescent="0.25">
      <c r="AB769" s="435"/>
      <c r="AC769" s="435"/>
    </row>
    <row r="770" spans="28:29" x14ac:dyDescent="0.25">
      <c r="AB770" s="435"/>
      <c r="AC770" s="435"/>
    </row>
    <row r="771" spans="28:29" x14ac:dyDescent="0.25">
      <c r="AB771" s="435"/>
      <c r="AC771" s="435"/>
    </row>
    <row r="772" spans="28:29" x14ac:dyDescent="0.25">
      <c r="AB772" s="435"/>
      <c r="AC772" s="435"/>
    </row>
    <row r="773" spans="28:29" x14ac:dyDescent="0.25">
      <c r="AB773" s="435"/>
      <c r="AC773" s="435"/>
    </row>
    <row r="774" spans="28:29" x14ac:dyDescent="0.25">
      <c r="AB774" s="435"/>
      <c r="AC774" s="435"/>
    </row>
    <row r="775" spans="28:29" x14ac:dyDescent="0.25">
      <c r="AB775" s="435"/>
      <c r="AC775" s="435"/>
    </row>
    <row r="776" spans="28:29" x14ac:dyDescent="0.25">
      <c r="AB776" s="435"/>
      <c r="AC776" s="435"/>
    </row>
    <row r="777" spans="28:29" x14ac:dyDescent="0.25">
      <c r="AB777" s="435"/>
      <c r="AC777" s="435"/>
    </row>
    <row r="778" spans="28:29" x14ac:dyDescent="0.25">
      <c r="AB778" s="435"/>
      <c r="AC778" s="435"/>
    </row>
    <row r="779" spans="28:29" x14ac:dyDescent="0.25">
      <c r="AB779" s="435"/>
      <c r="AC779" s="435"/>
    </row>
    <row r="780" spans="28:29" x14ac:dyDescent="0.25">
      <c r="AB780" s="435"/>
      <c r="AC780" s="435"/>
    </row>
    <row r="781" spans="28:29" x14ac:dyDescent="0.25">
      <c r="AB781" s="435"/>
      <c r="AC781" s="435"/>
    </row>
    <row r="782" spans="28:29" x14ac:dyDescent="0.25">
      <c r="AB782" s="435"/>
      <c r="AC782" s="435"/>
    </row>
    <row r="783" spans="28:29" x14ac:dyDescent="0.25">
      <c r="AB783" s="435"/>
      <c r="AC783" s="435"/>
    </row>
    <row r="784" spans="28:29" x14ac:dyDescent="0.25">
      <c r="AB784" s="435"/>
      <c r="AC784" s="435"/>
    </row>
    <row r="785" spans="28:29" x14ac:dyDescent="0.25">
      <c r="AB785" s="435"/>
      <c r="AC785" s="435"/>
    </row>
    <row r="786" spans="28:29" x14ac:dyDescent="0.25">
      <c r="AB786" s="435"/>
      <c r="AC786" s="435"/>
    </row>
    <row r="787" spans="28:29" x14ac:dyDescent="0.25">
      <c r="AB787" s="435"/>
      <c r="AC787" s="435"/>
    </row>
    <row r="788" spans="28:29" x14ac:dyDescent="0.25">
      <c r="AB788" s="435"/>
      <c r="AC788" s="435"/>
    </row>
    <row r="789" spans="28:29" x14ac:dyDescent="0.25">
      <c r="AB789" s="435"/>
      <c r="AC789" s="435"/>
    </row>
    <row r="790" spans="28:29" x14ac:dyDescent="0.25">
      <c r="AB790" s="435"/>
      <c r="AC790" s="435"/>
    </row>
    <row r="791" spans="28:29" x14ac:dyDescent="0.25">
      <c r="AB791" s="435"/>
      <c r="AC791" s="435"/>
    </row>
    <row r="792" spans="28:29" x14ac:dyDescent="0.25">
      <c r="AB792" s="435"/>
      <c r="AC792" s="435"/>
    </row>
    <row r="793" spans="28:29" x14ac:dyDescent="0.25">
      <c r="AB793" s="435"/>
      <c r="AC793" s="435"/>
    </row>
    <row r="794" spans="28:29" x14ac:dyDescent="0.25">
      <c r="AB794" s="435"/>
      <c r="AC794" s="435"/>
    </row>
    <row r="795" spans="28:29" x14ac:dyDescent="0.25">
      <c r="AB795" s="435"/>
      <c r="AC795" s="435"/>
    </row>
    <row r="796" spans="28:29" x14ac:dyDescent="0.25">
      <c r="AB796" s="435"/>
      <c r="AC796" s="435"/>
    </row>
    <row r="797" spans="28:29" x14ac:dyDescent="0.25">
      <c r="AB797" s="435"/>
      <c r="AC797" s="435"/>
    </row>
    <row r="798" spans="28:29" x14ac:dyDescent="0.25">
      <c r="AB798" s="435"/>
      <c r="AC798" s="435"/>
    </row>
    <row r="799" spans="28:29" x14ac:dyDescent="0.25">
      <c r="AB799" s="435"/>
      <c r="AC799" s="435"/>
    </row>
    <row r="800" spans="28:29" x14ac:dyDescent="0.25">
      <c r="AB800" s="435"/>
      <c r="AC800" s="435"/>
    </row>
    <row r="801" spans="28:29" x14ac:dyDescent="0.25">
      <c r="AB801" s="435"/>
      <c r="AC801" s="435"/>
    </row>
    <row r="802" spans="28:29" x14ac:dyDescent="0.25">
      <c r="AB802" s="435"/>
      <c r="AC802" s="435"/>
    </row>
    <row r="803" spans="28:29" x14ac:dyDescent="0.25">
      <c r="AB803" s="435"/>
      <c r="AC803" s="435"/>
    </row>
    <row r="804" spans="28:29" x14ac:dyDescent="0.25">
      <c r="AB804" s="435"/>
      <c r="AC804" s="435"/>
    </row>
    <row r="805" spans="28:29" x14ac:dyDescent="0.25">
      <c r="AB805" s="435"/>
      <c r="AC805" s="435"/>
    </row>
    <row r="806" spans="28:29" x14ac:dyDescent="0.25">
      <c r="AB806" s="435"/>
      <c r="AC806" s="435"/>
    </row>
    <row r="807" spans="28:29" x14ac:dyDescent="0.25">
      <c r="AB807" s="435"/>
      <c r="AC807" s="435"/>
    </row>
    <row r="808" spans="28:29" x14ac:dyDescent="0.25">
      <c r="AB808" s="435"/>
      <c r="AC808" s="435"/>
    </row>
    <row r="809" spans="28:29" x14ac:dyDescent="0.25">
      <c r="AB809" s="435"/>
      <c r="AC809" s="435"/>
    </row>
    <row r="810" spans="28:29" x14ac:dyDescent="0.25">
      <c r="AB810" s="435"/>
      <c r="AC810" s="435"/>
    </row>
    <row r="811" spans="28:29" x14ac:dyDescent="0.25">
      <c r="AB811" s="435"/>
      <c r="AC811" s="435"/>
    </row>
    <row r="812" spans="28:29" x14ac:dyDescent="0.25">
      <c r="AB812" s="435"/>
      <c r="AC812" s="435"/>
    </row>
    <row r="813" spans="28:29" x14ac:dyDescent="0.25">
      <c r="AB813" s="435"/>
      <c r="AC813" s="435"/>
    </row>
    <row r="814" spans="28:29" x14ac:dyDescent="0.25">
      <c r="AB814" s="435"/>
      <c r="AC814" s="435"/>
    </row>
    <row r="815" spans="28:29" x14ac:dyDescent="0.25">
      <c r="AB815" s="435"/>
      <c r="AC815" s="435"/>
    </row>
    <row r="816" spans="28:29" x14ac:dyDescent="0.25">
      <c r="AB816" s="435"/>
      <c r="AC816" s="435"/>
    </row>
    <row r="817" spans="28:29" x14ac:dyDescent="0.25">
      <c r="AB817" s="435"/>
      <c r="AC817" s="435"/>
    </row>
    <row r="818" spans="28:29" x14ac:dyDescent="0.25">
      <c r="AB818" s="435"/>
      <c r="AC818" s="435"/>
    </row>
    <row r="819" spans="28:29" x14ac:dyDescent="0.25">
      <c r="AB819" s="435"/>
      <c r="AC819" s="435"/>
    </row>
    <row r="820" spans="28:29" x14ac:dyDescent="0.25">
      <c r="AB820" s="435"/>
      <c r="AC820" s="435"/>
    </row>
    <row r="821" spans="28:29" x14ac:dyDescent="0.25">
      <c r="AB821" s="435"/>
      <c r="AC821" s="435"/>
    </row>
    <row r="822" spans="28:29" x14ac:dyDescent="0.25">
      <c r="AB822" s="435"/>
      <c r="AC822" s="435"/>
    </row>
    <row r="823" spans="28:29" x14ac:dyDescent="0.25">
      <c r="AB823" s="435"/>
      <c r="AC823" s="435"/>
    </row>
    <row r="824" spans="28:29" x14ac:dyDescent="0.25">
      <c r="AB824" s="435"/>
      <c r="AC824" s="435"/>
    </row>
    <row r="825" spans="28:29" x14ac:dyDescent="0.25">
      <c r="AB825" s="435"/>
      <c r="AC825" s="435"/>
    </row>
    <row r="826" spans="28:29" x14ac:dyDescent="0.25">
      <c r="AB826" s="435"/>
      <c r="AC826" s="435"/>
    </row>
    <row r="827" spans="28:29" x14ac:dyDescent="0.25">
      <c r="AB827" s="435"/>
      <c r="AC827" s="435"/>
    </row>
    <row r="828" spans="28:29" x14ac:dyDescent="0.25">
      <c r="AB828" s="435"/>
      <c r="AC828" s="435"/>
    </row>
    <row r="829" spans="28:29" x14ac:dyDescent="0.25">
      <c r="AB829" s="435"/>
      <c r="AC829" s="435"/>
    </row>
    <row r="830" spans="28:29" x14ac:dyDescent="0.25">
      <c r="AB830" s="435"/>
      <c r="AC830" s="435"/>
    </row>
    <row r="831" spans="28:29" x14ac:dyDescent="0.25">
      <c r="AB831" s="435"/>
      <c r="AC831" s="435"/>
    </row>
    <row r="832" spans="28:29" x14ac:dyDescent="0.25">
      <c r="AB832" s="435"/>
      <c r="AC832" s="435"/>
    </row>
    <row r="833" spans="28:29" x14ac:dyDescent="0.25">
      <c r="AB833" s="435"/>
      <c r="AC833" s="435"/>
    </row>
    <row r="834" spans="28:29" x14ac:dyDescent="0.25">
      <c r="AB834" s="435"/>
      <c r="AC834" s="435"/>
    </row>
    <row r="835" spans="28:29" x14ac:dyDescent="0.25">
      <c r="AB835" s="435"/>
      <c r="AC835" s="435"/>
    </row>
    <row r="836" spans="28:29" x14ac:dyDescent="0.25">
      <c r="AB836" s="435"/>
      <c r="AC836" s="435"/>
    </row>
    <row r="837" spans="28:29" x14ac:dyDescent="0.25">
      <c r="AB837" s="435"/>
      <c r="AC837" s="435"/>
    </row>
    <row r="838" spans="28:29" x14ac:dyDescent="0.25">
      <c r="AB838" s="435"/>
      <c r="AC838" s="435"/>
    </row>
    <row r="839" spans="28:29" x14ac:dyDescent="0.25">
      <c r="AB839" s="435"/>
      <c r="AC839" s="435"/>
    </row>
    <row r="840" spans="28:29" x14ac:dyDescent="0.25">
      <c r="AB840" s="435"/>
      <c r="AC840" s="435"/>
    </row>
    <row r="841" spans="28:29" x14ac:dyDescent="0.25">
      <c r="AB841" s="435"/>
      <c r="AC841" s="435"/>
    </row>
    <row r="842" spans="28:29" x14ac:dyDescent="0.25">
      <c r="AB842" s="435"/>
      <c r="AC842" s="435"/>
    </row>
    <row r="843" spans="28:29" x14ac:dyDescent="0.25">
      <c r="AB843" s="435"/>
      <c r="AC843" s="435"/>
    </row>
    <row r="844" spans="28:29" x14ac:dyDescent="0.25">
      <c r="AB844" s="435"/>
      <c r="AC844" s="435"/>
    </row>
    <row r="845" spans="28:29" x14ac:dyDescent="0.25">
      <c r="AB845" s="435"/>
      <c r="AC845" s="435"/>
    </row>
    <row r="846" spans="28:29" x14ac:dyDescent="0.25">
      <c r="AB846" s="435"/>
      <c r="AC846" s="435"/>
    </row>
    <row r="847" spans="28:29" x14ac:dyDescent="0.25">
      <c r="AB847" s="435"/>
      <c r="AC847" s="435"/>
    </row>
    <row r="848" spans="28:29" x14ac:dyDescent="0.25">
      <c r="AB848" s="435"/>
      <c r="AC848" s="435"/>
    </row>
    <row r="849" spans="28:29" x14ac:dyDescent="0.25">
      <c r="AB849" s="435"/>
      <c r="AC849" s="435"/>
    </row>
    <row r="850" spans="28:29" x14ac:dyDescent="0.25">
      <c r="AB850" s="435"/>
      <c r="AC850" s="435"/>
    </row>
    <row r="851" spans="28:29" x14ac:dyDescent="0.25">
      <c r="AB851" s="435"/>
      <c r="AC851" s="435"/>
    </row>
    <row r="852" spans="28:29" x14ac:dyDescent="0.25">
      <c r="AB852" s="435"/>
      <c r="AC852" s="435"/>
    </row>
    <row r="853" spans="28:29" x14ac:dyDescent="0.25">
      <c r="AB853" s="435"/>
      <c r="AC853" s="435"/>
    </row>
    <row r="854" spans="28:29" x14ac:dyDescent="0.25">
      <c r="AB854" s="435"/>
      <c r="AC854" s="435"/>
    </row>
    <row r="855" spans="28:29" x14ac:dyDescent="0.25">
      <c r="AB855" s="435"/>
      <c r="AC855" s="435"/>
    </row>
    <row r="856" spans="28:29" x14ac:dyDescent="0.25">
      <c r="AB856" s="435"/>
      <c r="AC856" s="435"/>
    </row>
    <row r="857" spans="28:29" x14ac:dyDescent="0.25">
      <c r="AB857" s="435"/>
      <c r="AC857" s="435"/>
    </row>
    <row r="858" spans="28:29" x14ac:dyDescent="0.25">
      <c r="AB858" s="435"/>
      <c r="AC858" s="435"/>
    </row>
    <row r="859" spans="28:29" x14ac:dyDescent="0.25">
      <c r="AB859" s="435"/>
      <c r="AC859" s="435"/>
    </row>
    <row r="860" spans="28:29" x14ac:dyDescent="0.25">
      <c r="AB860" s="435"/>
      <c r="AC860" s="435"/>
    </row>
    <row r="861" spans="28:29" x14ac:dyDescent="0.25">
      <c r="AB861" s="435"/>
      <c r="AC861" s="435"/>
    </row>
    <row r="862" spans="28:29" x14ac:dyDescent="0.25">
      <c r="AB862" s="435"/>
      <c r="AC862" s="435"/>
    </row>
    <row r="863" spans="28:29" x14ac:dyDescent="0.25">
      <c r="AB863" s="435"/>
      <c r="AC863" s="435"/>
    </row>
    <row r="864" spans="28:29" x14ac:dyDescent="0.25">
      <c r="AB864" s="435"/>
      <c r="AC864" s="435"/>
    </row>
    <row r="865" spans="28:29" x14ac:dyDescent="0.25">
      <c r="AB865" s="435"/>
      <c r="AC865" s="435"/>
    </row>
    <row r="866" spans="28:29" x14ac:dyDescent="0.25">
      <c r="AB866" s="435"/>
      <c r="AC866" s="435"/>
    </row>
    <row r="867" spans="28:29" x14ac:dyDescent="0.25">
      <c r="AB867" s="435"/>
      <c r="AC867" s="435"/>
    </row>
    <row r="868" spans="28:29" x14ac:dyDescent="0.25">
      <c r="AB868" s="435"/>
      <c r="AC868" s="435"/>
    </row>
    <row r="869" spans="28:29" x14ac:dyDescent="0.25">
      <c r="AB869" s="435"/>
      <c r="AC869" s="435"/>
    </row>
    <row r="870" spans="28:29" x14ac:dyDescent="0.25">
      <c r="AB870" s="435"/>
      <c r="AC870" s="435"/>
    </row>
    <row r="871" spans="28:29" x14ac:dyDescent="0.25">
      <c r="AB871" s="435"/>
      <c r="AC871" s="435"/>
    </row>
    <row r="872" spans="28:29" x14ac:dyDescent="0.25">
      <c r="AB872" s="435"/>
      <c r="AC872" s="435"/>
    </row>
    <row r="873" spans="28:29" x14ac:dyDescent="0.25">
      <c r="AB873" s="435"/>
      <c r="AC873" s="435"/>
    </row>
    <row r="874" spans="28:29" x14ac:dyDescent="0.25">
      <c r="AB874" s="435"/>
      <c r="AC874" s="435"/>
    </row>
    <row r="875" spans="28:29" x14ac:dyDescent="0.25">
      <c r="AB875" s="435"/>
      <c r="AC875" s="435"/>
    </row>
    <row r="876" spans="28:29" x14ac:dyDescent="0.25">
      <c r="AB876" s="435"/>
      <c r="AC876" s="435"/>
    </row>
    <row r="877" spans="28:29" x14ac:dyDescent="0.25">
      <c r="AB877" s="435"/>
      <c r="AC877" s="435"/>
    </row>
    <row r="878" spans="28:29" x14ac:dyDescent="0.25">
      <c r="AB878" s="435"/>
      <c r="AC878" s="435"/>
    </row>
    <row r="879" spans="28:29" x14ac:dyDescent="0.25">
      <c r="AB879" s="435"/>
      <c r="AC879" s="435"/>
    </row>
    <row r="880" spans="28:29" x14ac:dyDescent="0.25">
      <c r="AB880" s="435"/>
      <c r="AC880" s="435"/>
    </row>
    <row r="881" spans="28:29" x14ac:dyDescent="0.25">
      <c r="AB881" s="435"/>
      <c r="AC881" s="435"/>
    </row>
    <row r="882" spans="28:29" x14ac:dyDescent="0.25">
      <c r="AB882" s="435"/>
      <c r="AC882" s="435"/>
    </row>
    <row r="883" spans="28:29" x14ac:dyDescent="0.25">
      <c r="AB883" s="435"/>
      <c r="AC883" s="435"/>
    </row>
    <row r="884" spans="28:29" x14ac:dyDescent="0.25">
      <c r="AB884" s="435"/>
      <c r="AC884" s="435"/>
    </row>
    <row r="885" spans="28:29" x14ac:dyDescent="0.25">
      <c r="AB885" s="435"/>
      <c r="AC885" s="435"/>
    </row>
    <row r="886" spans="28:29" x14ac:dyDescent="0.25">
      <c r="AB886" s="435"/>
      <c r="AC886" s="435"/>
    </row>
    <row r="887" spans="28:29" x14ac:dyDescent="0.25">
      <c r="AB887" s="435"/>
      <c r="AC887" s="435"/>
    </row>
    <row r="888" spans="28:29" x14ac:dyDescent="0.25">
      <c r="AB888" s="435"/>
      <c r="AC888" s="435"/>
    </row>
    <row r="889" spans="28:29" x14ac:dyDescent="0.25">
      <c r="AB889" s="435"/>
      <c r="AC889" s="435"/>
    </row>
    <row r="890" spans="28:29" x14ac:dyDescent="0.25">
      <c r="AB890" s="435"/>
      <c r="AC890" s="435"/>
    </row>
    <row r="891" spans="28:29" x14ac:dyDescent="0.25">
      <c r="AB891" s="435"/>
      <c r="AC891" s="435"/>
    </row>
    <row r="892" spans="28:29" x14ac:dyDescent="0.25">
      <c r="AB892" s="435"/>
      <c r="AC892" s="435"/>
    </row>
    <row r="893" spans="28:29" x14ac:dyDescent="0.25">
      <c r="AB893" s="435"/>
      <c r="AC893" s="435"/>
    </row>
    <row r="894" spans="28:29" x14ac:dyDescent="0.25">
      <c r="AB894" s="435"/>
      <c r="AC894" s="435"/>
    </row>
    <row r="895" spans="28:29" x14ac:dyDescent="0.25">
      <c r="AB895" s="435"/>
      <c r="AC895" s="435"/>
    </row>
    <row r="896" spans="28:29" x14ac:dyDescent="0.25">
      <c r="AB896" s="435"/>
      <c r="AC896" s="435"/>
    </row>
    <row r="897" spans="28:29" x14ac:dyDescent="0.25">
      <c r="AB897" s="435"/>
      <c r="AC897" s="435"/>
    </row>
    <row r="898" spans="28:29" x14ac:dyDescent="0.25">
      <c r="AB898" s="435"/>
      <c r="AC898" s="435"/>
    </row>
    <row r="899" spans="28:29" x14ac:dyDescent="0.25">
      <c r="AB899" s="435"/>
      <c r="AC899" s="435"/>
    </row>
    <row r="900" spans="28:29" x14ac:dyDescent="0.25">
      <c r="AB900" s="435"/>
      <c r="AC900" s="435"/>
    </row>
    <row r="901" spans="28:29" x14ac:dyDescent="0.25">
      <c r="AB901" s="435"/>
      <c r="AC901" s="435"/>
    </row>
    <row r="902" spans="28:29" x14ac:dyDescent="0.25">
      <c r="AB902" s="435"/>
      <c r="AC902" s="435"/>
    </row>
    <row r="903" spans="28:29" x14ac:dyDescent="0.25">
      <c r="AB903" s="435"/>
      <c r="AC903" s="435"/>
    </row>
    <row r="904" spans="28:29" x14ac:dyDescent="0.25">
      <c r="AB904" s="435"/>
      <c r="AC904" s="435"/>
    </row>
    <row r="905" spans="28:29" x14ac:dyDescent="0.25">
      <c r="AB905" s="435"/>
      <c r="AC905" s="435"/>
    </row>
    <row r="906" spans="28:29" x14ac:dyDescent="0.25">
      <c r="AB906" s="435"/>
      <c r="AC906" s="435"/>
    </row>
    <row r="907" spans="28:29" x14ac:dyDescent="0.25">
      <c r="AB907" s="435"/>
      <c r="AC907" s="435"/>
    </row>
    <row r="908" spans="28:29" x14ac:dyDescent="0.25">
      <c r="AB908" s="435"/>
      <c r="AC908" s="435"/>
    </row>
    <row r="909" spans="28:29" x14ac:dyDescent="0.25">
      <c r="AB909" s="435"/>
      <c r="AC909" s="435"/>
    </row>
    <row r="910" spans="28:29" x14ac:dyDescent="0.25">
      <c r="AB910" s="435"/>
      <c r="AC910" s="435"/>
    </row>
    <row r="911" spans="28:29" x14ac:dyDescent="0.25">
      <c r="AB911" s="435"/>
      <c r="AC911" s="435"/>
    </row>
    <row r="912" spans="28:29" x14ac:dyDescent="0.25">
      <c r="AB912" s="435"/>
      <c r="AC912" s="435"/>
    </row>
    <row r="913" spans="28:29" x14ac:dyDescent="0.25">
      <c r="AB913" s="435"/>
      <c r="AC913" s="435"/>
    </row>
    <row r="914" spans="28:29" x14ac:dyDescent="0.25">
      <c r="AB914" s="435"/>
      <c r="AC914" s="435"/>
    </row>
    <row r="915" spans="28:29" x14ac:dyDescent="0.25">
      <c r="AB915" s="435"/>
      <c r="AC915" s="435"/>
    </row>
    <row r="916" spans="28:29" x14ac:dyDescent="0.25">
      <c r="AB916" s="435"/>
      <c r="AC916" s="435"/>
    </row>
    <row r="917" spans="28:29" x14ac:dyDescent="0.25">
      <c r="AB917" s="435"/>
      <c r="AC917" s="435"/>
    </row>
    <row r="918" spans="28:29" x14ac:dyDescent="0.25">
      <c r="AB918" s="435"/>
      <c r="AC918" s="435"/>
    </row>
    <row r="919" spans="28:29" x14ac:dyDescent="0.25">
      <c r="AB919" s="435"/>
      <c r="AC919" s="435"/>
    </row>
    <row r="920" spans="28:29" x14ac:dyDescent="0.25">
      <c r="AB920" s="435"/>
      <c r="AC920" s="435"/>
    </row>
    <row r="921" spans="28:29" x14ac:dyDescent="0.25">
      <c r="AB921" s="435"/>
      <c r="AC921" s="435"/>
    </row>
    <row r="922" spans="28:29" x14ac:dyDescent="0.25">
      <c r="AB922" s="435"/>
      <c r="AC922" s="435"/>
    </row>
    <row r="923" spans="28:29" x14ac:dyDescent="0.25">
      <c r="AB923" s="435"/>
      <c r="AC923" s="435"/>
    </row>
    <row r="924" spans="28:29" x14ac:dyDescent="0.25">
      <c r="AB924" s="435"/>
      <c r="AC924" s="435"/>
    </row>
    <row r="925" spans="28:29" x14ac:dyDescent="0.25">
      <c r="AB925" s="435"/>
      <c r="AC925" s="435"/>
    </row>
    <row r="926" spans="28:29" x14ac:dyDescent="0.25">
      <c r="AB926" s="435"/>
      <c r="AC926" s="435"/>
    </row>
    <row r="927" spans="28:29" x14ac:dyDescent="0.25">
      <c r="AB927" s="435"/>
      <c r="AC927" s="435"/>
    </row>
    <row r="928" spans="28:29" x14ac:dyDescent="0.25">
      <c r="AB928" s="435"/>
      <c r="AC928" s="435"/>
    </row>
    <row r="929" spans="28:29" x14ac:dyDescent="0.25">
      <c r="AB929" s="435"/>
      <c r="AC929" s="435"/>
    </row>
    <row r="930" spans="28:29" x14ac:dyDescent="0.25">
      <c r="AB930" s="435"/>
      <c r="AC930" s="435"/>
    </row>
    <row r="931" spans="28:29" x14ac:dyDescent="0.25">
      <c r="AB931" s="435"/>
      <c r="AC931" s="435"/>
    </row>
    <row r="932" spans="28:29" x14ac:dyDescent="0.25">
      <c r="AB932" s="435"/>
      <c r="AC932" s="435"/>
    </row>
    <row r="933" spans="28:29" x14ac:dyDescent="0.25">
      <c r="AB933" s="435"/>
      <c r="AC933" s="435"/>
    </row>
    <row r="934" spans="28:29" x14ac:dyDescent="0.25">
      <c r="AB934" s="435"/>
      <c r="AC934" s="435"/>
    </row>
    <row r="935" spans="28:29" x14ac:dyDescent="0.25">
      <c r="AB935" s="435"/>
      <c r="AC935" s="435"/>
    </row>
    <row r="936" spans="28:29" x14ac:dyDescent="0.25">
      <c r="AB936" s="435"/>
      <c r="AC936" s="435"/>
    </row>
    <row r="937" spans="28:29" x14ac:dyDescent="0.25">
      <c r="AB937" s="435"/>
      <c r="AC937" s="435"/>
    </row>
    <row r="938" spans="28:29" x14ac:dyDescent="0.25">
      <c r="AB938" s="435"/>
      <c r="AC938" s="435"/>
    </row>
    <row r="939" spans="28:29" x14ac:dyDescent="0.25">
      <c r="AB939" s="435"/>
      <c r="AC939" s="435"/>
    </row>
    <row r="940" spans="28:29" x14ac:dyDescent="0.25">
      <c r="AB940" s="435"/>
      <c r="AC940" s="435"/>
    </row>
    <row r="941" spans="28:29" x14ac:dyDescent="0.25">
      <c r="AB941" s="435"/>
      <c r="AC941" s="435"/>
    </row>
    <row r="942" spans="28:29" x14ac:dyDescent="0.25">
      <c r="AB942" s="435"/>
      <c r="AC942" s="435"/>
    </row>
    <row r="943" spans="28:29" x14ac:dyDescent="0.25">
      <c r="AB943" s="435"/>
      <c r="AC943" s="435"/>
    </row>
    <row r="944" spans="28:29" x14ac:dyDescent="0.25">
      <c r="AB944" s="435"/>
      <c r="AC944" s="435"/>
    </row>
    <row r="945" spans="28:29" x14ac:dyDescent="0.25">
      <c r="AB945" s="435"/>
      <c r="AC945" s="435"/>
    </row>
    <row r="946" spans="28:29" x14ac:dyDescent="0.25">
      <c r="AB946" s="435"/>
      <c r="AC946" s="435"/>
    </row>
    <row r="947" spans="28:29" x14ac:dyDescent="0.25">
      <c r="AB947" s="435"/>
      <c r="AC947" s="435"/>
    </row>
    <row r="948" spans="28:29" x14ac:dyDescent="0.25">
      <c r="AB948" s="435"/>
      <c r="AC948" s="435"/>
    </row>
    <row r="949" spans="28:29" x14ac:dyDescent="0.25">
      <c r="AB949" s="435"/>
      <c r="AC949" s="435"/>
    </row>
    <row r="950" spans="28:29" x14ac:dyDescent="0.25">
      <c r="AB950" s="435"/>
      <c r="AC950" s="435"/>
    </row>
    <row r="951" spans="28:29" x14ac:dyDescent="0.25">
      <c r="AB951" s="435"/>
      <c r="AC951" s="435"/>
    </row>
    <row r="952" spans="28:29" x14ac:dyDescent="0.25">
      <c r="AB952" s="435"/>
      <c r="AC952" s="435"/>
    </row>
    <row r="953" spans="28:29" x14ac:dyDescent="0.25">
      <c r="AB953" s="435"/>
      <c r="AC953" s="435"/>
    </row>
    <row r="954" spans="28:29" x14ac:dyDescent="0.25">
      <c r="AB954" s="435"/>
      <c r="AC954" s="435"/>
    </row>
    <row r="955" spans="28:29" x14ac:dyDescent="0.25">
      <c r="AB955" s="435"/>
      <c r="AC955" s="435"/>
    </row>
    <row r="956" spans="28:29" x14ac:dyDescent="0.25">
      <c r="AB956" s="435"/>
      <c r="AC956" s="435"/>
    </row>
    <row r="957" spans="28:29" x14ac:dyDescent="0.25">
      <c r="AB957" s="435"/>
      <c r="AC957" s="435"/>
    </row>
    <row r="958" spans="28:29" x14ac:dyDescent="0.25">
      <c r="AB958" s="435"/>
      <c r="AC958" s="435"/>
    </row>
    <row r="959" spans="28:29" x14ac:dyDescent="0.25">
      <c r="AB959" s="435"/>
      <c r="AC959" s="435"/>
    </row>
    <row r="960" spans="28:29" x14ac:dyDescent="0.25">
      <c r="AB960" s="435"/>
      <c r="AC960" s="435"/>
    </row>
    <row r="961" spans="28:29" x14ac:dyDescent="0.25">
      <c r="AB961" s="435"/>
      <c r="AC961" s="435"/>
    </row>
    <row r="962" spans="28:29" x14ac:dyDescent="0.25">
      <c r="AB962" s="435"/>
      <c r="AC962" s="435"/>
    </row>
    <row r="963" spans="28:29" x14ac:dyDescent="0.25">
      <c r="AB963" s="435"/>
      <c r="AC963" s="435"/>
    </row>
    <row r="964" spans="28:29" x14ac:dyDescent="0.25">
      <c r="AB964" s="435"/>
      <c r="AC964" s="435"/>
    </row>
    <row r="965" spans="28:29" x14ac:dyDescent="0.25">
      <c r="AB965" s="435"/>
      <c r="AC965" s="435"/>
    </row>
    <row r="966" spans="28:29" x14ac:dyDescent="0.25">
      <c r="AB966" s="435"/>
      <c r="AC966" s="435"/>
    </row>
    <row r="967" spans="28:29" x14ac:dyDescent="0.25">
      <c r="AB967" s="435"/>
      <c r="AC967" s="435"/>
    </row>
    <row r="968" spans="28:29" x14ac:dyDescent="0.25">
      <c r="AB968" s="435"/>
      <c r="AC968" s="435"/>
    </row>
    <row r="969" spans="28:29" x14ac:dyDescent="0.25">
      <c r="AB969" s="435"/>
      <c r="AC969" s="435"/>
    </row>
    <row r="970" spans="28:29" x14ac:dyDescent="0.25">
      <c r="AB970" s="435"/>
      <c r="AC970" s="435"/>
    </row>
    <row r="971" spans="28:29" x14ac:dyDescent="0.25">
      <c r="AB971" s="435"/>
      <c r="AC971" s="435"/>
    </row>
    <row r="972" spans="28:29" x14ac:dyDescent="0.25">
      <c r="AB972" s="435"/>
      <c r="AC972" s="435"/>
    </row>
    <row r="973" spans="28:29" x14ac:dyDescent="0.25">
      <c r="AB973" s="435"/>
      <c r="AC973" s="435"/>
    </row>
    <row r="974" spans="28:29" x14ac:dyDescent="0.25">
      <c r="AB974" s="435"/>
      <c r="AC974" s="435"/>
    </row>
    <row r="975" spans="28:29" x14ac:dyDescent="0.25">
      <c r="AB975" s="435"/>
      <c r="AC975" s="435"/>
    </row>
    <row r="976" spans="28:29" x14ac:dyDescent="0.25">
      <c r="AB976" s="435"/>
      <c r="AC976" s="435"/>
    </row>
    <row r="977" spans="28:29" x14ac:dyDescent="0.25">
      <c r="AB977" s="435"/>
      <c r="AC977" s="435"/>
    </row>
    <row r="978" spans="28:29" x14ac:dyDescent="0.25">
      <c r="AB978" s="435"/>
      <c r="AC978" s="435"/>
    </row>
    <row r="979" spans="28:29" x14ac:dyDescent="0.25">
      <c r="AB979" s="435"/>
      <c r="AC979" s="435"/>
    </row>
    <row r="980" spans="28:29" x14ac:dyDescent="0.25">
      <c r="AB980" s="435"/>
      <c r="AC980" s="435"/>
    </row>
    <row r="981" spans="28:29" x14ac:dyDescent="0.25">
      <c r="AB981" s="435"/>
      <c r="AC981" s="435"/>
    </row>
    <row r="982" spans="28:29" x14ac:dyDescent="0.25">
      <c r="AB982" s="435"/>
      <c r="AC982" s="435"/>
    </row>
    <row r="983" spans="28:29" x14ac:dyDescent="0.25">
      <c r="AB983" s="435"/>
      <c r="AC983" s="435"/>
    </row>
    <row r="984" spans="28:29" x14ac:dyDescent="0.25">
      <c r="AB984" s="435"/>
      <c r="AC984" s="435"/>
    </row>
    <row r="985" spans="28:29" x14ac:dyDescent="0.25">
      <c r="AB985" s="435"/>
      <c r="AC985" s="435"/>
    </row>
    <row r="986" spans="28:29" x14ac:dyDescent="0.25">
      <c r="AB986" s="435"/>
      <c r="AC986" s="435"/>
    </row>
    <row r="987" spans="28:29" x14ac:dyDescent="0.25">
      <c r="AB987" s="435"/>
      <c r="AC987" s="435"/>
    </row>
    <row r="988" spans="28:29" x14ac:dyDescent="0.25">
      <c r="AB988" s="435"/>
      <c r="AC988" s="435"/>
    </row>
    <row r="989" spans="28:29" x14ac:dyDescent="0.25">
      <c r="AB989" s="435"/>
      <c r="AC989" s="435"/>
    </row>
    <row r="990" spans="28:29" x14ac:dyDescent="0.25">
      <c r="AB990" s="435"/>
      <c r="AC990" s="435"/>
    </row>
    <row r="991" spans="28:29" x14ac:dyDescent="0.25">
      <c r="AB991" s="435"/>
      <c r="AC991" s="435"/>
    </row>
    <row r="992" spans="28:29" x14ac:dyDescent="0.25">
      <c r="AB992" s="435"/>
      <c r="AC992" s="435"/>
    </row>
    <row r="993" spans="28:29" x14ac:dyDescent="0.25">
      <c r="AB993" s="435"/>
      <c r="AC993" s="435"/>
    </row>
    <row r="994" spans="28:29" x14ac:dyDescent="0.25">
      <c r="AB994" s="435"/>
      <c r="AC994" s="435"/>
    </row>
    <row r="995" spans="28:29" x14ac:dyDescent="0.25">
      <c r="AB995" s="435"/>
      <c r="AC995" s="435"/>
    </row>
    <row r="996" spans="28:29" x14ac:dyDescent="0.25">
      <c r="AB996" s="435"/>
      <c r="AC996" s="435"/>
    </row>
    <row r="997" spans="28:29" x14ac:dyDescent="0.25">
      <c r="AB997" s="435"/>
      <c r="AC997" s="435"/>
    </row>
    <row r="998" spans="28:29" x14ac:dyDescent="0.25">
      <c r="AB998" s="435"/>
      <c r="AC998" s="435"/>
    </row>
    <row r="999" spans="28:29" x14ac:dyDescent="0.25">
      <c r="AB999" s="435"/>
      <c r="AC999" s="435"/>
    </row>
    <row r="1000" spans="28:29" x14ac:dyDescent="0.25">
      <c r="AB1000" s="435"/>
      <c r="AC1000" s="435"/>
    </row>
    <row r="1001" spans="28:29" x14ac:dyDescent="0.25">
      <c r="AB1001" s="435"/>
      <c r="AC1001" s="435"/>
    </row>
    <row r="1002" spans="28:29" x14ac:dyDescent="0.25">
      <c r="AB1002" s="435"/>
      <c r="AC1002" s="435"/>
    </row>
    <row r="1003" spans="28:29" x14ac:dyDescent="0.25">
      <c r="AB1003" s="435"/>
      <c r="AC1003" s="435"/>
    </row>
    <row r="1004" spans="28:29" x14ac:dyDescent="0.25">
      <c r="AB1004" s="435"/>
      <c r="AC1004" s="435"/>
    </row>
    <row r="1005" spans="28:29" x14ac:dyDescent="0.25">
      <c r="AB1005" s="435"/>
      <c r="AC1005" s="435"/>
    </row>
    <row r="1006" spans="28:29" x14ac:dyDescent="0.25">
      <c r="AB1006" s="435"/>
      <c r="AC1006" s="435"/>
    </row>
    <row r="1007" spans="28:29" x14ac:dyDescent="0.25">
      <c r="AB1007" s="435"/>
      <c r="AC1007" s="435"/>
    </row>
    <row r="1008" spans="28:29" x14ac:dyDescent="0.25">
      <c r="AB1008" s="435"/>
      <c r="AC1008" s="435"/>
    </row>
    <row r="1009" spans="28:29" x14ac:dyDescent="0.25">
      <c r="AB1009" s="435"/>
      <c r="AC1009" s="435"/>
    </row>
    <row r="1010" spans="28:29" x14ac:dyDescent="0.25">
      <c r="AB1010" s="435"/>
      <c r="AC1010" s="435"/>
    </row>
    <row r="1011" spans="28:29" x14ac:dyDescent="0.25">
      <c r="AB1011" s="435"/>
      <c r="AC1011" s="435"/>
    </row>
    <row r="1012" spans="28:29" x14ac:dyDescent="0.25">
      <c r="AB1012" s="435"/>
      <c r="AC1012" s="435"/>
    </row>
    <row r="1013" spans="28:29" x14ac:dyDescent="0.25">
      <c r="AB1013" s="435"/>
      <c r="AC1013" s="435"/>
    </row>
    <row r="1014" spans="28:29" x14ac:dyDescent="0.25">
      <c r="AB1014" s="435"/>
      <c r="AC1014" s="435"/>
    </row>
    <row r="1015" spans="28:29" x14ac:dyDescent="0.25">
      <c r="AB1015" s="435"/>
      <c r="AC1015" s="435"/>
    </row>
    <row r="1016" spans="28:29" x14ac:dyDescent="0.25">
      <c r="AB1016" s="435"/>
      <c r="AC1016" s="435"/>
    </row>
    <row r="1017" spans="28:29" x14ac:dyDescent="0.25">
      <c r="AB1017" s="435"/>
      <c r="AC1017" s="435"/>
    </row>
    <row r="1018" spans="28:29" x14ac:dyDescent="0.25">
      <c r="AB1018" s="435"/>
      <c r="AC1018" s="435"/>
    </row>
    <row r="1019" spans="28:29" x14ac:dyDescent="0.25">
      <c r="AB1019" s="435"/>
      <c r="AC1019" s="435"/>
    </row>
    <row r="1020" spans="28:29" x14ac:dyDescent="0.25">
      <c r="AB1020" s="435"/>
      <c r="AC1020" s="435"/>
    </row>
    <row r="1021" spans="28:29" x14ac:dyDescent="0.25">
      <c r="AB1021" s="435"/>
      <c r="AC1021" s="435"/>
    </row>
    <row r="1022" spans="28:29" x14ac:dyDescent="0.25">
      <c r="AB1022" s="435"/>
      <c r="AC1022" s="435"/>
    </row>
    <row r="1023" spans="28:29" x14ac:dyDescent="0.25">
      <c r="AB1023" s="435"/>
      <c r="AC1023" s="435"/>
    </row>
    <row r="1024" spans="28:29" x14ac:dyDescent="0.25">
      <c r="AB1024" s="435"/>
      <c r="AC1024" s="435"/>
    </row>
    <row r="1025" spans="28:29" x14ac:dyDescent="0.25">
      <c r="AB1025" s="435"/>
      <c r="AC1025" s="435"/>
    </row>
    <row r="1026" spans="28:29" x14ac:dyDescent="0.25">
      <c r="AB1026" s="435"/>
      <c r="AC1026" s="435"/>
    </row>
    <row r="1027" spans="28:29" x14ac:dyDescent="0.25">
      <c r="AB1027" s="435"/>
      <c r="AC1027" s="435"/>
    </row>
    <row r="1028" spans="28:29" x14ac:dyDescent="0.25">
      <c r="AB1028" s="435"/>
      <c r="AC1028" s="435"/>
    </row>
    <row r="1029" spans="28:29" x14ac:dyDescent="0.25">
      <c r="AB1029" s="435"/>
      <c r="AC1029" s="435"/>
    </row>
    <row r="1030" spans="28:29" x14ac:dyDescent="0.25">
      <c r="AB1030" s="435"/>
      <c r="AC1030" s="435"/>
    </row>
    <row r="1031" spans="28:29" x14ac:dyDescent="0.25">
      <c r="AB1031" s="435"/>
      <c r="AC1031" s="435"/>
    </row>
    <row r="1032" spans="28:29" x14ac:dyDescent="0.25">
      <c r="AB1032" s="435"/>
      <c r="AC1032" s="435"/>
    </row>
    <row r="1033" spans="28:29" x14ac:dyDescent="0.25">
      <c r="AB1033" s="435"/>
      <c r="AC1033" s="435"/>
    </row>
    <row r="1034" spans="28:29" x14ac:dyDescent="0.25">
      <c r="AB1034" s="435"/>
      <c r="AC1034" s="435"/>
    </row>
    <row r="1035" spans="28:29" x14ac:dyDescent="0.25">
      <c r="AB1035" s="435"/>
      <c r="AC1035" s="435"/>
    </row>
    <row r="1036" spans="28:29" x14ac:dyDescent="0.25">
      <c r="AB1036" s="435"/>
      <c r="AC1036" s="435"/>
    </row>
    <row r="1037" spans="28:29" x14ac:dyDescent="0.25">
      <c r="AB1037" s="435"/>
      <c r="AC1037" s="435"/>
    </row>
    <row r="1038" spans="28:29" x14ac:dyDescent="0.25">
      <c r="AB1038" s="435"/>
      <c r="AC1038" s="435"/>
    </row>
    <row r="1039" spans="28:29" x14ac:dyDescent="0.25">
      <c r="AB1039" s="435"/>
      <c r="AC1039" s="435"/>
    </row>
    <row r="1040" spans="28:29" x14ac:dyDescent="0.25">
      <c r="AB1040" s="435"/>
      <c r="AC1040" s="435"/>
    </row>
    <row r="1041" spans="28:29" x14ac:dyDescent="0.25">
      <c r="AB1041" s="435"/>
      <c r="AC1041" s="435"/>
    </row>
    <row r="1042" spans="28:29" x14ac:dyDescent="0.25">
      <c r="AB1042" s="435"/>
      <c r="AC1042" s="435"/>
    </row>
    <row r="1043" spans="28:29" x14ac:dyDescent="0.25">
      <c r="AB1043" s="435"/>
      <c r="AC1043" s="435"/>
    </row>
    <row r="1044" spans="28:29" x14ac:dyDescent="0.25">
      <c r="AB1044" s="435"/>
      <c r="AC1044" s="435"/>
    </row>
    <row r="1045" spans="28:29" x14ac:dyDescent="0.25">
      <c r="AB1045" s="435"/>
      <c r="AC1045" s="435"/>
    </row>
    <row r="1046" spans="28:29" x14ac:dyDescent="0.25">
      <c r="AB1046" s="435"/>
      <c r="AC1046" s="435"/>
    </row>
    <row r="1047" spans="28:29" x14ac:dyDescent="0.25">
      <c r="AB1047" s="435"/>
      <c r="AC1047" s="435"/>
    </row>
    <row r="1048" spans="28:29" x14ac:dyDescent="0.25">
      <c r="AB1048" s="435"/>
      <c r="AC1048" s="435"/>
    </row>
    <row r="1049" spans="28:29" x14ac:dyDescent="0.25">
      <c r="AB1049" s="435"/>
      <c r="AC1049" s="435"/>
    </row>
    <row r="1050" spans="28:29" x14ac:dyDescent="0.25">
      <c r="AB1050" s="435"/>
      <c r="AC1050" s="435"/>
    </row>
    <row r="1051" spans="28:29" x14ac:dyDescent="0.25">
      <c r="AB1051" s="435"/>
      <c r="AC1051" s="435"/>
    </row>
    <row r="1052" spans="28:29" x14ac:dyDescent="0.25">
      <c r="AB1052" s="435"/>
      <c r="AC1052" s="435"/>
    </row>
    <row r="1053" spans="28:29" x14ac:dyDescent="0.25">
      <c r="AB1053" s="435"/>
      <c r="AC1053" s="435"/>
    </row>
    <row r="1054" spans="28:29" x14ac:dyDescent="0.25">
      <c r="AB1054" s="435"/>
      <c r="AC1054" s="435"/>
    </row>
    <row r="1055" spans="28:29" x14ac:dyDescent="0.25">
      <c r="AB1055" s="435"/>
      <c r="AC1055" s="435"/>
    </row>
    <row r="1056" spans="28:29" x14ac:dyDescent="0.25">
      <c r="AB1056" s="435"/>
      <c r="AC1056" s="435"/>
    </row>
    <row r="1057" spans="28:29" x14ac:dyDescent="0.25">
      <c r="AB1057" s="435"/>
      <c r="AC1057" s="435"/>
    </row>
    <row r="1058" spans="28:29" x14ac:dyDescent="0.25">
      <c r="AB1058" s="435"/>
      <c r="AC1058" s="435"/>
    </row>
    <row r="1059" spans="28:29" x14ac:dyDescent="0.25">
      <c r="AB1059" s="435"/>
      <c r="AC1059" s="435"/>
    </row>
    <row r="1060" spans="28:29" x14ac:dyDescent="0.25">
      <c r="AB1060" s="435"/>
      <c r="AC1060" s="435"/>
    </row>
    <row r="1061" spans="28:29" x14ac:dyDescent="0.25">
      <c r="AB1061" s="435"/>
      <c r="AC1061" s="435"/>
    </row>
    <row r="1062" spans="28:29" x14ac:dyDescent="0.25">
      <c r="AB1062" s="435"/>
      <c r="AC1062" s="435"/>
    </row>
    <row r="1063" spans="28:29" x14ac:dyDescent="0.25">
      <c r="AB1063" s="435"/>
      <c r="AC1063" s="435"/>
    </row>
    <row r="1064" spans="28:29" x14ac:dyDescent="0.25">
      <c r="AB1064" s="435"/>
      <c r="AC1064" s="435"/>
    </row>
    <row r="1065" spans="28:29" x14ac:dyDescent="0.25">
      <c r="AB1065" s="435"/>
      <c r="AC1065" s="435"/>
    </row>
    <row r="1066" spans="28:29" x14ac:dyDescent="0.25">
      <c r="AB1066" s="435"/>
      <c r="AC1066" s="435"/>
    </row>
    <row r="1067" spans="28:29" x14ac:dyDescent="0.25">
      <c r="AB1067" s="435"/>
      <c r="AC1067" s="435"/>
    </row>
    <row r="1068" spans="28:29" x14ac:dyDescent="0.25">
      <c r="AB1068" s="435"/>
      <c r="AC1068" s="435"/>
    </row>
    <row r="1069" spans="28:29" x14ac:dyDescent="0.25">
      <c r="AB1069" s="435"/>
      <c r="AC1069" s="435"/>
    </row>
    <row r="1070" spans="28:29" x14ac:dyDescent="0.25">
      <c r="AB1070" s="435"/>
      <c r="AC1070" s="435"/>
    </row>
    <row r="1071" spans="28:29" x14ac:dyDescent="0.25">
      <c r="AB1071" s="435"/>
      <c r="AC1071" s="435"/>
    </row>
    <row r="1072" spans="28:29" x14ac:dyDescent="0.25">
      <c r="AB1072" s="435"/>
      <c r="AC1072" s="435"/>
    </row>
    <row r="1073" spans="28:29" x14ac:dyDescent="0.25">
      <c r="AB1073" s="435"/>
      <c r="AC1073" s="435"/>
    </row>
    <row r="1074" spans="28:29" x14ac:dyDescent="0.25">
      <c r="AB1074" s="435"/>
      <c r="AC1074" s="435"/>
    </row>
    <row r="1075" spans="28:29" x14ac:dyDescent="0.25">
      <c r="AB1075" s="435"/>
      <c r="AC1075" s="435"/>
    </row>
    <row r="1076" spans="28:29" x14ac:dyDescent="0.25">
      <c r="AB1076" s="435"/>
      <c r="AC1076" s="435"/>
    </row>
    <row r="1077" spans="28:29" x14ac:dyDescent="0.25">
      <c r="AB1077" s="435"/>
      <c r="AC1077" s="435"/>
    </row>
    <row r="1078" spans="28:29" x14ac:dyDescent="0.25">
      <c r="AB1078" s="435"/>
      <c r="AC1078" s="435"/>
    </row>
    <row r="1079" spans="28:29" x14ac:dyDescent="0.25">
      <c r="AB1079" s="435"/>
      <c r="AC1079" s="435"/>
    </row>
    <row r="1080" spans="28:29" x14ac:dyDescent="0.25">
      <c r="AB1080" s="435"/>
      <c r="AC1080" s="435"/>
    </row>
    <row r="1081" spans="28:29" x14ac:dyDescent="0.25">
      <c r="AB1081" s="435"/>
      <c r="AC1081" s="435"/>
    </row>
    <row r="1082" spans="28:29" x14ac:dyDescent="0.25">
      <c r="AB1082" s="435"/>
      <c r="AC1082" s="435"/>
    </row>
    <row r="1083" spans="28:29" x14ac:dyDescent="0.25">
      <c r="AB1083" s="435"/>
      <c r="AC1083" s="435"/>
    </row>
    <row r="1084" spans="28:29" x14ac:dyDescent="0.25">
      <c r="AB1084" s="435"/>
      <c r="AC1084" s="435"/>
    </row>
    <row r="1085" spans="28:29" x14ac:dyDescent="0.25">
      <c r="AB1085" s="435"/>
      <c r="AC1085" s="435"/>
    </row>
    <row r="1086" spans="28:29" x14ac:dyDescent="0.25">
      <c r="AB1086" s="435"/>
      <c r="AC1086" s="435"/>
    </row>
    <row r="1087" spans="28:29" x14ac:dyDescent="0.25">
      <c r="AB1087" s="435"/>
      <c r="AC1087" s="435"/>
    </row>
    <row r="1088" spans="28:29" x14ac:dyDescent="0.25">
      <c r="AB1088" s="435"/>
      <c r="AC1088" s="435"/>
    </row>
    <row r="1089" spans="28:29" x14ac:dyDescent="0.25">
      <c r="AB1089" s="435"/>
      <c r="AC1089" s="435"/>
    </row>
    <row r="1090" spans="28:29" x14ac:dyDescent="0.25">
      <c r="AB1090" s="435"/>
      <c r="AC1090" s="435"/>
    </row>
    <row r="1091" spans="28:29" x14ac:dyDescent="0.25">
      <c r="AB1091" s="435"/>
      <c r="AC1091" s="435"/>
    </row>
    <row r="1092" spans="28:29" x14ac:dyDescent="0.25">
      <c r="AB1092" s="435"/>
      <c r="AC1092" s="435"/>
    </row>
    <row r="1093" spans="28:29" x14ac:dyDescent="0.25">
      <c r="AB1093" s="435"/>
      <c r="AC1093" s="435"/>
    </row>
    <row r="1094" spans="28:29" x14ac:dyDescent="0.25">
      <c r="AB1094" s="435"/>
      <c r="AC1094" s="435"/>
    </row>
    <row r="1095" spans="28:29" x14ac:dyDescent="0.25">
      <c r="AB1095" s="435"/>
      <c r="AC1095" s="435"/>
    </row>
    <row r="1096" spans="28:29" x14ac:dyDescent="0.25">
      <c r="AB1096" s="435"/>
      <c r="AC1096" s="435"/>
    </row>
    <row r="1097" spans="28:29" x14ac:dyDescent="0.25">
      <c r="AB1097" s="435"/>
      <c r="AC1097" s="435"/>
    </row>
    <row r="1098" spans="28:29" x14ac:dyDescent="0.25">
      <c r="AB1098" s="435"/>
      <c r="AC1098" s="435"/>
    </row>
    <row r="1099" spans="28:29" x14ac:dyDescent="0.25">
      <c r="AB1099" s="435"/>
      <c r="AC1099" s="435"/>
    </row>
    <row r="1100" spans="28:29" x14ac:dyDescent="0.25">
      <c r="AB1100" s="435"/>
      <c r="AC1100" s="435"/>
    </row>
    <row r="1101" spans="28:29" x14ac:dyDescent="0.25">
      <c r="AB1101" s="435"/>
      <c r="AC1101" s="435"/>
    </row>
    <row r="1102" spans="28:29" x14ac:dyDescent="0.25">
      <c r="AB1102" s="435"/>
      <c r="AC1102" s="435"/>
    </row>
    <row r="1103" spans="28:29" x14ac:dyDescent="0.25">
      <c r="AB1103" s="435"/>
      <c r="AC1103" s="435"/>
    </row>
    <row r="1104" spans="28:29" x14ac:dyDescent="0.25">
      <c r="AB1104" s="435"/>
      <c r="AC1104" s="435"/>
    </row>
    <row r="1105" spans="28:29" x14ac:dyDescent="0.25">
      <c r="AB1105" s="435"/>
      <c r="AC1105" s="435"/>
    </row>
    <row r="1106" spans="28:29" x14ac:dyDescent="0.25">
      <c r="AB1106" s="435"/>
      <c r="AC1106" s="435"/>
    </row>
    <row r="1107" spans="28:29" x14ac:dyDescent="0.25">
      <c r="AB1107" s="435"/>
      <c r="AC1107" s="435"/>
    </row>
    <row r="1108" spans="28:29" x14ac:dyDescent="0.25">
      <c r="AB1108" s="435"/>
      <c r="AC1108" s="435"/>
    </row>
    <row r="1109" spans="28:29" x14ac:dyDescent="0.25">
      <c r="AB1109" s="435"/>
      <c r="AC1109" s="435"/>
    </row>
    <row r="1110" spans="28:29" x14ac:dyDescent="0.25">
      <c r="AB1110" s="435"/>
      <c r="AC1110" s="435"/>
    </row>
    <row r="1111" spans="28:29" x14ac:dyDescent="0.25">
      <c r="AB1111" s="435"/>
      <c r="AC1111" s="435"/>
    </row>
    <row r="1112" spans="28:29" x14ac:dyDescent="0.25">
      <c r="AB1112" s="435"/>
      <c r="AC1112" s="435"/>
    </row>
    <row r="1113" spans="28:29" x14ac:dyDescent="0.25">
      <c r="AB1113" s="435"/>
      <c r="AC1113" s="435"/>
    </row>
    <row r="1114" spans="28:29" x14ac:dyDescent="0.25">
      <c r="AB1114" s="435"/>
      <c r="AC1114" s="435"/>
    </row>
    <row r="1115" spans="28:29" x14ac:dyDescent="0.25">
      <c r="AB1115" s="435"/>
      <c r="AC1115" s="435"/>
    </row>
    <row r="1116" spans="28:29" x14ac:dyDescent="0.25">
      <c r="AB1116" s="435"/>
      <c r="AC1116" s="435"/>
    </row>
    <row r="1117" spans="28:29" x14ac:dyDescent="0.25">
      <c r="AB1117" s="435"/>
      <c r="AC1117" s="435"/>
    </row>
    <row r="1118" spans="28:29" x14ac:dyDescent="0.25">
      <c r="AB1118" s="435"/>
      <c r="AC1118" s="435"/>
    </row>
    <row r="1119" spans="28:29" x14ac:dyDescent="0.25">
      <c r="AB1119" s="435"/>
      <c r="AC1119" s="435"/>
    </row>
    <row r="1120" spans="28:29" x14ac:dyDescent="0.25">
      <c r="AB1120" s="435"/>
      <c r="AC1120" s="435"/>
    </row>
    <row r="1121" spans="28:29" x14ac:dyDescent="0.25">
      <c r="AB1121" s="435"/>
      <c r="AC1121" s="435"/>
    </row>
    <row r="1122" spans="28:29" x14ac:dyDescent="0.25">
      <c r="AB1122" s="435"/>
      <c r="AC1122" s="435"/>
    </row>
    <row r="1123" spans="28:29" x14ac:dyDescent="0.25">
      <c r="AB1123" s="435"/>
      <c r="AC1123" s="435"/>
    </row>
    <row r="1124" spans="28:29" x14ac:dyDescent="0.25">
      <c r="AB1124" s="435"/>
      <c r="AC1124" s="435"/>
    </row>
    <row r="1125" spans="28:29" x14ac:dyDescent="0.25">
      <c r="AB1125" s="435"/>
      <c r="AC1125" s="435"/>
    </row>
    <row r="1126" spans="28:29" x14ac:dyDescent="0.25">
      <c r="AB1126" s="435"/>
      <c r="AC1126" s="435"/>
    </row>
    <row r="1127" spans="28:29" x14ac:dyDescent="0.25">
      <c r="AB1127" s="435"/>
      <c r="AC1127" s="435"/>
    </row>
    <row r="1128" spans="28:29" x14ac:dyDescent="0.25">
      <c r="AB1128" s="435"/>
      <c r="AC1128" s="435"/>
    </row>
    <row r="1129" spans="28:29" x14ac:dyDescent="0.25">
      <c r="AB1129" s="435"/>
      <c r="AC1129" s="435"/>
    </row>
    <row r="1130" spans="28:29" x14ac:dyDescent="0.25">
      <c r="AB1130" s="435"/>
      <c r="AC1130" s="435"/>
    </row>
    <row r="1131" spans="28:29" x14ac:dyDescent="0.25">
      <c r="AB1131" s="435"/>
      <c r="AC1131" s="435"/>
    </row>
    <row r="1132" spans="28:29" x14ac:dyDescent="0.25">
      <c r="AB1132" s="435"/>
      <c r="AC1132" s="435"/>
    </row>
    <row r="1133" spans="28:29" x14ac:dyDescent="0.25">
      <c r="AB1133" s="435"/>
      <c r="AC1133" s="435"/>
    </row>
    <row r="1134" spans="28:29" x14ac:dyDescent="0.25">
      <c r="AB1134" s="435"/>
      <c r="AC1134" s="435"/>
    </row>
    <row r="1135" spans="28:29" x14ac:dyDescent="0.25">
      <c r="AB1135" s="435"/>
      <c r="AC1135" s="435"/>
    </row>
    <row r="1136" spans="28:29" x14ac:dyDescent="0.25">
      <c r="AB1136" s="435"/>
      <c r="AC1136" s="435"/>
    </row>
    <row r="1137" spans="28:29" x14ac:dyDescent="0.25">
      <c r="AB1137" s="435"/>
      <c r="AC1137" s="435"/>
    </row>
    <row r="1138" spans="28:29" x14ac:dyDescent="0.25">
      <c r="AB1138" s="435"/>
      <c r="AC1138" s="435"/>
    </row>
    <row r="1139" spans="28:29" x14ac:dyDescent="0.25">
      <c r="AB1139" s="435"/>
      <c r="AC1139" s="435"/>
    </row>
    <row r="1140" spans="28:29" x14ac:dyDescent="0.25">
      <c r="AB1140" s="435"/>
      <c r="AC1140" s="435"/>
    </row>
    <row r="1141" spans="28:29" x14ac:dyDescent="0.25">
      <c r="AB1141" s="435"/>
      <c r="AC1141" s="435"/>
    </row>
    <row r="1142" spans="28:29" x14ac:dyDescent="0.25">
      <c r="AB1142" s="435"/>
      <c r="AC1142" s="435"/>
    </row>
    <row r="1143" spans="28:29" x14ac:dyDescent="0.25">
      <c r="AB1143" s="435"/>
      <c r="AC1143" s="435"/>
    </row>
    <row r="1144" spans="28:29" x14ac:dyDescent="0.25">
      <c r="AB1144" s="435"/>
      <c r="AC1144" s="435"/>
    </row>
    <row r="1145" spans="28:29" x14ac:dyDescent="0.25">
      <c r="AB1145" s="435"/>
      <c r="AC1145" s="435"/>
    </row>
    <row r="1146" spans="28:29" x14ac:dyDescent="0.25">
      <c r="AB1146" s="435"/>
      <c r="AC1146" s="435"/>
    </row>
    <row r="1147" spans="28:29" x14ac:dyDescent="0.25">
      <c r="AB1147" s="435"/>
      <c r="AC1147" s="435"/>
    </row>
    <row r="1148" spans="28:29" x14ac:dyDescent="0.25">
      <c r="AB1148" s="435"/>
      <c r="AC1148" s="435"/>
    </row>
    <row r="1149" spans="28:29" x14ac:dyDescent="0.25">
      <c r="AB1149" s="435"/>
      <c r="AC1149" s="435"/>
    </row>
    <row r="1150" spans="28:29" x14ac:dyDescent="0.25">
      <c r="AB1150" s="435"/>
      <c r="AC1150" s="435"/>
    </row>
    <row r="1151" spans="28:29" x14ac:dyDescent="0.25">
      <c r="AB1151" s="435"/>
      <c r="AC1151" s="435"/>
    </row>
    <row r="1152" spans="28:29" x14ac:dyDescent="0.25">
      <c r="AB1152" s="435"/>
      <c r="AC1152" s="435"/>
    </row>
    <row r="1153" spans="28:29" x14ac:dyDescent="0.25">
      <c r="AB1153" s="435"/>
      <c r="AC1153" s="435"/>
    </row>
    <row r="1154" spans="28:29" x14ac:dyDescent="0.25">
      <c r="AB1154" s="435"/>
      <c r="AC1154" s="435"/>
    </row>
    <row r="1155" spans="28:29" x14ac:dyDescent="0.25">
      <c r="AB1155" s="435"/>
      <c r="AC1155" s="435"/>
    </row>
    <row r="1156" spans="28:29" x14ac:dyDescent="0.25">
      <c r="AB1156" s="435"/>
      <c r="AC1156" s="435"/>
    </row>
    <row r="1157" spans="28:29" x14ac:dyDescent="0.25">
      <c r="AB1157" s="435"/>
      <c r="AC1157" s="435"/>
    </row>
    <row r="1158" spans="28:29" x14ac:dyDescent="0.25">
      <c r="AB1158" s="435"/>
      <c r="AC1158" s="435"/>
    </row>
    <row r="1159" spans="28:29" x14ac:dyDescent="0.25">
      <c r="AB1159" s="435"/>
      <c r="AC1159" s="435"/>
    </row>
    <row r="1160" spans="28:29" x14ac:dyDescent="0.25">
      <c r="AB1160" s="435"/>
      <c r="AC1160" s="435"/>
    </row>
    <row r="1161" spans="28:29" x14ac:dyDescent="0.25">
      <c r="AB1161" s="435"/>
      <c r="AC1161" s="435"/>
    </row>
    <row r="1162" spans="28:29" x14ac:dyDescent="0.25">
      <c r="AB1162" s="435"/>
      <c r="AC1162" s="435"/>
    </row>
    <row r="1163" spans="28:29" x14ac:dyDescent="0.25">
      <c r="AB1163" s="435"/>
      <c r="AC1163" s="435"/>
    </row>
    <row r="1164" spans="28:29" x14ac:dyDescent="0.25">
      <c r="AB1164" s="435"/>
      <c r="AC1164" s="435"/>
    </row>
    <row r="1165" spans="28:29" x14ac:dyDescent="0.25">
      <c r="AB1165" s="435"/>
      <c r="AC1165" s="435"/>
    </row>
    <row r="1166" spans="28:29" x14ac:dyDescent="0.25">
      <c r="AB1166" s="435"/>
      <c r="AC1166" s="435"/>
    </row>
    <row r="1167" spans="28:29" x14ac:dyDescent="0.25">
      <c r="AB1167" s="435"/>
      <c r="AC1167" s="435"/>
    </row>
    <row r="1168" spans="28:29" x14ac:dyDescent="0.25">
      <c r="AB1168" s="435"/>
      <c r="AC1168" s="435"/>
    </row>
    <row r="1169" spans="28:29" x14ac:dyDescent="0.25">
      <c r="AB1169" s="435"/>
      <c r="AC1169" s="435"/>
    </row>
    <row r="1170" spans="28:29" x14ac:dyDescent="0.25">
      <c r="AB1170" s="435"/>
      <c r="AC1170" s="435"/>
    </row>
    <row r="1171" spans="28:29" x14ac:dyDescent="0.25">
      <c r="AB1171" s="435"/>
      <c r="AC1171" s="435"/>
    </row>
    <row r="1172" spans="28:29" x14ac:dyDescent="0.25">
      <c r="AB1172" s="435"/>
      <c r="AC1172" s="435"/>
    </row>
    <row r="1173" spans="28:29" x14ac:dyDescent="0.25">
      <c r="AB1173" s="435"/>
      <c r="AC1173" s="435"/>
    </row>
    <row r="1174" spans="28:29" x14ac:dyDescent="0.25">
      <c r="AB1174" s="435"/>
      <c r="AC1174" s="435"/>
    </row>
    <row r="1175" spans="28:29" x14ac:dyDescent="0.25">
      <c r="AB1175" s="435"/>
      <c r="AC1175" s="435"/>
    </row>
    <row r="1176" spans="28:29" x14ac:dyDescent="0.25">
      <c r="AB1176" s="435"/>
      <c r="AC1176" s="435"/>
    </row>
    <row r="1177" spans="28:29" x14ac:dyDescent="0.25">
      <c r="AB1177" s="435"/>
      <c r="AC1177" s="435"/>
    </row>
    <row r="1178" spans="28:29" x14ac:dyDescent="0.25">
      <c r="AB1178" s="435"/>
      <c r="AC1178" s="435"/>
    </row>
    <row r="1179" spans="28:29" x14ac:dyDescent="0.25">
      <c r="AB1179" s="435"/>
      <c r="AC1179" s="435"/>
    </row>
    <row r="1180" spans="28:29" x14ac:dyDescent="0.25">
      <c r="AB1180" s="435"/>
      <c r="AC1180" s="435"/>
    </row>
    <row r="1181" spans="28:29" x14ac:dyDescent="0.25">
      <c r="AB1181" s="435"/>
      <c r="AC1181" s="435"/>
    </row>
    <row r="1182" spans="28:29" x14ac:dyDescent="0.25">
      <c r="AB1182" s="435"/>
      <c r="AC1182" s="435"/>
    </row>
    <row r="1183" spans="28:29" x14ac:dyDescent="0.25">
      <c r="AB1183" s="435"/>
      <c r="AC1183" s="435"/>
    </row>
    <row r="1184" spans="28:29" x14ac:dyDescent="0.25">
      <c r="AB1184" s="435"/>
      <c r="AC1184" s="435"/>
    </row>
    <row r="1185" spans="28:29" x14ac:dyDescent="0.25">
      <c r="AB1185" s="435"/>
      <c r="AC1185" s="435"/>
    </row>
    <row r="1186" spans="28:29" x14ac:dyDescent="0.25">
      <c r="AB1186" s="435"/>
      <c r="AC1186" s="435"/>
    </row>
    <row r="1187" spans="28:29" x14ac:dyDescent="0.25">
      <c r="AB1187" s="435"/>
      <c r="AC1187" s="435"/>
    </row>
    <row r="1188" spans="28:29" x14ac:dyDescent="0.25">
      <c r="AB1188" s="435"/>
      <c r="AC1188" s="435"/>
    </row>
    <row r="1189" spans="28:29" x14ac:dyDescent="0.25">
      <c r="AB1189" s="435"/>
      <c r="AC1189" s="435"/>
    </row>
    <row r="1190" spans="28:29" x14ac:dyDescent="0.25">
      <c r="AB1190" s="435"/>
      <c r="AC1190" s="435"/>
    </row>
    <row r="1191" spans="28:29" x14ac:dyDescent="0.25">
      <c r="AB1191" s="435"/>
      <c r="AC1191" s="435"/>
    </row>
    <row r="1192" spans="28:29" x14ac:dyDescent="0.25">
      <c r="AB1192" s="435"/>
      <c r="AC1192" s="435"/>
    </row>
    <row r="1193" spans="28:29" x14ac:dyDescent="0.25">
      <c r="AB1193" s="435"/>
      <c r="AC1193" s="435"/>
    </row>
    <row r="1194" spans="28:29" x14ac:dyDescent="0.25">
      <c r="AB1194" s="435"/>
      <c r="AC1194" s="435"/>
    </row>
    <row r="1195" spans="28:29" x14ac:dyDescent="0.25">
      <c r="AB1195" s="435"/>
      <c r="AC1195" s="435"/>
    </row>
    <row r="1196" spans="28:29" x14ac:dyDescent="0.25">
      <c r="AB1196" s="435"/>
      <c r="AC1196" s="435"/>
    </row>
    <row r="1197" spans="28:29" x14ac:dyDescent="0.25">
      <c r="AB1197" s="435"/>
      <c r="AC1197" s="435"/>
    </row>
    <row r="1198" spans="28:29" x14ac:dyDescent="0.25">
      <c r="AB1198" s="435"/>
      <c r="AC1198" s="435"/>
    </row>
    <row r="1199" spans="28:29" x14ac:dyDescent="0.25">
      <c r="AB1199" s="435"/>
      <c r="AC1199" s="435"/>
    </row>
    <row r="1200" spans="28:29" x14ac:dyDescent="0.25">
      <c r="AB1200" s="435"/>
      <c r="AC1200" s="435"/>
    </row>
    <row r="1201" spans="28:29" x14ac:dyDescent="0.25">
      <c r="AB1201" s="435"/>
      <c r="AC1201" s="435"/>
    </row>
    <row r="1202" spans="28:29" x14ac:dyDescent="0.25">
      <c r="AB1202" s="435"/>
      <c r="AC1202" s="435"/>
    </row>
    <row r="1203" spans="28:29" x14ac:dyDescent="0.25">
      <c r="AB1203" s="435"/>
      <c r="AC1203" s="435"/>
    </row>
    <row r="1204" spans="28:29" x14ac:dyDescent="0.25">
      <c r="AB1204" s="435"/>
      <c r="AC1204" s="435"/>
    </row>
    <row r="1205" spans="28:29" x14ac:dyDescent="0.25">
      <c r="AB1205" s="435"/>
      <c r="AC1205" s="435"/>
    </row>
    <row r="1206" spans="28:29" x14ac:dyDescent="0.25">
      <c r="AB1206" s="435"/>
      <c r="AC1206" s="435"/>
    </row>
    <row r="1207" spans="28:29" x14ac:dyDescent="0.25">
      <c r="AB1207" s="435"/>
      <c r="AC1207" s="435"/>
    </row>
    <row r="1208" spans="28:29" x14ac:dyDescent="0.25">
      <c r="AB1208" s="435"/>
      <c r="AC1208" s="435"/>
    </row>
    <row r="1209" spans="28:29" x14ac:dyDescent="0.25">
      <c r="AB1209" s="435"/>
      <c r="AC1209" s="435"/>
    </row>
    <row r="1210" spans="28:29" x14ac:dyDescent="0.25">
      <c r="AB1210" s="435"/>
      <c r="AC1210" s="435"/>
    </row>
    <row r="1211" spans="28:29" x14ac:dyDescent="0.25">
      <c r="AB1211" s="435"/>
      <c r="AC1211" s="435"/>
    </row>
    <row r="1212" spans="28:29" x14ac:dyDescent="0.25">
      <c r="AB1212" s="435"/>
      <c r="AC1212" s="435"/>
    </row>
    <row r="1213" spans="28:29" x14ac:dyDescent="0.25">
      <c r="AB1213" s="435"/>
      <c r="AC1213" s="435"/>
    </row>
    <row r="1214" spans="28:29" x14ac:dyDescent="0.25">
      <c r="AB1214" s="435"/>
      <c r="AC1214" s="435"/>
    </row>
    <row r="1215" spans="28:29" x14ac:dyDescent="0.25">
      <c r="AB1215" s="435"/>
      <c r="AC1215" s="435"/>
    </row>
    <row r="1216" spans="28:29" x14ac:dyDescent="0.25">
      <c r="AB1216" s="435"/>
      <c r="AC1216" s="435"/>
    </row>
    <row r="1217" spans="28:29" x14ac:dyDescent="0.25">
      <c r="AB1217" s="435"/>
      <c r="AC1217" s="435"/>
    </row>
    <row r="1218" spans="28:29" x14ac:dyDescent="0.25">
      <c r="AB1218" s="435"/>
      <c r="AC1218" s="435"/>
    </row>
    <row r="1219" spans="28:29" x14ac:dyDescent="0.25">
      <c r="AB1219" s="435"/>
      <c r="AC1219" s="435"/>
    </row>
    <row r="1220" spans="28:29" x14ac:dyDescent="0.25">
      <c r="AB1220" s="435"/>
      <c r="AC1220" s="435"/>
    </row>
    <row r="1221" spans="28:29" x14ac:dyDescent="0.25">
      <c r="AB1221" s="435"/>
      <c r="AC1221" s="435"/>
    </row>
    <row r="1222" spans="28:29" x14ac:dyDescent="0.25">
      <c r="AB1222" s="435"/>
      <c r="AC1222" s="435"/>
    </row>
    <row r="1223" spans="28:29" x14ac:dyDescent="0.25">
      <c r="AB1223" s="435"/>
      <c r="AC1223" s="435"/>
    </row>
    <row r="1224" spans="28:29" x14ac:dyDescent="0.25">
      <c r="AB1224" s="435"/>
      <c r="AC1224" s="435"/>
    </row>
    <row r="1225" spans="28:29" x14ac:dyDescent="0.25">
      <c r="AB1225" s="435"/>
      <c r="AC1225" s="435"/>
    </row>
    <row r="1226" spans="28:29" x14ac:dyDescent="0.25">
      <c r="AB1226" s="435"/>
      <c r="AC1226" s="435"/>
    </row>
    <row r="1227" spans="28:29" x14ac:dyDescent="0.25">
      <c r="AB1227" s="435"/>
      <c r="AC1227" s="435"/>
    </row>
    <row r="1228" spans="28:29" x14ac:dyDescent="0.25">
      <c r="AB1228" s="435"/>
      <c r="AC1228" s="435"/>
    </row>
    <row r="1229" spans="28:29" x14ac:dyDescent="0.25">
      <c r="AB1229" s="435"/>
      <c r="AC1229" s="435"/>
    </row>
    <row r="1230" spans="28:29" x14ac:dyDescent="0.25">
      <c r="AB1230" s="435"/>
      <c r="AC1230" s="435"/>
    </row>
    <row r="1231" spans="28:29" x14ac:dyDescent="0.25">
      <c r="AB1231" s="435"/>
      <c r="AC1231" s="435"/>
    </row>
    <row r="1232" spans="28:29" x14ac:dyDescent="0.25">
      <c r="AB1232" s="435"/>
      <c r="AC1232" s="435"/>
    </row>
    <row r="1233" spans="28:29" x14ac:dyDescent="0.25">
      <c r="AB1233" s="435"/>
      <c r="AC1233" s="435"/>
    </row>
    <row r="1234" spans="28:29" x14ac:dyDescent="0.25">
      <c r="AB1234" s="435"/>
      <c r="AC1234" s="435"/>
    </row>
    <row r="1235" spans="28:29" x14ac:dyDescent="0.25">
      <c r="AB1235" s="435"/>
      <c r="AC1235" s="435"/>
    </row>
    <row r="1236" spans="28:29" x14ac:dyDescent="0.25">
      <c r="AB1236" s="435"/>
      <c r="AC1236" s="435"/>
    </row>
    <row r="1237" spans="28:29" x14ac:dyDescent="0.25">
      <c r="AB1237" s="435"/>
      <c r="AC1237" s="435"/>
    </row>
    <row r="1238" spans="28:29" x14ac:dyDescent="0.25">
      <c r="AB1238" s="435"/>
      <c r="AC1238" s="435"/>
    </row>
    <row r="1239" spans="28:29" x14ac:dyDescent="0.25">
      <c r="AB1239" s="435"/>
      <c r="AC1239" s="435"/>
    </row>
    <row r="1240" spans="28:29" x14ac:dyDescent="0.25">
      <c r="AB1240" s="435"/>
      <c r="AC1240" s="435"/>
    </row>
    <row r="1241" spans="28:29" x14ac:dyDescent="0.25">
      <c r="AB1241" s="435"/>
      <c r="AC1241" s="435"/>
    </row>
    <row r="1242" spans="28:29" x14ac:dyDescent="0.25">
      <c r="AB1242" s="435"/>
      <c r="AC1242" s="435"/>
    </row>
    <row r="1243" spans="28:29" x14ac:dyDescent="0.25">
      <c r="AB1243" s="435"/>
      <c r="AC1243" s="435"/>
    </row>
    <row r="1244" spans="28:29" x14ac:dyDescent="0.25">
      <c r="AB1244" s="435"/>
      <c r="AC1244" s="435"/>
    </row>
    <row r="1245" spans="28:29" x14ac:dyDescent="0.25">
      <c r="AB1245" s="435"/>
      <c r="AC1245" s="435"/>
    </row>
    <row r="1246" spans="28:29" x14ac:dyDescent="0.25">
      <c r="AB1246" s="435"/>
      <c r="AC1246" s="435"/>
    </row>
    <row r="1247" spans="28:29" x14ac:dyDescent="0.25">
      <c r="AB1247" s="435"/>
      <c r="AC1247" s="435"/>
    </row>
    <row r="1248" spans="28:29" x14ac:dyDescent="0.25">
      <c r="AB1248" s="435"/>
      <c r="AC1248" s="435"/>
    </row>
    <row r="1249" spans="28:29" x14ac:dyDescent="0.25">
      <c r="AB1249" s="435"/>
      <c r="AC1249" s="435"/>
    </row>
    <row r="1250" spans="28:29" x14ac:dyDescent="0.25">
      <c r="AB1250" s="435"/>
      <c r="AC1250" s="435"/>
    </row>
    <row r="1251" spans="28:29" x14ac:dyDescent="0.25">
      <c r="AB1251" s="435"/>
      <c r="AC1251" s="435"/>
    </row>
    <row r="1252" spans="28:29" x14ac:dyDescent="0.25">
      <c r="AB1252" s="435"/>
      <c r="AC1252" s="435"/>
    </row>
    <row r="1253" spans="28:29" x14ac:dyDescent="0.25">
      <c r="AB1253" s="435"/>
      <c r="AC1253" s="435"/>
    </row>
    <row r="1254" spans="28:29" x14ac:dyDescent="0.25">
      <c r="AB1254" s="435"/>
      <c r="AC1254" s="435"/>
    </row>
    <row r="1255" spans="28:29" x14ac:dyDescent="0.25">
      <c r="AB1255" s="435"/>
      <c r="AC1255" s="435"/>
    </row>
    <row r="1256" spans="28:29" x14ac:dyDescent="0.25">
      <c r="AB1256" s="435"/>
      <c r="AC1256" s="435"/>
    </row>
    <row r="1257" spans="28:29" x14ac:dyDescent="0.25">
      <c r="AB1257" s="435"/>
      <c r="AC1257" s="435"/>
    </row>
    <row r="1258" spans="28:29" x14ac:dyDescent="0.25">
      <c r="AB1258" s="435"/>
      <c r="AC1258" s="435"/>
    </row>
    <row r="1259" spans="28:29" x14ac:dyDescent="0.25">
      <c r="AB1259" s="435"/>
      <c r="AC1259" s="435"/>
    </row>
    <row r="1260" spans="28:29" x14ac:dyDescent="0.25">
      <c r="AB1260" s="435"/>
      <c r="AC1260" s="435"/>
    </row>
    <row r="1261" spans="28:29" x14ac:dyDescent="0.25">
      <c r="AB1261" s="435"/>
      <c r="AC1261" s="435"/>
    </row>
    <row r="1262" spans="28:29" x14ac:dyDescent="0.25">
      <c r="AB1262" s="435"/>
      <c r="AC1262" s="435"/>
    </row>
    <row r="1263" spans="28:29" x14ac:dyDescent="0.25">
      <c r="AB1263" s="435"/>
      <c r="AC1263" s="435"/>
    </row>
    <row r="1264" spans="28:29" x14ac:dyDescent="0.25">
      <c r="AB1264" s="435"/>
      <c r="AC1264" s="435"/>
    </row>
    <row r="1265" spans="28:29" x14ac:dyDescent="0.25">
      <c r="AB1265" s="435"/>
      <c r="AC1265" s="435"/>
    </row>
    <row r="1266" spans="28:29" x14ac:dyDescent="0.25">
      <c r="AB1266" s="435"/>
      <c r="AC1266" s="435"/>
    </row>
    <row r="1267" spans="28:29" x14ac:dyDescent="0.25">
      <c r="AB1267" s="435"/>
      <c r="AC1267" s="435"/>
    </row>
    <row r="1268" spans="28:29" x14ac:dyDescent="0.25">
      <c r="AB1268" s="435"/>
      <c r="AC1268" s="435"/>
    </row>
    <row r="1269" spans="28:29" x14ac:dyDescent="0.25">
      <c r="AB1269" s="435"/>
      <c r="AC1269" s="435"/>
    </row>
    <row r="1270" spans="28:29" x14ac:dyDescent="0.25">
      <c r="AB1270" s="435"/>
      <c r="AC1270" s="435"/>
    </row>
    <row r="1271" spans="28:29" x14ac:dyDescent="0.25">
      <c r="AB1271" s="435"/>
      <c r="AC1271" s="435"/>
    </row>
    <row r="1272" spans="28:29" x14ac:dyDescent="0.25">
      <c r="AB1272" s="435"/>
      <c r="AC1272" s="435"/>
    </row>
    <row r="1273" spans="28:29" x14ac:dyDescent="0.25">
      <c r="AB1273" s="435"/>
      <c r="AC1273" s="435"/>
    </row>
    <row r="1274" spans="28:29" x14ac:dyDescent="0.25">
      <c r="AB1274" s="435"/>
      <c r="AC1274" s="435"/>
    </row>
    <row r="1275" spans="28:29" x14ac:dyDescent="0.25">
      <c r="AB1275" s="435"/>
      <c r="AC1275" s="435"/>
    </row>
    <row r="1276" spans="28:29" x14ac:dyDescent="0.25">
      <c r="AB1276" s="435"/>
      <c r="AC1276" s="435"/>
    </row>
    <row r="1277" spans="28:29" x14ac:dyDescent="0.25">
      <c r="AB1277" s="435"/>
      <c r="AC1277" s="435"/>
    </row>
    <row r="1278" spans="28:29" x14ac:dyDescent="0.25">
      <c r="AB1278" s="435"/>
      <c r="AC1278" s="435"/>
    </row>
    <row r="1279" spans="28:29" x14ac:dyDescent="0.25">
      <c r="AB1279" s="435"/>
      <c r="AC1279" s="435"/>
    </row>
    <row r="1280" spans="28:29" x14ac:dyDescent="0.25">
      <c r="AB1280" s="435"/>
      <c r="AC1280" s="435"/>
    </row>
    <row r="1281" spans="28:29" x14ac:dyDescent="0.25">
      <c r="AB1281" s="435"/>
      <c r="AC1281" s="435"/>
    </row>
    <row r="1282" spans="28:29" x14ac:dyDescent="0.25">
      <c r="AB1282" s="435"/>
      <c r="AC1282" s="435"/>
    </row>
    <row r="1283" spans="28:29" x14ac:dyDescent="0.25">
      <c r="AB1283" s="435"/>
      <c r="AC1283" s="435"/>
    </row>
    <row r="1284" spans="28:29" x14ac:dyDescent="0.25">
      <c r="AB1284" s="435"/>
      <c r="AC1284" s="435"/>
    </row>
    <row r="1285" spans="28:29" x14ac:dyDescent="0.25">
      <c r="AB1285" s="435"/>
      <c r="AC1285" s="435"/>
    </row>
    <row r="1286" spans="28:29" x14ac:dyDescent="0.25">
      <c r="AB1286" s="435"/>
      <c r="AC1286" s="435"/>
    </row>
    <row r="1287" spans="28:29" x14ac:dyDescent="0.25">
      <c r="AB1287" s="435"/>
      <c r="AC1287" s="435"/>
    </row>
    <row r="1288" spans="28:29" x14ac:dyDescent="0.25">
      <c r="AB1288" s="435"/>
      <c r="AC1288" s="435"/>
    </row>
    <row r="1289" spans="28:29" x14ac:dyDescent="0.25">
      <c r="AB1289" s="435"/>
      <c r="AC1289" s="435"/>
    </row>
    <row r="1290" spans="28:29" x14ac:dyDescent="0.25">
      <c r="AB1290" s="435"/>
      <c r="AC1290" s="435"/>
    </row>
    <row r="1291" spans="28:29" x14ac:dyDescent="0.25">
      <c r="AB1291" s="435"/>
      <c r="AC1291" s="435"/>
    </row>
    <row r="1292" spans="28:29" x14ac:dyDescent="0.25">
      <c r="AB1292" s="435"/>
      <c r="AC1292" s="435"/>
    </row>
    <row r="1293" spans="28:29" x14ac:dyDescent="0.25">
      <c r="AB1293" s="435"/>
      <c r="AC1293" s="435"/>
    </row>
    <row r="1294" spans="28:29" x14ac:dyDescent="0.25">
      <c r="AB1294" s="435"/>
      <c r="AC1294" s="435"/>
    </row>
    <row r="1295" spans="28:29" x14ac:dyDescent="0.25">
      <c r="AB1295" s="435"/>
      <c r="AC1295" s="435"/>
    </row>
    <row r="1296" spans="28:29" x14ac:dyDescent="0.25">
      <c r="AB1296" s="435"/>
      <c r="AC1296" s="435"/>
    </row>
    <row r="1297" spans="28:29" x14ac:dyDescent="0.25">
      <c r="AB1297" s="435"/>
      <c r="AC1297" s="435"/>
    </row>
    <row r="1298" spans="28:29" x14ac:dyDescent="0.25">
      <c r="AB1298" s="435"/>
      <c r="AC1298" s="435"/>
    </row>
    <row r="1299" spans="28:29" x14ac:dyDescent="0.25">
      <c r="AB1299" s="435"/>
      <c r="AC1299" s="435"/>
    </row>
    <row r="1300" spans="28:29" x14ac:dyDescent="0.25">
      <c r="AB1300" s="435"/>
      <c r="AC1300" s="435"/>
    </row>
    <row r="1301" spans="28:29" x14ac:dyDescent="0.25">
      <c r="AB1301" s="435"/>
      <c r="AC1301" s="435"/>
    </row>
    <row r="1302" spans="28:29" x14ac:dyDescent="0.25">
      <c r="AB1302" s="435"/>
      <c r="AC1302" s="435"/>
    </row>
    <row r="1303" spans="28:29" x14ac:dyDescent="0.25">
      <c r="AB1303" s="435"/>
      <c r="AC1303" s="435"/>
    </row>
    <row r="1304" spans="28:29" x14ac:dyDescent="0.25">
      <c r="AB1304" s="435"/>
      <c r="AC1304" s="435"/>
    </row>
    <row r="1305" spans="28:29" x14ac:dyDescent="0.25">
      <c r="AB1305" s="435"/>
      <c r="AC1305" s="435"/>
    </row>
    <row r="1306" spans="28:29" x14ac:dyDescent="0.25">
      <c r="AB1306" s="435"/>
      <c r="AC1306" s="435"/>
    </row>
    <row r="1307" spans="28:29" x14ac:dyDescent="0.25">
      <c r="AB1307" s="435"/>
      <c r="AC1307" s="435"/>
    </row>
    <row r="1308" spans="28:29" x14ac:dyDescent="0.25">
      <c r="AB1308" s="435"/>
      <c r="AC1308" s="435"/>
    </row>
    <row r="1309" spans="28:29" x14ac:dyDescent="0.25">
      <c r="AB1309" s="435"/>
      <c r="AC1309" s="435"/>
    </row>
    <row r="1310" spans="28:29" x14ac:dyDescent="0.25">
      <c r="AB1310" s="435"/>
      <c r="AC1310" s="435"/>
    </row>
    <row r="1311" spans="28:29" x14ac:dyDescent="0.25">
      <c r="AB1311" s="435"/>
      <c r="AC1311" s="435"/>
    </row>
    <row r="1312" spans="28:29" x14ac:dyDescent="0.25">
      <c r="AB1312" s="435"/>
      <c r="AC1312" s="435"/>
    </row>
    <row r="1313" spans="28:29" x14ac:dyDescent="0.25">
      <c r="AB1313" s="435"/>
      <c r="AC1313" s="435"/>
    </row>
    <row r="1314" spans="28:29" x14ac:dyDescent="0.25">
      <c r="AB1314" s="435"/>
      <c r="AC1314" s="435"/>
    </row>
    <row r="1315" spans="28:29" x14ac:dyDescent="0.25">
      <c r="AB1315" s="435"/>
      <c r="AC1315" s="435"/>
    </row>
    <row r="1316" spans="28:29" x14ac:dyDescent="0.25">
      <c r="AB1316" s="435"/>
      <c r="AC1316" s="435"/>
    </row>
    <row r="1317" spans="28:29" x14ac:dyDescent="0.25">
      <c r="AB1317" s="435"/>
      <c r="AC1317" s="435"/>
    </row>
    <row r="1318" spans="28:29" x14ac:dyDescent="0.25">
      <c r="AB1318" s="435"/>
      <c r="AC1318" s="435"/>
    </row>
    <row r="1319" spans="28:29" x14ac:dyDescent="0.25">
      <c r="AB1319" s="435"/>
      <c r="AC1319" s="435"/>
    </row>
    <row r="1320" spans="28:29" x14ac:dyDescent="0.25">
      <c r="AB1320" s="435"/>
      <c r="AC1320" s="435"/>
    </row>
    <row r="1321" spans="28:29" x14ac:dyDescent="0.25">
      <c r="AB1321" s="435"/>
      <c r="AC1321" s="435"/>
    </row>
    <row r="1322" spans="28:29" x14ac:dyDescent="0.25">
      <c r="AB1322" s="435"/>
      <c r="AC1322" s="435"/>
    </row>
    <row r="1323" spans="28:29" x14ac:dyDescent="0.25">
      <c r="AB1323" s="435"/>
      <c r="AC1323" s="435"/>
    </row>
    <row r="1324" spans="28:29" x14ac:dyDescent="0.25">
      <c r="AB1324" s="435"/>
      <c r="AC1324" s="435"/>
    </row>
    <row r="1325" spans="28:29" x14ac:dyDescent="0.25">
      <c r="AB1325" s="435"/>
      <c r="AC1325" s="435"/>
    </row>
    <row r="1326" spans="28:29" x14ac:dyDescent="0.25">
      <c r="AB1326" s="435"/>
      <c r="AC1326" s="435"/>
    </row>
    <row r="1327" spans="28:29" x14ac:dyDescent="0.25">
      <c r="AB1327" s="435"/>
      <c r="AC1327" s="435"/>
    </row>
    <row r="1328" spans="28:29" x14ac:dyDescent="0.25">
      <c r="AB1328" s="435"/>
      <c r="AC1328" s="435"/>
    </row>
    <row r="1329" spans="28:29" x14ac:dyDescent="0.25">
      <c r="AB1329" s="435"/>
      <c r="AC1329" s="435"/>
    </row>
    <row r="1330" spans="28:29" x14ac:dyDescent="0.25">
      <c r="AB1330" s="435"/>
      <c r="AC1330" s="435"/>
    </row>
    <row r="1331" spans="28:29" x14ac:dyDescent="0.25">
      <c r="AB1331" s="435"/>
      <c r="AC1331" s="435"/>
    </row>
    <row r="1332" spans="28:29" x14ac:dyDescent="0.25">
      <c r="AB1332" s="435"/>
      <c r="AC1332" s="435"/>
    </row>
    <row r="1333" spans="28:29" x14ac:dyDescent="0.25">
      <c r="AB1333" s="435"/>
      <c r="AC1333" s="435"/>
    </row>
    <row r="1334" spans="28:29" x14ac:dyDescent="0.25">
      <c r="AB1334" s="435"/>
      <c r="AC1334" s="435"/>
    </row>
    <row r="1335" spans="28:29" x14ac:dyDescent="0.25">
      <c r="AB1335" s="435"/>
      <c r="AC1335" s="435"/>
    </row>
    <row r="1336" spans="28:29" x14ac:dyDescent="0.25">
      <c r="AB1336" s="435"/>
      <c r="AC1336" s="435"/>
    </row>
    <row r="1337" spans="28:29" x14ac:dyDescent="0.25">
      <c r="AB1337" s="435"/>
      <c r="AC1337" s="435"/>
    </row>
    <row r="1338" spans="28:29" x14ac:dyDescent="0.25">
      <c r="AB1338" s="435"/>
      <c r="AC1338" s="435"/>
    </row>
    <row r="1339" spans="28:29" x14ac:dyDescent="0.25">
      <c r="AB1339" s="435"/>
      <c r="AC1339" s="435"/>
    </row>
    <row r="1340" spans="28:29" x14ac:dyDescent="0.25">
      <c r="AB1340" s="435"/>
      <c r="AC1340" s="435"/>
    </row>
    <row r="1341" spans="28:29" x14ac:dyDescent="0.25">
      <c r="AB1341" s="435"/>
      <c r="AC1341" s="435"/>
    </row>
    <row r="1342" spans="28:29" x14ac:dyDescent="0.25">
      <c r="AB1342" s="435"/>
      <c r="AC1342" s="435"/>
    </row>
    <row r="1343" spans="28:29" x14ac:dyDescent="0.25">
      <c r="AB1343" s="435"/>
      <c r="AC1343" s="435"/>
    </row>
    <row r="1344" spans="28:29" x14ac:dyDescent="0.25">
      <c r="AB1344" s="435"/>
      <c r="AC1344" s="435"/>
    </row>
    <row r="1345" spans="28:29" x14ac:dyDescent="0.25">
      <c r="AB1345" s="435"/>
      <c r="AC1345" s="435"/>
    </row>
    <row r="1346" spans="28:29" x14ac:dyDescent="0.25">
      <c r="AB1346" s="435"/>
      <c r="AC1346" s="435"/>
    </row>
    <row r="1347" spans="28:29" x14ac:dyDescent="0.25">
      <c r="AB1347" s="435"/>
      <c r="AC1347" s="435"/>
    </row>
    <row r="1348" spans="28:29" x14ac:dyDescent="0.25">
      <c r="AB1348" s="435"/>
      <c r="AC1348" s="435"/>
    </row>
    <row r="1349" spans="28:29" x14ac:dyDescent="0.25">
      <c r="AB1349" s="435"/>
      <c r="AC1349" s="435"/>
    </row>
    <row r="1350" spans="28:29" x14ac:dyDescent="0.25">
      <c r="AB1350" s="435"/>
      <c r="AC1350" s="435"/>
    </row>
    <row r="1351" spans="28:29" x14ac:dyDescent="0.25">
      <c r="AB1351" s="435"/>
      <c r="AC1351" s="435"/>
    </row>
    <row r="1352" spans="28:29" x14ac:dyDescent="0.25">
      <c r="AB1352" s="435"/>
      <c r="AC1352" s="435"/>
    </row>
    <row r="1353" spans="28:29" x14ac:dyDescent="0.25">
      <c r="AB1353" s="435"/>
      <c r="AC1353" s="435"/>
    </row>
    <row r="1354" spans="28:29" x14ac:dyDescent="0.25">
      <c r="AB1354" s="435"/>
      <c r="AC1354" s="435"/>
    </row>
    <row r="1355" spans="28:29" x14ac:dyDescent="0.25">
      <c r="AB1355" s="435"/>
      <c r="AC1355" s="435"/>
    </row>
    <row r="1356" spans="28:29" x14ac:dyDescent="0.25">
      <c r="AB1356" s="435"/>
      <c r="AC1356" s="435"/>
    </row>
    <row r="1357" spans="28:29" x14ac:dyDescent="0.25">
      <c r="AB1357" s="435"/>
      <c r="AC1357" s="435"/>
    </row>
    <row r="1358" spans="28:29" x14ac:dyDescent="0.25">
      <c r="AB1358" s="435"/>
      <c r="AC1358" s="435"/>
    </row>
    <row r="1359" spans="28:29" x14ac:dyDescent="0.25">
      <c r="AB1359" s="435"/>
      <c r="AC1359" s="435"/>
    </row>
    <row r="1360" spans="28:29" x14ac:dyDescent="0.25">
      <c r="AB1360" s="435"/>
      <c r="AC1360" s="435"/>
    </row>
    <row r="1361" spans="28:29" x14ac:dyDescent="0.25">
      <c r="AB1361" s="435"/>
      <c r="AC1361" s="435"/>
    </row>
    <row r="1362" spans="28:29" x14ac:dyDescent="0.25">
      <c r="AB1362" s="435"/>
      <c r="AC1362" s="435"/>
    </row>
    <row r="1363" spans="28:29" x14ac:dyDescent="0.25">
      <c r="AB1363" s="435"/>
      <c r="AC1363" s="435"/>
    </row>
    <row r="1364" spans="28:29" x14ac:dyDescent="0.25">
      <c r="AB1364" s="435"/>
      <c r="AC1364" s="435"/>
    </row>
    <row r="1365" spans="28:29" x14ac:dyDescent="0.25">
      <c r="AB1365" s="435"/>
      <c r="AC1365" s="435"/>
    </row>
    <row r="1366" spans="28:29" x14ac:dyDescent="0.25">
      <c r="AB1366" s="435"/>
      <c r="AC1366" s="435"/>
    </row>
    <row r="1367" spans="28:29" x14ac:dyDescent="0.25">
      <c r="AB1367" s="435"/>
      <c r="AC1367" s="435"/>
    </row>
    <row r="1368" spans="28:29" x14ac:dyDescent="0.25">
      <c r="AB1368" s="435"/>
      <c r="AC1368" s="435"/>
    </row>
    <row r="1369" spans="28:29" x14ac:dyDescent="0.25">
      <c r="AB1369" s="435"/>
      <c r="AC1369" s="435"/>
    </row>
    <row r="1370" spans="28:29" x14ac:dyDescent="0.25">
      <c r="AB1370" s="435"/>
      <c r="AC1370" s="435"/>
    </row>
    <row r="1371" spans="28:29" x14ac:dyDescent="0.25">
      <c r="AB1371" s="435"/>
      <c r="AC1371" s="435"/>
    </row>
    <row r="1372" spans="28:29" x14ac:dyDescent="0.25">
      <c r="AB1372" s="435"/>
      <c r="AC1372" s="435"/>
    </row>
    <row r="1373" spans="28:29" x14ac:dyDescent="0.25">
      <c r="AB1373" s="435"/>
      <c r="AC1373" s="435"/>
    </row>
    <row r="1374" spans="28:29" x14ac:dyDescent="0.25">
      <c r="AB1374" s="435"/>
      <c r="AC1374" s="435"/>
    </row>
    <row r="1375" spans="28:29" x14ac:dyDescent="0.25">
      <c r="AB1375" s="435"/>
      <c r="AC1375" s="435"/>
    </row>
    <row r="1376" spans="28:29" x14ac:dyDescent="0.25">
      <c r="AB1376" s="435"/>
      <c r="AC1376" s="435"/>
    </row>
    <row r="1377" spans="28:29" x14ac:dyDescent="0.25">
      <c r="AB1377" s="435"/>
      <c r="AC1377" s="435"/>
    </row>
    <row r="1378" spans="28:29" x14ac:dyDescent="0.25">
      <c r="AB1378" s="435"/>
      <c r="AC1378" s="435"/>
    </row>
    <row r="1379" spans="28:29" x14ac:dyDescent="0.25">
      <c r="AB1379" s="435"/>
      <c r="AC1379" s="435"/>
    </row>
    <row r="1380" spans="28:29" x14ac:dyDescent="0.25">
      <c r="AB1380" s="435"/>
      <c r="AC1380" s="435"/>
    </row>
    <row r="1381" spans="28:29" x14ac:dyDescent="0.25">
      <c r="AB1381" s="435"/>
      <c r="AC1381" s="435"/>
    </row>
    <row r="1382" spans="28:29" x14ac:dyDescent="0.25">
      <c r="AB1382" s="435"/>
      <c r="AC1382" s="435"/>
    </row>
    <row r="1383" spans="28:29" x14ac:dyDescent="0.25">
      <c r="AB1383" s="435"/>
      <c r="AC1383" s="435"/>
    </row>
    <row r="1384" spans="28:29" x14ac:dyDescent="0.25">
      <c r="AB1384" s="435"/>
      <c r="AC1384" s="435"/>
    </row>
    <row r="1385" spans="28:29" x14ac:dyDescent="0.25">
      <c r="AB1385" s="435"/>
      <c r="AC1385" s="435"/>
    </row>
    <row r="1386" spans="28:29" x14ac:dyDescent="0.25">
      <c r="AB1386" s="435"/>
      <c r="AC1386" s="435"/>
    </row>
    <row r="1387" spans="28:29" x14ac:dyDescent="0.25">
      <c r="AB1387" s="435"/>
      <c r="AC1387" s="435"/>
    </row>
    <row r="1388" spans="28:29" x14ac:dyDescent="0.25">
      <c r="AB1388" s="435"/>
      <c r="AC1388" s="435"/>
    </row>
    <row r="1389" spans="28:29" x14ac:dyDescent="0.25">
      <c r="AB1389" s="435"/>
      <c r="AC1389" s="435"/>
    </row>
    <row r="1390" spans="28:29" x14ac:dyDescent="0.25">
      <c r="AB1390" s="435"/>
      <c r="AC1390" s="435"/>
    </row>
    <row r="1391" spans="28:29" x14ac:dyDescent="0.25">
      <c r="AB1391" s="435"/>
      <c r="AC1391" s="435"/>
    </row>
    <row r="1392" spans="28:29" x14ac:dyDescent="0.25">
      <c r="AB1392" s="435"/>
      <c r="AC1392" s="435"/>
    </row>
    <row r="1393" spans="28:29" x14ac:dyDescent="0.25">
      <c r="AB1393" s="435"/>
      <c r="AC1393" s="435"/>
    </row>
    <row r="1394" spans="28:29" x14ac:dyDescent="0.25">
      <c r="AB1394" s="435"/>
      <c r="AC1394" s="435"/>
    </row>
    <row r="1395" spans="28:29" x14ac:dyDescent="0.25">
      <c r="AB1395" s="435"/>
      <c r="AC1395" s="435"/>
    </row>
    <row r="1396" spans="28:29" x14ac:dyDescent="0.25">
      <c r="AB1396" s="435"/>
      <c r="AC1396" s="435"/>
    </row>
    <row r="1397" spans="28:29" x14ac:dyDescent="0.25">
      <c r="AB1397" s="435"/>
      <c r="AC1397" s="435"/>
    </row>
    <row r="1398" spans="28:29" x14ac:dyDescent="0.25">
      <c r="AB1398" s="435"/>
      <c r="AC1398" s="435"/>
    </row>
    <row r="1399" spans="28:29" x14ac:dyDescent="0.25">
      <c r="AB1399" s="435"/>
      <c r="AC1399" s="435"/>
    </row>
    <row r="1400" spans="28:29" x14ac:dyDescent="0.25">
      <c r="AB1400" s="435"/>
      <c r="AC1400" s="435"/>
    </row>
    <row r="1401" spans="28:29" x14ac:dyDescent="0.25">
      <c r="AB1401" s="435"/>
      <c r="AC1401" s="435"/>
    </row>
    <row r="1402" spans="28:29" x14ac:dyDescent="0.25">
      <c r="AB1402" s="435"/>
      <c r="AC1402" s="435"/>
    </row>
    <row r="1403" spans="28:29" x14ac:dyDescent="0.25">
      <c r="AB1403" s="435"/>
      <c r="AC1403" s="435"/>
    </row>
    <row r="1404" spans="28:29" x14ac:dyDescent="0.25">
      <c r="AB1404" s="435"/>
      <c r="AC1404" s="435"/>
    </row>
    <row r="1405" spans="28:29" x14ac:dyDescent="0.25">
      <c r="AB1405" s="435"/>
      <c r="AC1405" s="435"/>
    </row>
    <row r="1406" spans="28:29" x14ac:dyDescent="0.25">
      <c r="AB1406" s="435"/>
      <c r="AC1406" s="435"/>
    </row>
    <row r="1407" spans="28:29" x14ac:dyDescent="0.25">
      <c r="AB1407" s="435"/>
      <c r="AC1407" s="435"/>
    </row>
    <row r="1408" spans="28:29" x14ac:dyDescent="0.25">
      <c r="AB1408" s="435"/>
      <c r="AC1408" s="435"/>
    </row>
    <row r="1409" spans="28:29" x14ac:dyDescent="0.25">
      <c r="AB1409" s="435"/>
      <c r="AC1409" s="435"/>
    </row>
    <row r="1410" spans="28:29" x14ac:dyDescent="0.25">
      <c r="AB1410" s="435"/>
      <c r="AC1410" s="435"/>
    </row>
    <row r="1411" spans="28:29" x14ac:dyDescent="0.25">
      <c r="AB1411" s="435"/>
      <c r="AC1411" s="435"/>
    </row>
    <row r="1412" spans="28:29" x14ac:dyDescent="0.25">
      <c r="AB1412" s="435"/>
      <c r="AC1412" s="435"/>
    </row>
    <row r="1413" spans="28:29" x14ac:dyDescent="0.25">
      <c r="AB1413" s="435"/>
      <c r="AC1413" s="435"/>
    </row>
    <row r="1414" spans="28:29" x14ac:dyDescent="0.25">
      <c r="AB1414" s="435"/>
      <c r="AC1414" s="435"/>
    </row>
    <row r="1415" spans="28:29" x14ac:dyDescent="0.25">
      <c r="AB1415" s="435"/>
      <c r="AC1415" s="435"/>
    </row>
    <row r="1416" spans="28:29" x14ac:dyDescent="0.25">
      <c r="AB1416" s="435"/>
      <c r="AC1416" s="435"/>
    </row>
    <row r="1417" spans="28:29" x14ac:dyDescent="0.25">
      <c r="AB1417" s="435"/>
      <c r="AC1417" s="435"/>
    </row>
    <row r="1418" spans="28:29" x14ac:dyDescent="0.25">
      <c r="AB1418" s="435"/>
      <c r="AC1418" s="435"/>
    </row>
    <row r="1419" spans="28:29" x14ac:dyDescent="0.25">
      <c r="AB1419" s="435"/>
      <c r="AC1419" s="435"/>
    </row>
    <row r="1420" spans="28:29" x14ac:dyDescent="0.25">
      <c r="AB1420" s="435"/>
      <c r="AC1420" s="435"/>
    </row>
    <row r="1421" spans="28:29" x14ac:dyDescent="0.25">
      <c r="AB1421" s="435"/>
      <c r="AC1421" s="435"/>
    </row>
    <row r="1422" spans="28:29" x14ac:dyDescent="0.25">
      <c r="AB1422" s="435"/>
      <c r="AC1422" s="435"/>
    </row>
    <row r="1423" spans="28:29" x14ac:dyDescent="0.25">
      <c r="AB1423" s="435"/>
      <c r="AC1423" s="435"/>
    </row>
    <row r="1424" spans="28:29" x14ac:dyDescent="0.25">
      <c r="AB1424" s="435"/>
      <c r="AC1424" s="435"/>
    </row>
    <row r="1425" spans="28:29" x14ac:dyDescent="0.25">
      <c r="AB1425" s="435"/>
      <c r="AC1425" s="435"/>
    </row>
    <row r="1426" spans="28:29" x14ac:dyDescent="0.25">
      <c r="AB1426" s="435"/>
      <c r="AC1426" s="435"/>
    </row>
    <row r="1427" spans="28:29" x14ac:dyDescent="0.25">
      <c r="AB1427" s="435"/>
      <c r="AC1427" s="435"/>
    </row>
    <row r="1428" spans="28:29" x14ac:dyDescent="0.25">
      <c r="AB1428" s="435"/>
      <c r="AC1428" s="435"/>
    </row>
    <row r="1429" spans="28:29" x14ac:dyDescent="0.25">
      <c r="AB1429" s="435"/>
      <c r="AC1429" s="435"/>
    </row>
    <row r="1430" spans="28:29" x14ac:dyDescent="0.25">
      <c r="AB1430" s="435"/>
      <c r="AC1430" s="435"/>
    </row>
    <row r="1431" spans="28:29" x14ac:dyDescent="0.25">
      <c r="AB1431" s="435"/>
      <c r="AC1431" s="435"/>
    </row>
    <row r="1432" spans="28:29" x14ac:dyDescent="0.25">
      <c r="AB1432" s="435"/>
      <c r="AC1432" s="435"/>
    </row>
    <row r="1433" spans="28:29" x14ac:dyDescent="0.25">
      <c r="AB1433" s="435"/>
      <c r="AC1433" s="435"/>
    </row>
    <row r="1434" spans="28:29" x14ac:dyDescent="0.25">
      <c r="AB1434" s="435"/>
      <c r="AC1434" s="435"/>
    </row>
    <row r="1435" spans="28:29" x14ac:dyDescent="0.25">
      <c r="AB1435" s="435"/>
      <c r="AC1435" s="435"/>
    </row>
    <row r="1436" spans="28:29" x14ac:dyDescent="0.25">
      <c r="AB1436" s="435"/>
      <c r="AC1436" s="435"/>
    </row>
    <row r="1437" spans="28:29" x14ac:dyDescent="0.25">
      <c r="AB1437" s="435"/>
      <c r="AC1437" s="435"/>
    </row>
    <row r="1438" spans="28:29" x14ac:dyDescent="0.25">
      <c r="AB1438" s="435"/>
      <c r="AC1438" s="435"/>
    </row>
    <row r="1439" spans="28:29" x14ac:dyDescent="0.25">
      <c r="AB1439" s="435"/>
      <c r="AC1439" s="435"/>
    </row>
    <row r="1440" spans="28:29" x14ac:dyDescent="0.25">
      <c r="AB1440" s="435"/>
      <c r="AC1440" s="435"/>
    </row>
    <row r="1441" spans="28:29" x14ac:dyDescent="0.25">
      <c r="AB1441" s="435"/>
      <c r="AC1441" s="435"/>
    </row>
    <row r="1442" spans="28:29" x14ac:dyDescent="0.25">
      <c r="AB1442" s="435"/>
      <c r="AC1442" s="435"/>
    </row>
    <row r="1443" spans="28:29" x14ac:dyDescent="0.25">
      <c r="AB1443" s="435"/>
      <c r="AC1443" s="435"/>
    </row>
    <row r="1444" spans="28:29" x14ac:dyDescent="0.25">
      <c r="AB1444" s="435"/>
      <c r="AC1444" s="435"/>
    </row>
    <row r="1445" spans="28:29" x14ac:dyDescent="0.25">
      <c r="AB1445" s="435"/>
      <c r="AC1445" s="435"/>
    </row>
    <row r="1446" spans="28:29" x14ac:dyDescent="0.25">
      <c r="AB1446" s="435"/>
      <c r="AC1446" s="435"/>
    </row>
    <row r="1447" spans="28:29" x14ac:dyDescent="0.25">
      <c r="AB1447" s="435"/>
      <c r="AC1447" s="435"/>
    </row>
    <row r="1448" spans="28:29" x14ac:dyDescent="0.25">
      <c r="AB1448" s="435"/>
      <c r="AC1448" s="435"/>
    </row>
    <row r="1449" spans="28:29" x14ac:dyDescent="0.25">
      <c r="AB1449" s="435"/>
      <c r="AC1449" s="435"/>
    </row>
    <row r="1450" spans="28:29" x14ac:dyDescent="0.25">
      <c r="AB1450" s="435"/>
      <c r="AC1450" s="435"/>
    </row>
    <row r="1451" spans="28:29" x14ac:dyDescent="0.25">
      <c r="AB1451" s="435"/>
      <c r="AC1451" s="435"/>
    </row>
    <row r="1452" spans="28:29" x14ac:dyDescent="0.25">
      <c r="AB1452" s="435"/>
      <c r="AC1452" s="435"/>
    </row>
    <row r="1453" spans="28:29" x14ac:dyDescent="0.25">
      <c r="AB1453" s="435"/>
      <c r="AC1453" s="435"/>
    </row>
    <row r="1454" spans="28:29" x14ac:dyDescent="0.25">
      <c r="AB1454" s="435"/>
      <c r="AC1454" s="435"/>
    </row>
    <row r="1455" spans="28:29" x14ac:dyDescent="0.25">
      <c r="AB1455" s="435"/>
      <c r="AC1455" s="435"/>
    </row>
    <row r="1456" spans="28:29" x14ac:dyDescent="0.25">
      <c r="AB1456" s="435"/>
      <c r="AC1456" s="435"/>
    </row>
    <row r="1457" spans="28:29" x14ac:dyDescent="0.25">
      <c r="AB1457" s="435"/>
      <c r="AC1457" s="435"/>
    </row>
    <row r="1458" spans="28:29" x14ac:dyDescent="0.25">
      <c r="AB1458" s="435"/>
      <c r="AC1458" s="435"/>
    </row>
    <row r="1459" spans="28:29" x14ac:dyDescent="0.25">
      <c r="AB1459" s="435"/>
      <c r="AC1459" s="435"/>
    </row>
    <row r="1460" spans="28:29" x14ac:dyDescent="0.25">
      <c r="AB1460" s="435"/>
      <c r="AC1460" s="435"/>
    </row>
    <row r="1461" spans="28:29" x14ac:dyDescent="0.25">
      <c r="AB1461" s="435"/>
      <c r="AC1461" s="435"/>
    </row>
    <row r="1462" spans="28:29" x14ac:dyDescent="0.25">
      <c r="AB1462" s="435"/>
      <c r="AC1462" s="435"/>
    </row>
    <row r="1463" spans="28:29" x14ac:dyDescent="0.25">
      <c r="AB1463" s="435"/>
      <c r="AC1463" s="435"/>
    </row>
    <row r="1464" spans="28:29" x14ac:dyDescent="0.25">
      <c r="AB1464" s="435"/>
      <c r="AC1464" s="435"/>
    </row>
    <row r="1465" spans="28:29" x14ac:dyDescent="0.25">
      <c r="AB1465" s="435"/>
      <c r="AC1465" s="435"/>
    </row>
    <row r="1466" spans="28:29" x14ac:dyDescent="0.25">
      <c r="AB1466" s="435"/>
      <c r="AC1466" s="435"/>
    </row>
    <row r="1467" spans="28:29" x14ac:dyDescent="0.25">
      <c r="AB1467" s="435"/>
      <c r="AC1467" s="435"/>
    </row>
    <row r="1468" spans="28:29" x14ac:dyDescent="0.25">
      <c r="AB1468" s="435"/>
      <c r="AC1468" s="435"/>
    </row>
    <row r="1469" spans="28:29" x14ac:dyDescent="0.25">
      <c r="AB1469" s="435"/>
      <c r="AC1469" s="435"/>
    </row>
    <row r="1470" spans="28:29" x14ac:dyDescent="0.25">
      <c r="AB1470" s="435"/>
      <c r="AC1470" s="435"/>
    </row>
    <row r="1471" spans="28:29" x14ac:dyDescent="0.25">
      <c r="AB1471" s="435"/>
      <c r="AC1471" s="435"/>
    </row>
    <row r="1472" spans="28:29" x14ac:dyDescent="0.25">
      <c r="AB1472" s="435"/>
      <c r="AC1472" s="435"/>
    </row>
    <row r="1473" spans="28:29" x14ac:dyDescent="0.25">
      <c r="AB1473" s="435"/>
      <c r="AC1473" s="435"/>
    </row>
    <row r="1474" spans="28:29" x14ac:dyDescent="0.25">
      <c r="AB1474" s="435"/>
      <c r="AC1474" s="435"/>
    </row>
    <row r="1475" spans="28:29" x14ac:dyDescent="0.25">
      <c r="AB1475" s="435"/>
      <c r="AC1475" s="435"/>
    </row>
    <row r="1476" spans="28:29" x14ac:dyDescent="0.25">
      <c r="AB1476" s="435"/>
      <c r="AC1476" s="435"/>
    </row>
    <row r="1477" spans="28:29" x14ac:dyDescent="0.25">
      <c r="AB1477" s="435"/>
      <c r="AC1477" s="435"/>
    </row>
    <row r="1478" spans="28:29" x14ac:dyDescent="0.25">
      <c r="AB1478" s="435"/>
      <c r="AC1478" s="435"/>
    </row>
    <row r="1479" spans="28:29" x14ac:dyDescent="0.25">
      <c r="AB1479" s="435"/>
      <c r="AC1479" s="435"/>
    </row>
    <row r="1480" spans="28:29" x14ac:dyDescent="0.25">
      <c r="AB1480" s="435"/>
      <c r="AC1480" s="435"/>
    </row>
    <row r="1481" spans="28:29" x14ac:dyDescent="0.25">
      <c r="AB1481" s="435"/>
      <c r="AC1481" s="435"/>
    </row>
    <row r="1482" spans="28:29" x14ac:dyDescent="0.25">
      <c r="AB1482" s="435"/>
      <c r="AC1482" s="435"/>
    </row>
    <row r="1483" spans="28:29" x14ac:dyDescent="0.25">
      <c r="AB1483" s="435"/>
      <c r="AC1483" s="435"/>
    </row>
    <row r="1484" spans="28:29" x14ac:dyDescent="0.25">
      <c r="AB1484" s="435"/>
      <c r="AC1484" s="435"/>
    </row>
    <row r="1485" spans="28:29" x14ac:dyDescent="0.25">
      <c r="AB1485" s="435"/>
      <c r="AC1485" s="435"/>
    </row>
    <row r="1486" spans="28:29" x14ac:dyDescent="0.25">
      <c r="AB1486" s="435"/>
      <c r="AC1486" s="435"/>
    </row>
    <row r="1487" spans="28:29" x14ac:dyDescent="0.25">
      <c r="AB1487" s="435"/>
      <c r="AC1487" s="435"/>
    </row>
    <row r="1488" spans="28:29" x14ac:dyDescent="0.25">
      <c r="AB1488" s="435"/>
      <c r="AC1488" s="435"/>
    </row>
    <row r="1489" spans="28:29" x14ac:dyDescent="0.25">
      <c r="AB1489" s="435"/>
      <c r="AC1489" s="435"/>
    </row>
    <row r="1490" spans="28:29" x14ac:dyDescent="0.25">
      <c r="AB1490" s="435"/>
      <c r="AC1490" s="435"/>
    </row>
    <row r="1491" spans="28:29" x14ac:dyDescent="0.25">
      <c r="AB1491" s="435"/>
      <c r="AC1491" s="435"/>
    </row>
    <row r="1492" spans="28:29" x14ac:dyDescent="0.25">
      <c r="AB1492" s="435"/>
      <c r="AC1492" s="435"/>
    </row>
    <row r="1493" spans="28:29" x14ac:dyDescent="0.25">
      <c r="AB1493" s="435"/>
      <c r="AC1493" s="435"/>
    </row>
    <row r="1494" spans="28:29" x14ac:dyDescent="0.25">
      <c r="AB1494" s="435"/>
      <c r="AC1494" s="435"/>
    </row>
    <row r="1495" spans="28:29" x14ac:dyDescent="0.25">
      <c r="AB1495" s="435"/>
      <c r="AC1495" s="435"/>
    </row>
    <row r="1496" spans="28:29" x14ac:dyDescent="0.25">
      <c r="AB1496" s="435"/>
      <c r="AC1496" s="435"/>
    </row>
    <row r="1497" spans="28:29" x14ac:dyDescent="0.25">
      <c r="AB1497" s="435"/>
      <c r="AC1497" s="435"/>
    </row>
    <row r="1498" spans="28:29" x14ac:dyDescent="0.25">
      <c r="AB1498" s="435"/>
      <c r="AC1498" s="435"/>
    </row>
    <row r="1499" spans="28:29" x14ac:dyDescent="0.25">
      <c r="AB1499" s="435"/>
      <c r="AC1499" s="435"/>
    </row>
    <row r="1500" spans="28:29" x14ac:dyDescent="0.25">
      <c r="AB1500" s="435"/>
      <c r="AC1500" s="435"/>
    </row>
    <row r="1501" spans="28:29" x14ac:dyDescent="0.25">
      <c r="AB1501" s="435"/>
      <c r="AC1501" s="435"/>
    </row>
    <row r="1502" spans="28:29" x14ac:dyDescent="0.25">
      <c r="AB1502" s="435"/>
      <c r="AC1502" s="435"/>
    </row>
    <row r="1503" spans="28:29" x14ac:dyDescent="0.25">
      <c r="AB1503" s="435"/>
      <c r="AC1503" s="435"/>
    </row>
    <row r="1504" spans="28:29" x14ac:dyDescent="0.25">
      <c r="AB1504" s="435"/>
      <c r="AC1504" s="435"/>
    </row>
    <row r="1505" spans="28:29" x14ac:dyDescent="0.25">
      <c r="AB1505" s="435"/>
      <c r="AC1505" s="435"/>
    </row>
    <row r="1506" spans="28:29" x14ac:dyDescent="0.25">
      <c r="AB1506" s="435"/>
      <c r="AC1506" s="435"/>
    </row>
    <row r="1507" spans="28:29" x14ac:dyDescent="0.25">
      <c r="AB1507" s="435"/>
      <c r="AC1507" s="435"/>
    </row>
    <row r="1508" spans="28:29" x14ac:dyDescent="0.25">
      <c r="AB1508" s="435"/>
      <c r="AC1508" s="435"/>
    </row>
    <row r="1509" spans="28:29" x14ac:dyDescent="0.25">
      <c r="AB1509" s="435"/>
      <c r="AC1509" s="435"/>
    </row>
    <row r="1510" spans="28:29" x14ac:dyDescent="0.25">
      <c r="AB1510" s="435"/>
      <c r="AC1510" s="435"/>
    </row>
    <row r="1511" spans="28:29" x14ac:dyDescent="0.25">
      <c r="AB1511" s="435"/>
      <c r="AC1511" s="435"/>
    </row>
    <row r="1512" spans="28:29" x14ac:dyDescent="0.25">
      <c r="AB1512" s="435"/>
      <c r="AC1512" s="435"/>
    </row>
    <row r="1513" spans="28:29" x14ac:dyDescent="0.25">
      <c r="AB1513" s="435"/>
      <c r="AC1513" s="435"/>
    </row>
    <row r="1514" spans="28:29" x14ac:dyDescent="0.25">
      <c r="AB1514" s="435"/>
      <c r="AC1514" s="435"/>
    </row>
    <row r="1515" spans="28:29" x14ac:dyDescent="0.25">
      <c r="AB1515" s="435"/>
      <c r="AC1515" s="435"/>
    </row>
    <row r="1516" spans="28:29" x14ac:dyDescent="0.25">
      <c r="AB1516" s="435"/>
      <c r="AC1516" s="435"/>
    </row>
    <row r="1517" spans="28:29" x14ac:dyDescent="0.25">
      <c r="AB1517" s="435"/>
      <c r="AC1517" s="435"/>
    </row>
    <row r="1518" spans="28:29" x14ac:dyDescent="0.25">
      <c r="AB1518" s="435"/>
      <c r="AC1518" s="435"/>
    </row>
    <row r="1519" spans="28:29" x14ac:dyDescent="0.25">
      <c r="AB1519" s="435"/>
      <c r="AC1519" s="435"/>
    </row>
    <row r="1520" spans="28:29" x14ac:dyDescent="0.25">
      <c r="AB1520" s="435"/>
      <c r="AC1520" s="435"/>
    </row>
    <row r="1521" spans="28:29" x14ac:dyDescent="0.25">
      <c r="AB1521" s="435"/>
      <c r="AC1521" s="435"/>
    </row>
    <row r="1522" spans="28:29" x14ac:dyDescent="0.25">
      <c r="AB1522" s="435"/>
      <c r="AC1522" s="435"/>
    </row>
    <row r="1523" spans="28:29" x14ac:dyDescent="0.25">
      <c r="AB1523" s="435"/>
      <c r="AC1523" s="435"/>
    </row>
    <row r="1524" spans="28:29" x14ac:dyDescent="0.25">
      <c r="AB1524" s="435"/>
      <c r="AC1524" s="435"/>
    </row>
    <row r="1525" spans="28:29" x14ac:dyDescent="0.25">
      <c r="AB1525" s="435"/>
      <c r="AC1525" s="435"/>
    </row>
    <row r="1526" spans="28:29" x14ac:dyDescent="0.25">
      <c r="AB1526" s="435"/>
      <c r="AC1526" s="435"/>
    </row>
    <row r="1527" spans="28:29" x14ac:dyDescent="0.25">
      <c r="AB1527" s="435"/>
      <c r="AC1527" s="435"/>
    </row>
    <row r="1528" spans="28:29" x14ac:dyDescent="0.25">
      <c r="AB1528" s="435"/>
      <c r="AC1528" s="435"/>
    </row>
    <row r="1529" spans="28:29" x14ac:dyDescent="0.25">
      <c r="AB1529" s="435"/>
      <c r="AC1529" s="435"/>
    </row>
    <row r="1530" spans="28:29" x14ac:dyDescent="0.25">
      <c r="AB1530" s="435"/>
      <c r="AC1530" s="435"/>
    </row>
    <row r="1531" spans="28:29" x14ac:dyDescent="0.25">
      <c r="AB1531" s="435"/>
      <c r="AC1531" s="435"/>
    </row>
    <row r="1532" spans="28:29" x14ac:dyDescent="0.25">
      <c r="AB1532" s="435"/>
      <c r="AC1532" s="435"/>
    </row>
    <row r="1533" spans="28:29" x14ac:dyDescent="0.25">
      <c r="AB1533" s="435"/>
      <c r="AC1533" s="435"/>
    </row>
    <row r="1534" spans="28:29" x14ac:dyDescent="0.25">
      <c r="AB1534" s="435"/>
      <c r="AC1534" s="435"/>
    </row>
    <row r="1535" spans="28:29" x14ac:dyDescent="0.25">
      <c r="AB1535" s="435"/>
      <c r="AC1535" s="435"/>
    </row>
    <row r="1536" spans="28:29" x14ac:dyDescent="0.25">
      <c r="AB1536" s="435"/>
      <c r="AC1536" s="435"/>
    </row>
    <row r="1537" spans="28:29" x14ac:dyDescent="0.25">
      <c r="AB1537" s="435"/>
      <c r="AC1537" s="435"/>
    </row>
    <row r="1538" spans="28:29" x14ac:dyDescent="0.25">
      <c r="AB1538" s="435"/>
      <c r="AC1538" s="435"/>
    </row>
    <row r="1539" spans="28:29" x14ac:dyDescent="0.25">
      <c r="AB1539" s="435"/>
      <c r="AC1539" s="435"/>
    </row>
    <row r="1540" spans="28:29" x14ac:dyDescent="0.25">
      <c r="AB1540" s="435"/>
      <c r="AC1540" s="435"/>
    </row>
    <row r="1541" spans="28:29" x14ac:dyDescent="0.25">
      <c r="AB1541" s="435"/>
      <c r="AC1541" s="435"/>
    </row>
    <row r="1542" spans="28:29" x14ac:dyDescent="0.25">
      <c r="AB1542" s="435"/>
      <c r="AC1542" s="435"/>
    </row>
    <row r="1543" spans="28:29" x14ac:dyDescent="0.25">
      <c r="AB1543" s="435"/>
      <c r="AC1543" s="435"/>
    </row>
    <row r="1544" spans="28:29" x14ac:dyDescent="0.25">
      <c r="AB1544" s="435"/>
      <c r="AC1544" s="435"/>
    </row>
    <row r="1545" spans="28:29" x14ac:dyDescent="0.25">
      <c r="AB1545" s="435"/>
      <c r="AC1545" s="435"/>
    </row>
    <row r="1546" spans="28:29" x14ac:dyDescent="0.25">
      <c r="AB1546" s="435"/>
      <c r="AC1546" s="435"/>
    </row>
    <row r="1547" spans="28:29" x14ac:dyDescent="0.25">
      <c r="AB1547" s="435"/>
      <c r="AC1547" s="435"/>
    </row>
    <row r="1548" spans="28:29" x14ac:dyDescent="0.25">
      <c r="AB1548" s="435"/>
      <c r="AC1548" s="435"/>
    </row>
    <row r="1549" spans="28:29" x14ac:dyDescent="0.25">
      <c r="AB1549" s="435"/>
      <c r="AC1549" s="435"/>
    </row>
    <row r="1550" spans="28:29" x14ac:dyDescent="0.25">
      <c r="AB1550" s="435"/>
      <c r="AC1550" s="435"/>
    </row>
    <row r="1551" spans="28:29" x14ac:dyDescent="0.25">
      <c r="AB1551" s="435"/>
      <c r="AC1551" s="435"/>
    </row>
    <row r="1552" spans="28:29" x14ac:dyDescent="0.25">
      <c r="AB1552" s="435"/>
      <c r="AC1552" s="435"/>
    </row>
    <row r="1553" spans="28:29" x14ac:dyDescent="0.25">
      <c r="AB1553" s="435"/>
      <c r="AC1553" s="435"/>
    </row>
    <row r="1554" spans="28:29" x14ac:dyDescent="0.25">
      <c r="AB1554" s="435"/>
      <c r="AC1554" s="435"/>
    </row>
    <row r="1555" spans="28:29" x14ac:dyDescent="0.25">
      <c r="AB1555" s="435"/>
      <c r="AC1555" s="435"/>
    </row>
    <row r="1556" spans="28:29" x14ac:dyDescent="0.25">
      <c r="AB1556" s="435"/>
      <c r="AC1556" s="435"/>
    </row>
    <row r="1557" spans="28:29" x14ac:dyDescent="0.25">
      <c r="AB1557" s="435"/>
      <c r="AC1557" s="435"/>
    </row>
    <row r="1558" spans="28:29" x14ac:dyDescent="0.25">
      <c r="AB1558" s="435"/>
      <c r="AC1558" s="435"/>
    </row>
    <row r="1559" spans="28:29" x14ac:dyDescent="0.25">
      <c r="AB1559" s="435"/>
      <c r="AC1559" s="435"/>
    </row>
    <row r="1560" spans="28:29" x14ac:dyDescent="0.25">
      <c r="AB1560" s="435"/>
      <c r="AC1560" s="435"/>
    </row>
    <row r="1561" spans="28:29" x14ac:dyDescent="0.25">
      <c r="AB1561" s="435"/>
      <c r="AC1561" s="435"/>
    </row>
    <row r="1562" spans="28:29" x14ac:dyDescent="0.25">
      <c r="AB1562" s="435"/>
      <c r="AC1562" s="435"/>
    </row>
    <row r="1563" spans="28:29" x14ac:dyDescent="0.25">
      <c r="AB1563" s="435"/>
      <c r="AC1563" s="435"/>
    </row>
    <row r="1564" spans="28:29" x14ac:dyDescent="0.25">
      <c r="AB1564" s="435"/>
      <c r="AC1564" s="435"/>
    </row>
    <row r="1565" spans="28:29" x14ac:dyDescent="0.25">
      <c r="AB1565" s="435"/>
      <c r="AC1565" s="435"/>
    </row>
    <row r="1566" spans="28:29" x14ac:dyDescent="0.25">
      <c r="AB1566" s="435"/>
      <c r="AC1566" s="435"/>
    </row>
    <row r="1567" spans="28:29" x14ac:dyDescent="0.25">
      <c r="AB1567" s="435"/>
      <c r="AC1567" s="435"/>
    </row>
    <row r="1568" spans="28:29" x14ac:dyDescent="0.25">
      <c r="AB1568" s="435"/>
      <c r="AC1568" s="435"/>
    </row>
    <row r="1569" spans="28:29" x14ac:dyDescent="0.25">
      <c r="AB1569" s="435"/>
      <c r="AC1569" s="435"/>
    </row>
    <row r="1570" spans="28:29" x14ac:dyDescent="0.25">
      <c r="AB1570" s="435"/>
      <c r="AC1570" s="435"/>
    </row>
    <row r="1571" spans="28:29" x14ac:dyDescent="0.25">
      <c r="AB1571" s="435"/>
      <c r="AC1571" s="435"/>
    </row>
    <row r="1572" spans="28:29" x14ac:dyDescent="0.25">
      <c r="AB1572" s="435"/>
      <c r="AC1572" s="435"/>
    </row>
    <row r="1573" spans="28:29" x14ac:dyDescent="0.25">
      <c r="AB1573" s="435"/>
      <c r="AC1573" s="435"/>
    </row>
    <row r="1574" spans="28:29" x14ac:dyDescent="0.25">
      <c r="AB1574" s="435"/>
      <c r="AC1574" s="435"/>
    </row>
    <row r="1575" spans="28:29" x14ac:dyDescent="0.25">
      <c r="AB1575" s="435"/>
      <c r="AC1575" s="435"/>
    </row>
    <row r="1576" spans="28:29" x14ac:dyDescent="0.25">
      <c r="AB1576" s="435"/>
      <c r="AC1576" s="435"/>
    </row>
    <row r="1577" spans="28:29" x14ac:dyDescent="0.25">
      <c r="AB1577" s="435"/>
      <c r="AC1577" s="435"/>
    </row>
    <row r="1578" spans="28:29" x14ac:dyDescent="0.25">
      <c r="AB1578" s="435"/>
      <c r="AC1578" s="435"/>
    </row>
    <row r="1579" spans="28:29" x14ac:dyDescent="0.25">
      <c r="AB1579" s="435"/>
      <c r="AC1579" s="435"/>
    </row>
    <row r="1580" spans="28:29" x14ac:dyDescent="0.25">
      <c r="AB1580" s="435"/>
      <c r="AC1580" s="435"/>
    </row>
    <row r="1581" spans="28:29" x14ac:dyDescent="0.25">
      <c r="AB1581" s="435"/>
      <c r="AC1581" s="435"/>
    </row>
    <row r="1582" spans="28:29" x14ac:dyDescent="0.25">
      <c r="AB1582" s="435"/>
      <c r="AC1582" s="435"/>
    </row>
    <row r="1583" spans="28:29" x14ac:dyDescent="0.25">
      <c r="AB1583" s="435"/>
      <c r="AC1583" s="435"/>
    </row>
    <row r="1584" spans="28:29" x14ac:dyDescent="0.25">
      <c r="AB1584" s="435"/>
      <c r="AC1584" s="435"/>
    </row>
    <row r="1585" spans="28:29" x14ac:dyDescent="0.25">
      <c r="AB1585" s="435"/>
      <c r="AC1585" s="435"/>
    </row>
    <row r="1586" spans="28:29" x14ac:dyDescent="0.25">
      <c r="AB1586" s="435"/>
      <c r="AC1586" s="435"/>
    </row>
    <row r="1587" spans="28:29" x14ac:dyDescent="0.25">
      <c r="AB1587" s="435"/>
      <c r="AC1587" s="435"/>
    </row>
    <row r="1588" spans="28:29" x14ac:dyDescent="0.25">
      <c r="AB1588" s="435"/>
      <c r="AC1588" s="435"/>
    </row>
    <row r="1589" spans="28:29" x14ac:dyDescent="0.25">
      <c r="AB1589" s="435"/>
      <c r="AC1589" s="435"/>
    </row>
    <row r="1590" spans="28:29" x14ac:dyDescent="0.25">
      <c r="AB1590" s="435"/>
      <c r="AC1590" s="435"/>
    </row>
    <row r="1591" spans="28:29" x14ac:dyDescent="0.25">
      <c r="AB1591" s="435"/>
      <c r="AC1591" s="435"/>
    </row>
    <row r="1592" spans="28:29" x14ac:dyDescent="0.25">
      <c r="AB1592" s="435"/>
      <c r="AC1592" s="435"/>
    </row>
    <row r="1593" spans="28:29" x14ac:dyDescent="0.25">
      <c r="AB1593" s="435"/>
      <c r="AC1593" s="435"/>
    </row>
    <row r="1594" spans="28:29" x14ac:dyDescent="0.25">
      <c r="AB1594" s="435"/>
      <c r="AC1594" s="435"/>
    </row>
    <row r="1595" spans="28:29" x14ac:dyDescent="0.25">
      <c r="AB1595" s="435"/>
      <c r="AC1595" s="435"/>
    </row>
    <row r="1596" spans="28:29" x14ac:dyDescent="0.25">
      <c r="AB1596" s="435"/>
      <c r="AC1596" s="435"/>
    </row>
    <row r="1597" spans="28:29" x14ac:dyDescent="0.25">
      <c r="AB1597" s="435"/>
      <c r="AC1597" s="435"/>
    </row>
    <row r="1598" spans="28:29" x14ac:dyDescent="0.25">
      <c r="AB1598" s="435"/>
      <c r="AC1598" s="435"/>
    </row>
    <row r="1599" spans="28:29" x14ac:dyDescent="0.25">
      <c r="AB1599" s="435"/>
      <c r="AC1599" s="435"/>
    </row>
    <row r="1600" spans="28:29" x14ac:dyDescent="0.25">
      <c r="AB1600" s="435"/>
      <c r="AC1600" s="435"/>
    </row>
    <row r="1601" spans="28:29" x14ac:dyDescent="0.25">
      <c r="AB1601" s="435"/>
      <c r="AC1601" s="435"/>
    </row>
    <row r="1602" spans="28:29" x14ac:dyDescent="0.25">
      <c r="AB1602" s="435"/>
      <c r="AC1602" s="435"/>
    </row>
    <row r="1603" spans="28:29" x14ac:dyDescent="0.25">
      <c r="AB1603" s="435"/>
      <c r="AC1603" s="435"/>
    </row>
    <row r="1604" spans="28:29" x14ac:dyDescent="0.25">
      <c r="AB1604" s="435"/>
      <c r="AC1604" s="435"/>
    </row>
    <row r="1605" spans="28:29" x14ac:dyDescent="0.25">
      <c r="AB1605" s="435"/>
      <c r="AC1605" s="435"/>
    </row>
    <row r="1606" spans="28:29" x14ac:dyDescent="0.25">
      <c r="AB1606" s="435"/>
      <c r="AC1606" s="435"/>
    </row>
    <row r="1607" spans="28:29" x14ac:dyDescent="0.25">
      <c r="AB1607" s="435"/>
      <c r="AC1607" s="435"/>
    </row>
    <row r="1608" spans="28:29" x14ac:dyDescent="0.25">
      <c r="AB1608" s="435"/>
      <c r="AC1608" s="435"/>
    </row>
    <row r="1609" spans="28:29" x14ac:dyDescent="0.25">
      <c r="AB1609" s="435"/>
      <c r="AC1609" s="435"/>
    </row>
    <row r="1610" spans="28:29" x14ac:dyDescent="0.25">
      <c r="AB1610" s="435"/>
      <c r="AC1610" s="435"/>
    </row>
    <row r="1611" spans="28:29" x14ac:dyDescent="0.25">
      <c r="AB1611" s="435"/>
      <c r="AC1611" s="435"/>
    </row>
    <row r="1612" spans="28:29" x14ac:dyDescent="0.25">
      <c r="AB1612" s="435"/>
      <c r="AC1612" s="435"/>
    </row>
    <row r="1613" spans="28:29" x14ac:dyDescent="0.25">
      <c r="AB1613" s="435"/>
      <c r="AC1613" s="435"/>
    </row>
    <row r="1614" spans="28:29" x14ac:dyDescent="0.25">
      <c r="AB1614" s="435"/>
      <c r="AC1614" s="435"/>
    </row>
    <row r="1615" spans="28:29" x14ac:dyDescent="0.25">
      <c r="AB1615" s="435"/>
      <c r="AC1615" s="435"/>
    </row>
    <row r="1616" spans="28:29" x14ac:dyDescent="0.25">
      <c r="AB1616" s="435"/>
      <c r="AC1616" s="435"/>
    </row>
    <row r="1617" spans="28:29" x14ac:dyDescent="0.25">
      <c r="AB1617" s="435"/>
      <c r="AC1617" s="435"/>
    </row>
    <row r="1618" spans="28:29" x14ac:dyDescent="0.25">
      <c r="AB1618" s="435"/>
      <c r="AC1618" s="435"/>
    </row>
    <row r="1619" spans="28:29" x14ac:dyDescent="0.25">
      <c r="AB1619" s="435"/>
      <c r="AC1619" s="435"/>
    </row>
    <row r="1620" spans="28:29" x14ac:dyDescent="0.25">
      <c r="AB1620" s="435"/>
      <c r="AC1620" s="435"/>
    </row>
    <row r="1621" spans="28:29" x14ac:dyDescent="0.25">
      <c r="AB1621" s="435"/>
      <c r="AC1621" s="435"/>
    </row>
    <row r="1622" spans="28:29" x14ac:dyDescent="0.25">
      <c r="AB1622" s="435"/>
      <c r="AC1622" s="435"/>
    </row>
    <row r="1623" spans="28:29" x14ac:dyDescent="0.25">
      <c r="AB1623" s="435"/>
      <c r="AC1623" s="435"/>
    </row>
    <row r="1624" spans="28:29" x14ac:dyDescent="0.25">
      <c r="AB1624" s="435"/>
      <c r="AC1624" s="435"/>
    </row>
    <row r="1625" spans="28:29" x14ac:dyDescent="0.25">
      <c r="AB1625" s="435"/>
      <c r="AC1625" s="435"/>
    </row>
    <row r="1626" spans="28:29" x14ac:dyDescent="0.25">
      <c r="AB1626" s="435"/>
      <c r="AC1626" s="435"/>
    </row>
    <row r="1627" spans="28:29" x14ac:dyDescent="0.25">
      <c r="AB1627" s="435"/>
      <c r="AC1627" s="435"/>
    </row>
    <row r="1628" spans="28:29" x14ac:dyDescent="0.25">
      <c r="AB1628" s="435"/>
      <c r="AC1628" s="435"/>
    </row>
    <row r="1629" spans="28:29" x14ac:dyDescent="0.25">
      <c r="AB1629" s="435"/>
      <c r="AC1629" s="435"/>
    </row>
    <row r="1630" spans="28:29" x14ac:dyDescent="0.25">
      <c r="AB1630" s="435"/>
      <c r="AC1630" s="435"/>
    </row>
    <row r="1631" spans="28:29" x14ac:dyDescent="0.25">
      <c r="AB1631" s="435"/>
      <c r="AC1631" s="435"/>
    </row>
    <row r="1632" spans="28:29" x14ac:dyDescent="0.25">
      <c r="AB1632" s="435"/>
      <c r="AC1632" s="435"/>
    </row>
    <row r="1633" spans="28:29" x14ac:dyDescent="0.25">
      <c r="AB1633" s="435"/>
      <c r="AC1633" s="435"/>
    </row>
    <row r="1634" spans="28:29" x14ac:dyDescent="0.25">
      <c r="AB1634" s="435"/>
      <c r="AC1634" s="435"/>
    </row>
    <row r="1635" spans="28:29" x14ac:dyDescent="0.25">
      <c r="AB1635" s="435"/>
      <c r="AC1635" s="435"/>
    </row>
    <row r="1636" spans="28:29" x14ac:dyDescent="0.25">
      <c r="AB1636" s="435"/>
      <c r="AC1636" s="435"/>
    </row>
    <row r="1637" spans="28:29" x14ac:dyDescent="0.25">
      <c r="AB1637" s="435"/>
      <c r="AC1637" s="435"/>
    </row>
    <row r="1638" spans="28:29" x14ac:dyDescent="0.25">
      <c r="AB1638" s="435"/>
      <c r="AC1638" s="435"/>
    </row>
    <row r="1639" spans="28:29" x14ac:dyDescent="0.25">
      <c r="AB1639" s="435"/>
      <c r="AC1639" s="435"/>
    </row>
    <row r="1640" spans="28:29" x14ac:dyDescent="0.25">
      <c r="AB1640" s="435"/>
      <c r="AC1640" s="435"/>
    </row>
    <row r="1641" spans="28:29" x14ac:dyDescent="0.25">
      <c r="AB1641" s="435"/>
      <c r="AC1641" s="435"/>
    </row>
    <row r="1642" spans="28:29" x14ac:dyDescent="0.25">
      <c r="AB1642" s="435"/>
      <c r="AC1642" s="435"/>
    </row>
    <row r="1643" spans="28:29" x14ac:dyDescent="0.25">
      <c r="AB1643" s="435"/>
      <c r="AC1643" s="435"/>
    </row>
    <row r="1644" spans="28:29" x14ac:dyDescent="0.25">
      <c r="AB1644" s="435"/>
      <c r="AC1644" s="435"/>
    </row>
    <row r="1645" spans="28:29" x14ac:dyDescent="0.25">
      <c r="AB1645" s="435"/>
      <c r="AC1645" s="435"/>
    </row>
    <row r="1646" spans="28:29" x14ac:dyDescent="0.25">
      <c r="AB1646" s="435"/>
      <c r="AC1646" s="435"/>
    </row>
    <row r="1647" spans="28:29" x14ac:dyDescent="0.25">
      <c r="AB1647" s="435"/>
      <c r="AC1647" s="435"/>
    </row>
    <row r="1648" spans="28:29" x14ac:dyDescent="0.25">
      <c r="AB1648" s="435"/>
      <c r="AC1648" s="435"/>
    </row>
    <row r="1649" spans="28:29" x14ac:dyDescent="0.25">
      <c r="AB1649" s="435"/>
      <c r="AC1649" s="435"/>
    </row>
    <row r="1650" spans="28:29" x14ac:dyDescent="0.25">
      <c r="AB1650" s="435"/>
      <c r="AC1650" s="435"/>
    </row>
    <row r="1651" spans="28:29" x14ac:dyDescent="0.25">
      <c r="AB1651" s="435"/>
      <c r="AC1651" s="435"/>
    </row>
    <row r="1652" spans="28:29" x14ac:dyDescent="0.25">
      <c r="AB1652" s="435"/>
      <c r="AC1652" s="435"/>
    </row>
    <row r="1653" spans="28:29" x14ac:dyDescent="0.25">
      <c r="AB1653" s="435"/>
      <c r="AC1653" s="435"/>
    </row>
    <row r="1654" spans="28:29" x14ac:dyDescent="0.25">
      <c r="AB1654" s="435"/>
      <c r="AC1654" s="435"/>
    </row>
    <row r="1655" spans="28:29" x14ac:dyDescent="0.25">
      <c r="AB1655" s="435"/>
      <c r="AC1655" s="435"/>
    </row>
    <row r="1656" spans="28:29" x14ac:dyDescent="0.25">
      <c r="AB1656" s="435"/>
      <c r="AC1656" s="435"/>
    </row>
    <row r="1657" spans="28:29" x14ac:dyDescent="0.25">
      <c r="AB1657" s="435"/>
      <c r="AC1657" s="435"/>
    </row>
    <row r="1658" spans="28:29" x14ac:dyDescent="0.25">
      <c r="AB1658" s="435"/>
      <c r="AC1658" s="435"/>
    </row>
    <row r="1659" spans="28:29" x14ac:dyDescent="0.25">
      <c r="AB1659" s="435"/>
      <c r="AC1659" s="435"/>
    </row>
    <row r="1660" spans="28:29" x14ac:dyDescent="0.25">
      <c r="AB1660" s="435"/>
      <c r="AC1660" s="435"/>
    </row>
    <row r="1661" spans="28:29" x14ac:dyDescent="0.25">
      <c r="AB1661" s="435"/>
      <c r="AC1661" s="435"/>
    </row>
    <row r="1662" spans="28:29" x14ac:dyDescent="0.25">
      <c r="AB1662" s="435"/>
      <c r="AC1662" s="435"/>
    </row>
    <row r="1663" spans="28:29" x14ac:dyDescent="0.25">
      <c r="AB1663" s="435"/>
      <c r="AC1663" s="435"/>
    </row>
    <row r="1664" spans="28:29" x14ac:dyDescent="0.25">
      <c r="AB1664" s="435"/>
      <c r="AC1664" s="435"/>
    </row>
    <row r="1665" spans="28:29" x14ac:dyDescent="0.25">
      <c r="AB1665" s="435"/>
      <c r="AC1665" s="435"/>
    </row>
    <row r="1666" spans="28:29" x14ac:dyDescent="0.25">
      <c r="AB1666" s="435"/>
      <c r="AC1666" s="435"/>
    </row>
    <row r="1667" spans="28:29" x14ac:dyDescent="0.25">
      <c r="AB1667" s="435"/>
      <c r="AC1667" s="435"/>
    </row>
    <row r="1668" spans="28:29" x14ac:dyDescent="0.25">
      <c r="AB1668" s="435"/>
      <c r="AC1668" s="435"/>
    </row>
    <row r="1669" spans="28:29" x14ac:dyDescent="0.25">
      <c r="AB1669" s="435"/>
      <c r="AC1669" s="435"/>
    </row>
    <row r="1670" spans="28:29" x14ac:dyDescent="0.25">
      <c r="AB1670" s="435"/>
      <c r="AC1670" s="435"/>
    </row>
    <row r="1671" spans="28:29" x14ac:dyDescent="0.25">
      <c r="AB1671" s="435"/>
      <c r="AC1671" s="435"/>
    </row>
    <row r="1672" spans="28:29" x14ac:dyDescent="0.25">
      <c r="AB1672" s="435"/>
      <c r="AC1672" s="435"/>
    </row>
    <row r="1673" spans="28:29" x14ac:dyDescent="0.25">
      <c r="AB1673" s="435"/>
      <c r="AC1673" s="435"/>
    </row>
    <row r="1674" spans="28:29" x14ac:dyDescent="0.25">
      <c r="AB1674" s="435"/>
      <c r="AC1674" s="435"/>
    </row>
    <row r="1675" spans="28:29" x14ac:dyDescent="0.25">
      <c r="AB1675" s="435"/>
      <c r="AC1675" s="435"/>
    </row>
    <row r="1676" spans="28:29" x14ac:dyDescent="0.25">
      <c r="AB1676" s="435"/>
      <c r="AC1676" s="435"/>
    </row>
    <row r="1677" spans="28:29" x14ac:dyDescent="0.25">
      <c r="AB1677" s="435"/>
      <c r="AC1677" s="435"/>
    </row>
    <row r="1678" spans="28:29" x14ac:dyDescent="0.25">
      <c r="AB1678" s="435"/>
      <c r="AC1678" s="435"/>
    </row>
    <row r="1679" spans="28:29" x14ac:dyDescent="0.25">
      <c r="AB1679" s="435"/>
      <c r="AC1679" s="435"/>
    </row>
    <row r="1680" spans="28:29" x14ac:dyDescent="0.25">
      <c r="AB1680" s="435"/>
      <c r="AC1680" s="435"/>
    </row>
    <row r="1681" spans="28:29" x14ac:dyDescent="0.25">
      <c r="AB1681" s="435"/>
      <c r="AC1681" s="435"/>
    </row>
    <row r="1682" spans="28:29" x14ac:dyDescent="0.25">
      <c r="AB1682" s="435"/>
      <c r="AC1682" s="435"/>
    </row>
    <row r="1683" spans="28:29" x14ac:dyDescent="0.25">
      <c r="AB1683" s="435"/>
      <c r="AC1683" s="435"/>
    </row>
    <row r="1684" spans="28:29" x14ac:dyDescent="0.25">
      <c r="AB1684" s="435"/>
      <c r="AC1684" s="435"/>
    </row>
    <row r="1685" spans="28:29" x14ac:dyDescent="0.25">
      <c r="AB1685" s="435"/>
      <c r="AC1685" s="435"/>
    </row>
    <row r="1686" spans="28:29" x14ac:dyDescent="0.25">
      <c r="AB1686" s="435"/>
      <c r="AC1686" s="435"/>
    </row>
    <row r="1687" spans="28:29" x14ac:dyDescent="0.25">
      <c r="AB1687" s="435"/>
      <c r="AC1687" s="435"/>
    </row>
    <row r="1688" spans="28:29" x14ac:dyDescent="0.25">
      <c r="AB1688" s="435"/>
      <c r="AC1688" s="435"/>
    </row>
    <row r="1689" spans="28:29" x14ac:dyDescent="0.25">
      <c r="AB1689" s="435"/>
      <c r="AC1689" s="435"/>
    </row>
    <row r="1690" spans="28:29" x14ac:dyDescent="0.25">
      <c r="AB1690" s="435"/>
      <c r="AC1690" s="435"/>
    </row>
    <row r="1691" spans="28:29" x14ac:dyDescent="0.25">
      <c r="AB1691" s="435"/>
      <c r="AC1691" s="435"/>
    </row>
    <row r="1692" spans="28:29" x14ac:dyDescent="0.25">
      <c r="AB1692" s="435"/>
      <c r="AC1692" s="435"/>
    </row>
    <row r="1693" spans="28:29" x14ac:dyDescent="0.25">
      <c r="AB1693" s="435"/>
      <c r="AC1693" s="435"/>
    </row>
    <row r="1694" spans="28:29" x14ac:dyDescent="0.25">
      <c r="AB1694" s="435"/>
      <c r="AC1694" s="435"/>
    </row>
    <row r="1695" spans="28:29" x14ac:dyDescent="0.25">
      <c r="AB1695" s="435"/>
      <c r="AC1695" s="435"/>
    </row>
    <row r="1696" spans="28:29" x14ac:dyDescent="0.25">
      <c r="AB1696" s="435"/>
      <c r="AC1696" s="435"/>
    </row>
  </sheetData>
  <autoFilter ref="A1:O606"/>
  <phoneticPr fontId="85" type="noConversion"/>
  <conditionalFormatting sqref="C2:O111 C112:H221 J112:O221 C277:H606 J277:O606">
    <cfRule type="expression" dxfId="2670" priority="31">
      <formula>$F2="MC"</formula>
    </cfRule>
  </conditionalFormatting>
  <conditionalFormatting sqref="B2:B56">
    <cfRule type="expression" dxfId="2669" priority="30">
      <formula>#REF!="MC"</formula>
    </cfRule>
  </conditionalFormatting>
  <conditionalFormatting sqref="B57:B111">
    <cfRule type="expression" dxfId="2668" priority="28">
      <formula>#REF!="MC"</formula>
    </cfRule>
  </conditionalFormatting>
  <conditionalFormatting sqref="B112:B166">
    <cfRule type="expression" dxfId="2667" priority="26">
      <formula>#REF!="MC"</formula>
    </cfRule>
  </conditionalFormatting>
  <conditionalFormatting sqref="B167:B221">
    <cfRule type="expression" dxfId="2666" priority="24">
      <formula>#REF!="MC"</formula>
    </cfRule>
  </conditionalFormatting>
  <conditionalFormatting sqref="B222:B276">
    <cfRule type="expression" dxfId="2665" priority="22">
      <formula>#REF!="MC"</formula>
    </cfRule>
  </conditionalFormatting>
  <conditionalFormatting sqref="B277:B331">
    <cfRule type="expression" dxfId="2664" priority="20">
      <formula>#REF!="MC"</formula>
    </cfRule>
  </conditionalFormatting>
  <conditionalFormatting sqref="B332:B386">
    <cfRule type="expression" dxfId="2663" priority="18">
      <formula>#REF!="MC"</formula>
    </cfRule>
  </conditionalFormatting>
  <conditionalFormatting sqref="B387:B441">
    <cfRule type="expression" dxfId="2662" priority="16">
      <formula>#REF!="MC"</formula>
    </cfRule>
  </conditionalFormatting>
  <conditionalFormatting sqref="B442:B496">
    <cfRule type="expression" dxfId="2661" priority="14">
      <formula>#REF!="MC"</formula>
    </cfRule>
  </conditionalFormatting>
  <conditionalFormatting sqref="B497:B551">
    <cfRule type="expression" dxfId="2660" priority="12">
      <formula>#REF!="MC"</formula>
    </cfRule>
  </conditionalFormatting>
  <conditionalFormatting sqref="B552:B606">
    <cfRule type="expression" dxfId="2659" priority="10">
      <formula>#REF!="MC"</formula>
    </cfRule>
  </conditionalFormatting>
  <conditionalFormatting sqref="I167:I221">
    <cfRule type="expression" dxfId="2658" priority="8">
      <formula>$F167="MC"</formula>
    </cfRule>
  </conditionalFormatting>
  <conditionalFormatting sqref="C222:H276 J222:O276">
    <cfRule type="expression" dxfId="2657" priority="7">
      <formula>$F222="MC"</formula>
    </cfRule>
  </conditionalFormatting>
  <conditionalFormatting sqref="I222:I276">
    <cfRule type="expression" dxfId="2656" priority="6">
      <formula>$F222="MC"</formula>
    </cfRule>
  </conditionalFormatting>
  <conditionalFormatting sqref="S1">
    <cfRule type="cellIs" dxfId="2655" priority="3" operator="equal">
      <formula>3</formula>
    </cfRule>
    <cfRule type="cellIs" dxfId="2654" priority="4" operator="equal">
      <formula>2</formula>
    </cfRule>
    <cfRule type="cellIs" dxfId="2653" priority="5" operator="equal">
      <formula>1</formula>
    </cfRule>
  </conditionalFormatting>
  <conditionalFormatting sqref="Z1">
    <cfRule type="expression" dxfId="2652" priority="2">
      <formula>FIND("RETIDO",Z1)</formula>
    </cfRule>
  </conditionalFormatting>
  <conditionalFormatting sqref="AB1">
    <cfRule type="expression" dxfId="2651" priority="1">
      <formula>FIND("RETIDO",AB1)</formula>
    </cfRule>
  </conditionalFormatting>
  <pageMargins left="0.51181102362204722" right="0.51181102362204722" top="0.78740157480314965" bottom="0.78740157480314965" header="0.31496062992125984" footer="0.31496062992125984"/>
  <pageSetup paperSize="9" scale="10" orientation="portrait" r:id="rId1"/>
  <rowBreaks count="1" manualBreakCount="1">
    <brk id="44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23"/>
  <sheetViews>
    <sheetView showGridLines="0" view="pageBreakPreview" topLeftCell="A7" zoomScaleNormal="100" zoomScaleSheetLayoutView="100" workbookViewId="0">
      <selection activeCell="G20" sqref="G20"/>
    </sheetView>
  </sheetViews>
  <sheetFormatPr defaultColWidth="1" defaultRowHeight="12.75" x14ac:dyDescent="0.2"/>
  <cols>
    <col min="1" max="1" width="2.42578125" style="185" customWidth="1"/>
    <col min="2" max="2" width="7.85546875" style="185" customWidth="1"/>
    <col min="3" max="3" width="9.85546875" style="246" customWidth="1"/>
    <col min="4" max="4" width="22.42578125" style="247" customWidth="1"/>
    <col min="5" max="13" width="8.7109375" style="185" customWidth="1"/>
    <col min="14" max="16" width="8.7109375" style="188" customWidth="1"/>
    <col min="17" max="253" width="1" style="185"/>
    <col min="254" max="254" width="2.42578125" style="185" customWidth="1"/>
    <col min="255" max="255" width="7.85546875" style="185" customWidth="1"/>
    <col min="256" max="256" width="9.85546875" style="185" customWidth="1"/>
    <col min="257" max="257" width="22.42578125" style="185" customWidth="1"/>
    <col min="258" max="258" width="6" style="185" customWidth="1"/>
    <col min="259" max="259" width="5.28515625" style="185" customWidth="1"/>
    <col min="260" max="260" width="12" style="185" customWidth="1"/>
    <col min="261" max="262" width="5.7109375" style="185" customWidth="1"/>
    <col min="263" max="263" width="7.28515625" style="185" customWidth="1"/>
    <col min="264" max="265" width="6.28515625" style="185" customWidth="1"/>
    <col min="266" max="266" width="7.28515625" style="185" customWidth="1"/>
    <col min="267" max="268" width="6.28515625" style="185" customWidth="1"/>
    <col min="269" max="269" width="7.28515625" style="185" customWidth="1"/>
    <col min="270" max="271" width="6.28515625" style="185" customWidth="1"/>
    <col min="272" max="272" width="7.28515625" style="185" customWidth="1"/>
    <col min="273" max="509" width="1" style="185"/>
    <col min="510" max="510" width="2.42578125" style="185" customWidth="1"/>
    <col min="511" max="511" width="7.85546875" style="185" customWidth="1"/>
    <col min="512" max="512" width="9.85546875" style="185" customWidth="1"/>
    <col min="513" max="513" width="22.42578125" style="185" customWidth="1"/>
    <col min="514" max="514" width="6" style="185" customWidth="1"/>
    <col min="515" max="515" width="5.28515625" style="185" customWidth="1"/>
    <col min="516" max="516" width="12" style="185" customWidth="1"/>
    <col min="517" max="518" width="5.7109375" style="185" customWidth="1"/>
    <col min="519" max="519" width="7.28515625" style="185" customWidth="1"/>
    <col min="520" max="521" width="6.28515625" style="185" customWidth="1"/>
    <col min="522" max="522" width="7.28515625" style="185" customWidth="1"/>
    <col min="523" max="524" width="6.28515625" style="185" customWidth="1"/>
    <col min="525" max="525" width="7.28515625" style="185" customWidth="1"/>
    <col min="526" max="527" width="6.28515625" style="185" customWidth="1"/>
    <col min="528" max="528" width="7.28515625" style="185" customWidth="1"/>
    <col min="529" max="765" width="1" style="185"/>
    <col min="766" max="766" width="2.42578125" style="185" customWidth="1"/>
    <col min="767" max="767" width="7.85546875" style="185" customWidth="1"/>
    <col min="768" max="768" width="9.85546875" style="185" customWidth="1"/>
    <col min="769" max="769" width="22.42578125" style="185" customWidth="1"/>
    <col min="770" max="770" width="6" style="185" customWidth="1"/>
    <col min="771" max="771" width="5.28515625" style="185" customWidth="1"/>
    <col min="772" max="772" width="12" style="185" customWidth="1"/>
    <col min="773" max="774" width="5.7109375" style="185" customWidth="1"/>
    <col min="775" max="775" width="7.28515625" style="185" customWidth="1"/>
    <col min="776" max="777" width="6.28515625" style="185" customWidth="1"/>
    <col min="778" max="778" width="7.28515625" style="185" customWidth="1"/>
    <col min="779" max="780" width="6.28515625" style="185" customWidth="1"/>
    <col min="781" max="781" width="7.28515625" style="185" customWidth="1"/>
    <col min="782" max="783" width="6.28515625" style="185" customWidth="1"/>
    <col min="784" max="784" width="7.28515625" style="185" customWidth="1"/>
    <col min="785" max="1021" width="1" style="185"/>
    <col min="1022" max="1022" width="2.42578125" style="185" customWidth="1"/>
    <col min="1023" max="1023" width="7.85546875" style="185" customWidth="1"/>
    <col min="1024" max="1024" width="9.85546875" style="185" customWidth="1"/>
    <col min="1025" max="1025" width="22.42578125" style="185" customWidth="1"/>
    <col min="1026" max="1026" width="6" style="185" customWidth="1"/>
    <col min="1027" max="1027" width="5.28515625" style="185" customWidth="1"/>
    <col min="1028" max="1028" width="12" style="185" customWidth="1"/>
    <col min="1029" max="1030" width="5.7109375" style="185" customWidth="1"/>
    <col min="1031" max="1031" width="7.28515625" style="185" customWidth="1"/>
    <col min="1032" max="1033" width="6.28515625" style="185" customWidth="1"/>
    <col min="1034" max="1034" width="7.28515625" style="185" customWidth="1"/>
    <col min="1035" max="1036" width="6.28515625" style="185" customWidth="1"/>
    <col min="1037" max="1037" width="7.28515625" style="185" customWidth="1"/>
    <col min="1038" max="1039" width="6.28515625" style="185" customWidth="1"/>
    <col min="1040" max="1040" width="7.28515625" style="185" customWidth="1"/>
    <col min="1041" max="1277" width="1" style="185"/>
    <col min="1278" max="1278" width="2.42578125" style="185" customWidth="1"/>
    <col min="1279" max="1279" width="7.85546875" style="185" customWidth="1"/>
    <col min="1280" max="1280" width="9.85546875" style="185" customWidth="1"/>
    <col min="1281" max="1281" width="22.42578125" style="185" customWidth="1"/>
    <col min="1282" max="1282" width="6" style="185" customWidth="1"/>
    <col min="1283" max="1283" width="5.28515625" style="185" customWidth="1"/>
    <col min="1284" max="1284" width="12" style="185" customWidth="1"/>
    <col min="1285" max="1286" width="5.7109375" style="185" customWidth="1"/>
    <col min="1287" max="1287" width="7.28515625" style="185" customWidth="1"/>
    <col min="1288" max="1289" width="6.28515625" style="185" customWidth="1"/>
    <col min="1290" max="1290" width="7.28515625" style="185" customWidth="1"/>
    <col min="1291" max="1292" width="6.28515625" style="185" customWidth="1"/>
    <col min="1293" max="1293" width="7.28515625" style="185" customWidth="1"/>
    <col min="1294" max="1295" width="6.28515625" style="185" customWidth="1"/>
    <col min="1296" max="1296" width="7.28515625" style="185" customWidth="1"/>
    <col min="1297" max="1533" width="1" style="185"/>
    <col min="1534" max="1534" width="2.42578125" style="185" customWidth="1"/>
    <col min="1535" max="1535" width="7.85546875" style="185" customWidth="1"/>
    <col min="1536" max="1536" width="9.85546875" style="185" customWidth="1"/>
    <col min="1537" max="1537" width="22.42578125" style="185" customWidth="1"/>
    <col min="1538" max="1538" width="6" style="185" customWidth="1"/>
    <col min="1539" max="1539" width="5.28515625" style="185" customWidth="1"/>
    <col min="1540" max="1540" width="12" style="185" customWidth="1"/>
    <col min="1541" max="1542" width="5.7109375" style="185" customWidth="1"/>
    <col min="1543" max="1543" width="7.28515625" style="185" customWidth="1"/>
    <col min="1544" max="1545" width="6.28515625" style="185" customWidth="1"/>
    <col min="1546" max="1546" width="7.28515625" style="185" customWidth="1"/>
    <col min="1547" max="1548" width="6.28515625" style="185" customWidth="1"/>
    <col min="1549" max="1549" width="7.28515625" style="185" customWidth="1"/>
    <col min="1550" max="1551" width="6.28515625" style="185" customWidth="1"/>
    <col min="1552" max="1552" width="7.28515625" style="185" customWidth="1"/>
    <col min="1553" max="1789" width="1" style="185"/>
    <col min="1790" max="1790" width="2.42578125" style="185" customWidth="1"/>
    <col min="1791" max="1791" width="7.85546875" style="185" customWidth="1"/>
    <col min="1792" max="1792" width="9.85546875" style="185" customWidth="1"/>
    <col min="1793" max="1793" width="22.42578125" style="185" customWidth="1"/>
    <col min="1794" max="1794" width="6" style="185" customWidth="1"/>
    <col min="1795" max="1795" width="5.28515625" style="185" customWidth="1"/>
    <col min="1796" max="1796" width="12" style="185" customWidth="1"/>
    <col min="1797" max="1798" width="5.7109375" style="185" customWidth="1"/>
    <col min="1799" max="1799" width="7.28515625" style="185" customWidth="1"/>
    <col min="1800" max="1801" width="6.28515625" style="185" customWidth="1"/>
    <col min="1802" max="1802" width="7.28515625" style="185" customWidth="1"/>
    <col min="1803" max="1804" width="6.28515625" style="185" customWidth="1"/>
    <col min="1805" max="1805" width="7.28515625" style="185" customWidth="1"/>
    <col min="1806" max="1807" width="6.28515625" style="185" customWidth="1"/>
    <col min="1808" max="1808" width="7.28515625" style="185" customWidth="1"/>
    <col min="1809" max="2045" width="1" style="185"/>
    <col min="2046" max="2046" width="2.42578125" style="185" customWidth="1"/>
    <col min="2047" max="2047" width="7.85546875" style="185" customWidth="1"/>
    <col min="2048" max="2048" width="9.85546875" style="185" customWidth="1"/>
    <col min="2049" max="2049" width="22.42578125" style="185" customWidth="1"/>
    <col min="2050" max="2050" width="6" style="185" customWidth="1"/>
    <col min="2051" max="2051" width="5.28515625" style="185" customWidth="1"/>
    <col min="2052" max="2052" width="12" style="185" customWidth="1"/>
    <col min="2053" max="2054" width="5.7109375" style="185" customWidth="1"/>
    <col min="2055" max="2055" width="7.28515625" style="185" customWidth="1"/>
    <col min="2056" max="2057" width="6.28515625" style="185" customWidth="1"/>
    <col min="2058" max="2058" width="7.28515625" style="185" customWidth="1"/>
    <col min="2059" max="2060" width="6.28515625" style="185" customWidth="1"/>
    <col min="2061" max="2061" width="7.28515625" style="185" customWidth="1"/>
    <col min="2062" max="2063" width="6.28515625" style="185" customWidth="1"/>
    <col min="2064" max="2064" width="7.28515625" style="185" customWidth="1"/>
    <col min="2065" max="2301" width="1" style="185"/>
    <col min="2302" max="2302" width="2.42578125" style="185" customWidth="1"/>
    <col min="2303" max="2303" width="7.85546875" style="185" customWidth="1"/>
    <col min="2304" max="2304" width="9.85546875" style="185" customWidth="1"/>
    <col min="2305" max="2305" width="22.42578125" style="185" customWidth="1"/>
    <col min="2306" max="2306" width="6" style="185" customWidth="1"/>
    <col min="2307" max="2307" width="5.28515625" style="185" customWidth="1"/>
    <col min="2308" max="2308" width="12" style="185" customWidth="1"/>
    <col min="2309" max="2310" width="5.7109375" style="185" customWidth="1"/>
    <col min="2311" max="2311" width="7.28515625" style="185" customWidth="1"/>
    <col min="2312" max="2313" width="6.28515625" style="185" customWidth="1"/>
    <col min="2314" max="2314" width="7.28515625" style="185" customWidth="1"/>
    <col min="2315" max="2316" width="6.28515625" style="185" customWidth="1"/>
    <col min="2317" max="2317" width="7.28515625" style="185" customWidth="1"/>
    <col min="2318" max="2319" width="6.28515625" style="185" customWidth="1"/>
    <col min="2320" max="2320" width="7.28515625" style="185" customWidth="1"/>
    <col min="2321" max="2557" width="1" style="185"/>
    <col min="2558" max="2558" width="2.42578125" style="185" customWidth="1"/>
    <col min="2559" max="2559" width="7.85546875" style="185" customWidth="1"/>
    <col min="2560" max="2560" width="9.85546875" style="185" customWidth="1"/>
    <col min="2561" max="2561" width="22.42578125" style="185" customWidth="1"/>
    <col min="2562" max="2562" width="6" style="185" customWidth="1"/>
    <col min="2563" max="2563" width="5.28515625" style="185" customWidth="1"/>
    <col min="2564" max="2564" width="12" style="185" customWidth="1"/>
    <col min="2565" max="2566" width="5.7109375" style="185" customWidth="1"/>
    <col min="2567" max="2567" width="7.28515625" style="185" customWidth="1"/>
    <col min="2568" max="2569" width="6.28515625" style="185" customWidth="1"/>
    <col min="2570" max="2570" width="7.28515625" style="185" customWidth="1"/>
    <col min="2571" max="2572" width="6.28515625" style="185" customWidth="1"/>
    <col min="2573" max="2573" width="7.28515625" style="185" customWidth="1"/>
    <col min="2574" max="2575" width="6.28515625" style="185" customWidth="1"/>
    <col min="2576" max="2576" width="7.28515625" style="185" customWidth="1"/>
    <col min="2577" max="2813" width="1" style="185"/>
    <col min="2814" max="2814" width="2.42578125" style="185" customWidth="1"/>
    <col min="2815" max="2815" width="7.85546875" style="185" customWidth="1"/>
    <col min="2816" max="2816" width="9.85546875" style="185" customWidth="1"/>
    <col min="2817" max="2817" width="22.42578125" style="185" customWidth="1"/>
    <col min="2818" max="2818" width="6" style="185" customWidth="1"/>
    <col min="2819" max="2819" width="5.28515625" style="185" customWidth="1"/>
    <col min="2820" max="2820" width="12" style="185" customWidth="1"/>
    <col min="2821" max="2822" width="5.7109375" style="185" customWidth="1"/>
    <col min="2823" max="2823" width="7.28515625" style="185" customWidth="1"/>
    <col min="2824" max="2825" width="6.28515625" style="185" customWidth="1"/>
    <col min="2826" max="2826" width="7.28515625" style="185" customWidth="1"/>
    <col min="2827" max="2828" width="6.28515625" style="185" customWidth="1"/>
    <col min="2829" max="2829" width="7.28515625" style="185" customWidth="1"/>
    <col min="2830" max="2831" width="6.28515625" style="185" customWidth="1"/>
    <col min="2832" max="2832" width="7.28515625" style="185" customWidth="1"/>
    <col min="2833" max="3069" width="1" style="185"/>
    <col min="3070" max="3070" width="2.42578125" style="185" customWidth="1"/>
    <col min="3071" max="3071" width="7.85546875" style="185" customWidth="1"/>
    <col min="3072" max="3072" width="9.85546875" style="185" customWidth="1"/>
    <col min="3073" max="3073" width="22.42578125" style="185" customWidth="1"/>
    <col min="3074" max="3074" width="6" style="185" customWidth="1"/>
    <col min="3075" max="3075" width="5.28515625" style="185" customWidth="1"/>
    <col min="3076" max="3076" width="12" style="185" customWidth="1"/>
    <col min="3077" max="3078" width="5.7109375" style="185" customWidth="1"/>
    <col min="3079" max="3079" width="7.28515625" style="185" customWidth="1"/>
    <col min="3080" max="3081" width="6.28515625" style="185" customWidth="1"/>
    <col min="3082" max="3082" width="7.28515625" style="185" customWidth="1"/>
    <col min="3083" max="3084" width="6.28515625" style="185" customWidth="1"/>
    <col min="3085" max="3085" width="7.28515625" style="185" customWidth="1"/>
    <col min="3086" max="3087" width="6.28515625" style="185" customWidth="1"/>
    <col min="3088" max="3088" width="7.28515625" style="185" customWidth="1"/>
    <col min="3089" max="3325" width="1" style="185"/>
    <col min="3326" max="3326" width="2.42578125" style="185" customWidth="1"/>
    <col min="3327" max="3327" width="7.85546875" style="185" customWidth="1"/>
    <col min="3328" max="3328" width="9.85546875" style="185" customWidth="1"/>
    <col min="3329" max="3329" width="22.42578125" style="185" customWidth="1"/>
    <col min="3330" max="3330" width="6" style="185" customWidth="1"/>
    <col min="3331" max="3331" width="5.28515625" style="185" customWidth="1"/>
    <col min="3332" max="3332" width="12" style="185" customWidth="1"/>
    <col min="3333" max="3334" width="5.7109375" style="185" customWidth="1"/>
    <col min="3335" max="3335" width="7.28515625" style="185" customWidth="1"/>
    <col min="3336" max="3337" width="6.28515625" style="185" customWidth="1"/>
    <col min="3338" max="3338" width="7.28515625" style="185" customWidth="1"/>
    <col min="3339" max="3340" width="6.28515625" style="185" customWidth="1"/>
    <col min="3341" max="3341" width="7.28515625" style="185" customWidth="1"/>
    <col min="3342" max="3343" width="6.28515625" style="185" customWidth="1"/>
    <col min="3344" max="3344" width="7.28515625" style="185" customWidth="1"/>
    <col min="3345" max="3581" width="1" style="185"/>
    <col min="3582" max="3582" width="2.42578125" style="185" customWidth="1"/>
    <col min="3583" max="3583" width="7.85546875" style="185" customWidth="1"/>
    <col min="3584" max="3584" width="9.85546875" style="185" customWidth="1"/>
    <col min="3585" max="3585" width="22.42578125" style="185" customWidth="1"/>
    <col min="3586" max="3586" width="6" style="185" customWidth="1"/>
    <col min="3587" max="3587" width="5.28515625" style="185" customWidth="1"/>
    <col min="3588" max="3588" width="12" style="185" customWidth="1"/>
    <col min="3589" max="3590" width="5.7109375" style="185" customWidth="1"/>
    <col min="3591" max="3591" width="7.28515625" style="185" customWidth="1"/>
    <col min="3592" max="3593" width="6.28515625" style="185" customWidth="1"/>
    <col min="3594" max="3594" width="7.28515625" style="185" customWidth="1"/>
    <col min="3595" max="3596" width="6.28515625" style="185" customWidth="1"/>
    <col min="3597" max="3597" width="7.28515625" style="185" customWidth="1"/>
    <col min="3598" max="3599" width="6.28515625" style="185" customWidth="1"/>
    <col min="3600" max="3600" width="7.28515625" style="185" customWidth="1"/>
    <col min="3601" max="3837" width="1" style="185"/>
    <col min="3838" max="3838" width="2.42578125" style="185" customWidth="1"/>
    <col min="3839" max="3839" width="7.85546875" style="185" customWidth="1"/>
    <col min="3840" max="3840" width="9.85546875" style="185" customWidth="1"/>
    <col min="3841" max="3841" width="22.42578125" style="185" customWidth="1"/>
    <col min="3842" max="3842" width="6" style="185" customWidth="1"/>
    <col min="3843" max="3843" width="5.28515625" style="185" customWidth="1"/>
    <col min="3844" max="3844" width="12" style="185" customWidth="1"/>
    <col min="3845" max="3846" width="5.7109375" style="185" customWidth="1"/>
    <col min="3847" max="3847" width="7.28515625" style="185" customWidth="1"/>
    <col min="3848" max="3849" width="6.28515625" style="185" customWidth="1"/>
    <col min="3850" max="3850" width="7.28515625" style="185" customWidth="1"/>
    <col min="3851" max="3852" width="6.28515625" style="185" customWidth="1"/>
    <col min="3853" max="3853" width="7.28515625" style="185" customWidth="1"/>
    <col min="3854" max="3855" width="6.28515625" style="185" customWidth="1"/>
    <col min="3856" max="3856" width="7.28515625" style="185" customWidth="1"/>
    <col min="3857" max="4093" width="1" style="185"/>
    <col min="4094" max="4094" width="2.42578125" style="185" customWidth="1"/>
    <col min="4095" max="4095" width="7.85546875" style="185" customWidth="1"/>
    <col min="4096" max="4096" width="9.85546875" style="185" customWidth="1"/>
    <col min="4097" max="4097" width="22.42578125" style="185" customWidth="1"/>
    <col min="4098" max="4098" width="6" style="185" customWidth="1"/>
    <col min="4099" max="4099" width="5.28515625" style="185" customWidth="1"/>
    <col min="4100" max="4100" width="12" style="185" customWidth="1"/>
    <col min="4101" max="4102" width="5.7109375" style="185" customWidth="1"/>
    <col min="4103" max="4103" width="7.28515625" style="185" customWidth="1"/>
    <col min="4104" max="4105" width="6.28515625" style="185" customWidth="1"/>
    <col min="4106" max="4106" width="7.28515625" style="185" customWidth="1"/>
    <col min="4107" max="4108" width="6.28515625" style="185" customWidth="1"/>
    <col min="4109" max="4109" width="7.28515625" style="185" customWidth="1"/>
    <col min="4110" max="4111" width="6.28515625" style="185" customWidth="1"/>
    <col min="4112" max="4112" width="7.28515625" style="185" customWidth="1"/>
    <col min="4113" max="4349" width="1" style="185"/>
    <col min="4350" max="4350" width="2.42578125" style="185" customWidth="1"/>
    <col min="4351" max="4351" width="7.85546875" style="185" customWidth="1"/>
    <col min="4352" max="4352" width="9.85546875" style="185" customWidth="1"/>
    <col min="4353" max="4353" width="22.42578125" style="185" customWidth="1"/>
    <col min="4354" max="4354" width="6" style="185" customWidth="1"/>
    <col min="4355" max="4355" width="5.28515625" style="185" customWidth="1"/>
    <col min="4356" max="4356" width="12" style="185" customWidth="1"/>
    <col min="4357" max="4358" width="5.7109375" style="185" customWidth="1"/>
    <col min="4359" max="4359" width="7.28515625" style="185" customWidth="1"/>
    <col min="4360" max="4361" width="6.28515625" style="185" customWidth="1"/>
    <col min="4362" max="4362" width="7.28515625" style="185" customWidth="1"/>
    <col min="4363" max="4364" width="6.28515625" style="185" customWidth="1"/>
    <col min="4365" max="4365" width="7.28515625" style="185" customWidth="1"/>
    <col min="4366" max="4367" width="6.28515625" style="185" customWidth="1"/>
    <col min="4368" max="4368" width="7.28515625" style="185" customWidth="1"/>
    <col min="4369" max="4605" width="1" style="185"/>
    <col min="4606" max="4606" width="2.42578125" style="185" customWidth="1"/>
    <col min="4607" max="4607" width="7.85546875" style="185" customWidth="1"/>
    <col min="4608" max="4608" width="9.85546875" style="185" customWidth="1"/>
    <col min="4609" max="4609" width="22.42578125" style="185" customWidth="1"/>
    <col min="4610" max="4610" width="6" style="185" customWidth="1"/>
    <col min="4611" max="4611" width="5.28515625" style="185" customWidth="1"/>
    <col min="4612" max="4612" width="12" style="185" customWidth="1"/>
    <col min="4613" max="4614" width="5.7109375" style="185" customWidth="1"/>
    <col min="4615" max="4615" width="7.28515625" style="185" customWidth="1"/>
    <col min="4616" max="4617" width="6.28515625" style="185" customWidth="1"/>
    <col min="4618" max="4618" width="7.28515625" style="185" customWidth="1"/>
    <col min="4619" max="4620" width="6.28515625" style="185" customWidth="1"/>
    <col min="4621" max="4621" width="7.28515625" style="185" customWidth="1"/>
    <col min="4622" max="4623" width="6.28515625" style="185" customWidth="1"/>
    <col min="4624" max="4624" width="7.28515625" style="185" customWidth="1"/>
    <col min="4625" max="4861" width="1" style="185"/>
    <col min="4862" max="4862" width="2.42578125" style="185" customWidth="1"/>
    <col min="4863" max="4863" width="7.85546875" style="185" customWidth="1"/>
    <col min="4864" max="4864" width="9.85546875" style="185" customWidth="1"/>
    <col min="4865" max="4865" width="22.42578125" style="185" customWidth="1"/>
    <col min="4866" max="4866" width="6" style="185" customWidth="1"/>
    <col min="4867" max="4867" width="5.28515625" style="185" customWidth="1"/>
    <col min="4868" max="4868" width="12" style="185" customWidth="1"/>
    <col min="4869" max="4870" width="5.7109375" style="185" customWidth="1"/>
    <col min="4871" max="4871" width="7.28515625" style="185" customWidth="1"/>
    <col min="4872" max="4873" width="6.28515625" style="185" customWidth="1"/>
    <col min="4874" max="4874" width="7.28515625" style="185" customWidth="1"/>
    <col min="4875" max="4876" width="6.28515625" style="185" customWidth="1"/>
    <col min="4877" max="4877" width="7.28515625" style="185" customWidth="1"/>
    <col min="4878" max="4879" width="6.28515625" style="185" customWidth="1"/>
    <col min="4880" max="4880" width="7.28515625" style="185" customWidth="1"/>
    <col min="4881" max="5117" width="1" style="185"/>
    <col min="5118" max="5118" width="2.42578125" style="185" customWidth="1"/>
    <col min="5119" max="5119" width="7.85546875" style="185" customWidth="1"/>
    <col min="5120" max="5120" width="9.85546875" style="185" customWidth="1"/>
    <col min="5121" max="5121" width="22.42578125" style="185" customWidth="1"/>
    <col min="5122" max="5122" width="6" style="185" customWidth="1"/>
    <col min="5123" max="5123" width="5.28515625" style="185" customWidth="1"/>
    <col min="5124" max="5124" width="12" style="185" customWidth="1"/>
    <col min="5125" max="5126" width="5.7109375" style="185" customWidth="1"/>
    <col min="5127" max="5127" width="7.28515625" style="185" customWidth="1"/>
    <col min="5128" max="5129" width="6.28515625" style="185" customWidth="1"/>
    <col min="5130" max="5130" width="7.28515625" style="185" customWidth="1"/>
    <col min="5131" max="5132" width="6.28515625" style="185" customWidth="1"/>
    <col min="5133" max="5133" width="7.28515625" style="185" customWidth="1"/>
    <col min="5134" max="5135" width="6.28515625" style="185" customWidth="1"/>
    <col min="5136" max="5136" width="7.28515625" style="185" customWidth="1"/>
    <col min="5137" max="5373" width="1" style="185"/>
    <col min="5374" max="5374" width="2.42578125" style="185" customWidth="1"/>
    <col min="5375" max="5375" width="7.85546875" style="185" customWidth="1"/>
    <col min="5376" max="5376" width="9.85546875" style="185" customWidth="1"/>
    <col min="5377" max="5377" width="22.42578125" style="185" customWidth="1"/>
    <col min="5378" max="5378" width="6" style="185" customWidth="1"/>
    <col min="5379" max="5379" width="5.28515625" style="185" customWidth="1"/>
    <col min="5380" max="5380" width="12" style="185" customWidth="1"/>
    <col min="5381" max="5382" width="5.7109375" style="185" customWidth="1"/>
    <col min="5383" max="5383" width="7.28515625" style="185" customWidth="1"/>
    <col min="5384" max="5385" width="6.28515625" style="185" customWidth="1"/>
    <col min="5386" max="5386" width="7.28515625" style="185" customWidth="1"/>
    <col min="5387" max="5388" width="6.28515625" style="185" customWidth="1"/>
    <col min="5389" max="5389" width="7.28515625" style="185" customWidth="1"/>
    <col min="5390" max="5391" width="6.28515625" style="185" customWidth="1"/>
    <col min="5392" max="5392" width="7.28515625" style="185" customWidth="1"/>
    <col min="5393" max="5629" width="1" style="185"/>
    <col min="5630" max="5630" width="2.42578125" style="185" customWidth="1"/>
    <col min="5631" max="5631" width="7.85546875" style="185" customWidth="1"/>
    <col min="5632" max="5632" width="9.85546875" style="185" customWidth="1"/>
    <col min="5633" max="5633" width="22.42578125" style="185" customWidth="1"/>
    <col min="5634" max="5634" width="6" style="185" customWidth="1"/>
    <col min="5635" max="5635" width="5.28515625" style="185" customWidth="1"/>
    <col min="5636" max="5636" width="12" style="185" customWidth="1"/>
    <col min="5637" max="5638" width="5.7109375" style="185" customWidth="1"/>
    <col min="5639" max="5639" width="7.28515625" style="185" customWidth="1"/>
    <col min="5640" max="5641" width="6.28515625" style="185" customWidth="1"/>
    <col min="5642" max="5642" width="7.28515625" style="185" customWidth="1"/>
    <col min="5643" max="5644" width="6.28515625" style="185" customWidth="1"/>
    <col min="5645" max="5645" width="7.28515625" style="185" customWidth="1"/>
    <col min="5646" max="5647" width="6.28515625" style="185" customWidth="1"/>
    <col min="5648" max="5648" width="7.28515625" style="185" customWidth="1"/>
    <col min="5649" max="5885" width="1" style="185"/>
    <col min="5886" max="5886" width="2.42578125" style="185" customWidth="1"/>
    <col min="5887" max="5887" width="7.85546875" style="185" customWidth="1"/>
    <col min="5888" max="5888" width="9.85546875" style="185" customWidth="1"/>
    <col min="5889" max="5889" width="22.42578125" style="185" customWidth="1"/>
    <col min="5890" max="5890" width="6" style="185" customWidth="1"/>
    <col min="5891" max="5891" width="5.28515625" style="185" customWidth="1"/>
    <col min="5892" max="5892" width="12" style="185" customWidth="1"/>
    <col min="5893" max="5894" width="5.7109375" style="185" customWidth="1"/>
    <col min="5895" max="5895" width="7.28515625" style="185" customWidth="1"/>
    <col min="5896" max="5897" width="6.28515625" style="185" customWidth="1"/>
    <col min="5898" max="5898" width="7.28515625" style="185" customWidth="1"/>
    <col min="5899" max="5900" width="6.28515625" style="185" customWidth="1"/>
    <col min="5901" max="5901" width="7.28515625" style="185" customWidth="1"/>
    <col min="5902" max="5903" width="6.28515625" style="185" customWidth="1"/>
    <col min="5904" max="5904" width="7.28515625" style="185" customWidth="1"/>
    <col min="5905" max="6141" width="1" style="185"/>
    <col min="6142" max="6142" width="2.42578125" style="185" customWidth="1"/>
    <col min="6143" max="6143" width="7.85546875" style="185" customWidth="1"/>
    <col min="6144" max="6144" width="9.85546875" style="185" customWidth="1"/>
    <col min="6145" max="6145" width="22.42578125" style="185" customWidth="1"/>
    <col min="6146" max="6146" width="6" style="185" customWidth="1"/>
    <col min="6147" max="6147" width="5.28515625" style="185" customWidth="1"/>
    <col min="6148" max="6148" width="12" style="185" customWidth="1"/>
    <col min="6149" max="6150" width="5.7109375" style="185" customWidth="1"/>
    <col min="6151" max="6151" width="7.28515625" style="185" customWidth="1"/>
    <col min="6152" max="6153" width="6.28515625" style="185" customWidth="1"/>
    <col min="6154" max="6154" width="7.28515625" style="185" customWidth="1"/>
    <col min="6155" max="6156" width="6.28515625" style="185" customWidth="1"/>
    <col min="6157" max="6157" width="7.28515625" style="185" customWidth="1"/>
    <col min="6158" max="6159" width="6.28515625" style="185" customWidth="1"/>
    <col min="6160" max="6160" width="7.28515625" style="185" customWidth="1"/>
    <col min="6161" max="6397" width="1" style="185"/>
    <col min="6398" max="6398" width="2.42578125" style="185" customWidth="1"/>
    <col min="6399" max="6399" width="7.85546875" style="185" customWidth="1"/>
    <col min="6400" max="6400" width="9.85546875" style="185" customWidth="1"/>
    <col min="6401" max="6401" width="22.42578125" style="185" customWidth="1"/>
    <col min="6402" max="6402" width="6" style="185" customWidth="1"/>
    <col min="6403" max="6403" width="5.28515625" style="185" customWidth="1"/>
    <col min="6404" max="6404" width="12" style="185" customWidth="1"/>
    <col min="6405" max="6406" width="5.7109375" style="185" customWidth="1"/>
    <col min="6407" max="6407" width="7.28515625" style="185" customWidth="1"/>
    <col min="6408" max="6409" width="6.28515625" style="185" customWidth="1"/>
    <col min="6410" max="6410" width="7.28515625" style="185" customWidth="1"/>
    <col min="6411" max="6412" width="6.28515625" style="185" customWidth="1"/>
    <col min="6413" max="6413" width="7.28515625" style="185" customWidth="1"/>
    <col min="6414" max="6415" width="6.28515625" style="185" customWidth="1"/>
    <col min="6416" max="6416" width="7.28515625" style="185" customWidth="1"/>
    <col min="6417" max="6653" width="1" style="185"/>
    <col min="6654" max="6654" width="2.42578125" style="185" customWidth="1"/>
    <col min="6655" max="6655" width="7.85546875" style="185" customWidth="1"/>
    <col min="6656" max="6656" width="9.85546875" style="185" customWidth="1"/>
    <col min="6657" max="6657" width="22.42578125" style="185" customWidth="1"/>
    <col min="6658" max="6658" width="6" style="185" customWidth="1"/>
    <col min="6659" max="6659" width="5.28515625" style="185" customWidth="1"/>
    <col min="6660" max="6660" width="12" style="185" customWidth="1"/>
    <col min="6661" max="6662" width="5.7109375" style="185" customWidth="1"/>
    <col min="6663" max="6663" width="7.28515625" style="185" customWidth="1"/>
    <col min="6664" max="6665" width="6.28515625" style="185" customWidth="1"/>
    <col min="6666" max="6666" width="7.28515625" style="185" customWidth="1"/>
    <col min="6667" max="6668" width="6.28515625" style="185" customWidth="1"/>
    <col min="6669" max="6669" width="7.28515625" style="185" customWidth="1"/>
    <col min="6670" max="6671" width="6.28515625" style="185" customWidth="1"/>
    <col min="6672" max="6672" width="7.28515625" style="185" customWidth="1"/>
    <col min="6673" max="6909" width="1" style="185"/>
    <col min="6910" max="6910" width="2.42578125" style="185" customWidth="1"/>
    <col min="6911" max="6911" width="7.85546875" style="185" customWidth="1"/>
    <col min="6912" max="6912" width="9.85546875" style="185" customWidth="1"/>
    <col min="6913" max="6913" width="22.42578125" style="185" customWidth="1"/>
    <col min="6914" max="6914" width="6" style="185" customWidth="1"/>
    <col min="6915" max="6915" width="5.28515625" style="185" customWidth="1"/>
    <col min="6916" max="6916" width="12" style="185" customWidth="1"/>
    <col min="6917" max="6918" width="5.7109375" style="185" customWidth="1"/>
    <col min="6919" max="6919" width="7.28515625" style="185" customWidth="1"/>
    <col min="6920" max="6921" width="6.28515625" style="185" customWidth="1"/>
    <col min="6922" max="6922" width="7.28515625" style="185" customWidth="1"/>
    <col min="6923" max="6924" width="6.28515625" style="185" customWidth="1"/>
    <col min="6925" max="6925" width="7.28515625" style="185" customWidth="1"/>
    <col min="6926" max="6927" width="6.28515625" style="185" customWidth="1"/>
    <col min="6928" max="6928" width="7.28515625" style="185" customWidth="1"/>
    <col min="6929" max="7165" width="1" style="185"/>
    <col min="7166" max="7166" width="2.42578125" style="185" customWidth="1"/>
    <col min="7167" max="7167" width="7.85546875" style="185" customWidth="1"/>
    <col min="7168" max="7168" width="9.85546875" style="185" customWidth="1"/>
    <col min="7169" max="7169" width="22.42578125" style="185" customWidth="1"/>
    <col min="7170" max="7170" width="6" style="185" customWidth="1"/>
    <col min="7171" max="7171" width="5.28515625" style="185" customWidth="1"/>
    <col min="7172" max="7172" width="12" style="185" customWidth="1"/>
    <col min="7173" max="7174" width="5.7109375" style="185" customWidth="1"/>
    <col min="7175" max="7175" width="7.28515625" style="185" customWidth="1"/>
    <col min="7176" max="7177" width="6.28515625" style="185" customWidth="1"/>
    <col min="7178" max="7178" width="7.28515625" style="185" customWidth="1"/>
    <col min="7179" max="7180" width="6.28515625" style="185" customWidth="1"/>
    <col min="7181" max="7181" width="7.28515625" style="185" customWidth="1"/>
    <col min="7182" max="7183" width="6.28515625" style="185" customWidth="1"/>
    <col min="7184" max="7184" width="7.28515625" style="185" customWidth="1"/>
    <col min="7185" max="7421" width="1" style="185"/>
    <col min="7422" max="7422" width="2.42578125" style="185" customWidth="1"/>
    <col min="7423" max="7423" width="7.85546875" style="185" customWidth="1"/>
    <col min="7424" max="7424" width="9.85546875" style="185" customWidth="1"/>
    <col min="7425" max="7425" width="22.42578125" style="185" customWidth="1"/>
    <col min="7426" max="7426" width="6" style="185" customWidth="1"/>
    <col min="7427" max="7427" width="5.28515625" style="185" customWidth="1"/>
    <col min="7428" max="7428" width="12" style="185" customWidth="1"/>
    <col min="7429" max="7430" width="5.7109375" style="185" customWidth="1"/>
    <col min="7431" max="7431" width="7.28515625" style="185" customWidth="1"/>
    <col min="7432" max="7433" width="6.28515625" style="185" customWidth="1"/>
    <col min="7434" max="7434" width="7.28515625" style="185" customWidth="1"/>
    <col min="7435" max="7436" width="6.28515625" style="185" customWidth="1"/>
    <col min="7437" max="7437" width="7.28515625" style="185" customWidth="1"/>
    <col min="7438" max="7439" width="6.28515625" style="185" customWidth="1"/>
    <col min="7440" max="7440" width="7.28515625" style="185" customWidth="1"/>
    <col min="7441" max="7677" width="1" style="185"/>
    <col min="7678" max="7678" width="2.42578125" style="185" customWidth="1"/>
    <col min="7679" max="7679" width="7.85546875" style="185" customWidth="1"/>
    <col min="7680" max="7680" width="9.85546875" style="185" customWidth="1"/>
    <col min="7681" max="7681" width="22.42578125" style="185" customWidth="1"/>
    <col min="7682" max="7682" width="6" style="185" customWidth="1"/>
    <col min="7683" max="7683" width="5.28515625" style="185" customWidth="1"/>
    <col min="7684" max="7684" width="12" style="185" customWidth="1"/>
    <col min="7685" max="7686" width="5.7109375" style="185" customWidth="1"/>
    <col min="7687" max="7687" width="7.28515625" style="185" customWidth="1"/>
    <col min="7688" max="7689" width="6.28515625" style="185" customWidth="1"/>
    <col min="7690" max="7690" width="7.28515625" style="185" customWidth="1"/>
    <col min="7691" max="7692" width="6.28515625" style="185" customWidth="1"/>
    <col min="7693" max="7693" width="7.28515625" style="185" customWidth="1"/>
    <col min="7694" max="7695" width="6.28515625" style="185" customWidth="1"/>
    <col min="7696" max="7696" width="7.28515625" style="185" customWidth="1"/>
    <col min="7697" max="7933" width="1" style="185"/>
    <col min="7934" max="7934" width="2.42578125" style="185" customWidth="1"/>
    <col min="7935" max="7935" width="7.85546875" style="185" customWidth="1"/>
    <col min="7936" max="7936" width="9.85546875" style="185" customWidth="1"/>
    <col min="7937" max="7937" width="22.42578125" style="185" customWidth="1"/>
    <col min="7938" max="7938" width="6" style="185" customWidth="1"/>
    <col min="7939" max="7939" width="5.28515625" style="185" customWidth="1"/>
    <col min="7940" max="7940" width="12" style="185" customWidth="1"/>
    <col min="7941" max="7942" width="5.7109375" style="185" customWidth="1"/>
    <col min="7943" max="7943" width="7.28515625" style="185" customWidth="1"/>
    <col min="7944" max="7945" width="6.28515625" style="185" customWidth="1"/>
    <col min="7946" max="7946" width="7.28515625" style="185" customWidth="1"/>
    <col min="7947" max="7948" width="6.28515625" style="185" customWidth="1"/>
    <col min="7949" max="7949" width="7.28515625" style="185" customWidth="1"/>
    <col min="7950" max="7951" width="6.28515625" style="185" customWidth="1"/>
    <col min="7952" max="7952" width="7.28515625" style="185" customWidth="1"/>
    <col min="7953" max="8189" width="1" style="185"/>
    <col min="8190" max="8190" width="2.42578125" style="185" customWidth="1"/>
    <col min="8191" max="8191" width="7.85546875" style="185" customWidth="1"/>
    <col min="8192" max="8192" width="9.85546875" style="185" customWidth="1"/>
    <col min="8193" max="8193" width="22.42578125" style="185" customWidth="1"/>
    <col min="8194" max="8194" width="6" style="185" customWidth="1"/>
    <col min="8195" max="8195" width="5.28515625" style="185" customWidth="1"/>
    <col min="8196" max="8196" width="12" style="185" customWidth="1"/>
    <col min="8197" max="8198" width="5.7109375" style="185" customWidth="1"/>
    <col min="8199" max="8199" width="7.28515625" style="185" customWidth="1"/>
    <col min="8200" max="8201" width="6.28515625" style="185" customWidth="1"/>
    <col min="8202" max="8202" width="7.28515625" style="185" customWidth="1"/>
    <col min="8203" max="8204" width="6.28515625" style="185" customWidth="1"/>
    <col min="8205" max="8205" width="7.28515625" style="185" customWidth="1"/>
    <col min="8206" max="8207" width="6.28515625" style="185" customWidth="1"/>
    <col min="8208" max="8208" width="7.28515625" style="185" customWidth="1"/>
    <col min="8209" max="8445" width="1" style="185"/>
    <col min="8446" max="8446" width="2.42578125" style="185" customWidth="1"/>
    <col min="8447" max="8447" width="7.85546875" style="185" customWidth="1"/>
    <col min="8448" max="8448" width="9.85546875" style="185" customWidth="1"/>
    <col min="8449" max="8449" width="22.42578125" style="185" customWidth="1"/>
    <col min="8450" max="8450" width="6" style="185" customWidth="1"/>
    <col min="8451" max="8451" width="5.28515625" style="185" customWidth="1"/>
    <col min="8452" max="8452" width="12" style="185" customWidth="1"/>
    <col min="8453" max="8454" width="5.7109375" style="185" customWidth="1"/>
    <col min="8455" max="8455" width="7.28515625" style="185" customWidth="1"/>
    <col min="8456" max="8457" width="6.28515625" style="185" customWidth="1"/>
    <col min="8458" max="8458" width="7.28515625" style="185" customWidth="1"/>
    <col min="8459" max="8460" width="6.28515625" style="185" customWidth="1"/>
    <col min="8461" max="8461" width="7.28515625" style="185" customWidth="1"/>
    <col min="8462" max="8463" width="6.28515625" style="185" customWidth="1"/>
    <col min="8464" max="8464" width="7.28515625" style="185" customWidth="1"/>
    <col min="8465" max="8701" width="1" style="185"/>
    <col min="8702" max="8702" width="2.42578125" style="185" customWidth="1"/>
    <col min="8703" max="8703" width="7.85546875" style="185" customWidth="1"/>
    <col min="8704" max="8704" width="9.85546875" style="185" customWidth="1"/>
    <col min="8705" max="8705" width="22.42578125" style="185" customWidth="1"/>
    <col min="8706" max="8706" width="6" style="185" customWidth="1"/>
    <col min="8707" max="8707" width="5.28515625" style="185" customWidth="1"/>
    <col min="8708" max="8708" width="12" style="185" customWidth="1"/>
    <col min="8709" max="8710" width="5.7109375" style="185" customWidth="1"/>
    <col min="8711" max="8711" width="7.28515625" style="185" customWidth="1"/>
    <col min="8712" max="8713" width="6.28515625" style="185" customWidth="1"/>
    <col min="8714" max="8714" width="7.28515625" style="185" customWidth="1"/>
    <col min="8715" max="8716" width="6.28515625" style="185" customWidth="1"/>
    <col min="8717" max="8717" width="7.28515625" style="185" customWidth="1"/>
    <col min="8718" max="8719" width="6.28515625" style="185" customWidth="1"/>
    <col min="8720" max="8720" width="7.28515625" style="185" customWidth="1"/>
    <col min="8721" max="8957" width="1" style="185"/>
    <col min="8958" max="8958" width="2.42578125" style="185" customWidth="1"/>
    <col min="8959" max="8959" width="7.85546875" style="185" customWidth="1"/>
    <col min="8960" max="8960" width="9.85546875" style="185" customWidth="1"/>
    <col min="8961" max="8961" width="22.42578125" style="185" customWidth="1"/>
    <col min="8962" max="8962" width="6" style="185" customWidth="1"/>
    <col min="8963" max="8963" width="5.28515625" style="185" customWidth="1"/>
    <col min="8964" max="8964" width="12" style="185" customWidth="1"/>
    <col min="8965" max="8966" width="5.7109375" style="185" customWidth="1"/>
    <col min="8967" max="8967" width="7.28515625" style="185" customWidth="1"/>
    <col min="8968" max="8969" width="6.28515625" style="185" customWidth="1"/>
    <col min="8970" max="8970" width="7.28515625" style="185" customWidth="1"/>
    <col min="8971" max="8972" width="6.28515625" style="185" customWidth="1"/>
    <col min="8973" max="8973" width="7.28515625" style="185" customWidth="1"/>
    <col min="8974" max="8975" width="6.28515625" style="185" customWidth="1"/>
    <col min="8976" max="8976" width="7.28515625" style="185" customWidth="1"/>
    <col min="8977" max="9213" width="1" style="185"/>
    <col min="9214" max="9214" width="2.42578125" style="185" customWidth="1"/>
    <col min="9215" max="9215" width="7.85546875" style="185" customWidth="1"/>
    <col min="9216" max="9216" width="9.85546875" style="185" customWidth="1"/>
    <col min="9217" max="9217" width="22.42578125" style="185" customWidth="1"/>
    <col min="9218" max="9218" width="6" style="185" customWidth="1"/>
    <col min="9219" max="9219" width="5.28515625" style="185" customWidth="1"/>
    <col min="9220" max="9220" width="12" style="185" customWidth="1"/>
    <col min="9221" max="9222" width="5.7109375" style="185" customWidth="1"/>
    <col min="9223" max="9223" width="7.28515625" style="185" customWidth="1"/>
    <col min="9224" max="9225" width="6.28515625" style="185" customWidth="1"/>
    <col min="9226" max="9226" width="7.28515625" style="185" customWidth="1"/>
    <col min="9227" max="9228" width="6.28515625" style="185" customWidth="1"/>
    <col min="9229" max="9229" width="7.28515625" style="185" customWidth="1"/>
    <col min="9230" max="9231" width="6.28515625" style="185" customWidth="1"/>
    <col min="9232" max="9232" width="7.28515625" style="185" customWidth="1"/>
    <col min="9233" max="9469" width="1" style="185"/>
    <col min="9470" max="9470" width="2.42578125" style="185" customWidth="1"/>
    <col min="9471" max="9471" width="7.85546875" style="185" customWidth="1"/>
    <col min="9472" max="9472" width="9.85546875" style="185" customWidth="1"/>
    <col min="9473" max="9473" width="22.42578125" style="185" customWidth="1"/>
    <col min="9474" max="9474" width="6" style="185" customWidth="1"/>
    <col min="9475" max="9475" width="5.28515625" style="185" customWidth="1"/>
    <col min="9476" max="9476" width="12" style="185" customWidth="1"/>
    <col min="9477" max="9478" width="5.7109375" style="185" customWidth="1"/>
    <col min="9479" max="9479" width="7.28515625" style="185" customWidth="1"/>
    <col min="9480" max="9481" width="6.28515625" style="185" customWidth="1"/>
    <col min="9482" max="9482" width="7.28515625" style="185" customWidth="1"/>
    <col min="9483" max="9484" width="6.28515625" style="185" customWidth="1"/>
    <col min="9485" max="9485" width="7.28515625" style="185" customWidth="1"/>
    <col min="9486" max="9487" width="6.28515625" style="185" customWidth="1"/>
    <col min="9488" max="9488" width="7.28515625" style="185" customWidth="1"/>
    <col min="9489" max="9725" width="1" style="185"/>
    <col min="9726" max="9726" width="2.42578125" style="185" customWidth="1"/>
    <col min="9727" max="9727" width="7.85546875" style="185" customWidth="1"/>
    <col min="9728" max="9728" width="9.85546875" style="185" customWidth="1"/>
    <col min="9729" max="9729" width="22.42578125" style="185" customWidth="1"/>
    <col min="9730" max="9730" width="6" style="185" customWidth="1"/>
    <col min="9731" max="9731" width="5.28515625" style="185" customWidth="1"/>
    <col min="9732" max="9732" width="12" style="185" customWidth="1"/>
    <col min="9733" max="9734" width="5.7109375" style="185" customWidth="1"/>
    <col min="9735" max="9735" width="7.28515625" style="185" customWidth="1"/>
    <col min="9736" max="9737" width="6.28515625" style="185" customWidth="1"/>
    <col min="9738" max="9738" width="7.28515625" style="185" customWidth="1"/>
    <col min="9739" max="9740" width="6.28515625" style="185" customWidth="1"/>
    <col min="9741" max="9741" width="7.28515625" style="185" customWidth="1"/>
    <col min="9742" max="9743" width="6.28515625" style="185" customWidth="1"/>
    <col min="9744" max="9744" width="7.28515625" style="185" customWidth="1"/>
    <col min="9745" max="9981" width="1" style="185"/>
    <col min="9982" max="9982" width="2.42578125" style="185" customWidth="1"/>
    <col min="9983" max="9983" width="7.85546875" style="185" customWidth="1"/>
    <col min="9984" max="9984" width="9.85546875" style="185" customWidth="1"/>
    <col min="9985" max="9985" width="22.42578125" style="185" customWidth="1"/>
    <col min="9986" max="9986" width="6" style="185" customWidth="1"/>
    <col min="9987" max="9987" width="5.28515625" style="185" customWidth="1"/>
    <col min="9988" max="9988" width="12" style="185" customWidth="1"/>
    <col min="9989" max="9990" width="5.7109375" style="185" customWidth="1"/>
    <col min="9991" max="9991" width="7.28515625" style="185" customWidth="1"/>
    <col min="9992" max="9993" width="6.28515625" style="185" customWidth="1"/>
    <col min="9994" max="9994" width="7.28515625" style="185" customWidth="1"/>
    <col min="9995" max="9996" width="6.28515625" style="185" customWidth="1"/>
    <col min="9997" max="9997" width="7.28515625" style="185" customWidth="1"/>
    <col min="9998" max="9999" width="6.28515625" style="185" customWidth="1"/>
    <col min="10000" max="10000" width="7.28515625" style="185" customWidth="1"/>
    <col min="10001" max="10237" width="1" style="185"/>
    <col min="10238" max="10238" width="2.42578125" style="185" customWidth="1"/>
    <col min="10239" max="10239" width="7.85546875" style="185" customWidth="1"/>
    <col min="10240" max="10240" width="9.85546875" style="185" customWidth="1"/>
    <col min="10241" max="10241" width="22.42578125" style="185" customWidth="1"/>
    <col min="10242" max="10242" width="6" style="185" customWidth="1"/>
    <col min="10243" max="10243" width="5.28515625" style="185" customWidth="1"/>
    <col min="10244" max="10244" width="12" style="185" customWidth="1"/>
    <col min="10245" max="10246" width="5.7109375" style="185" customWidth="1"/>
    <col min="10247" max="10247" width="7.28515625" style="185" customWidth="1"/>
    <col min="10248" max="10249" width="6.28515625" style="185" customWidth="1"/>
    <col min="10250" max="10250" width="7.28515625" style="185" customWidth="1"/>
    <col min="10251" max="10252" width="6.28515625" style="185" customWidth="1"/>
    <col min="10253" max="10253" width="7.28515625" style="185" customWidth="1"/>
    <col min="10254" max="10255" width="6.28515625" style="185" customWidth="1"/>
    <col min="10256" max="10256" width="7.28515625" style="185" customWidth="1"/>
    <col min="10257" max="10493" width="1" style="185"/>
    <col min="10494" max="10494" width="2.42578125" style="185" customWidth="1"/>
    <col min="10495" max="10495" width="7.85546875" style="185" customWidth="1"/>
    <col min="10496" max="10496" width="9.85546875" style="185" customWidth="1"/>
    <col min="10497" max="10497" width="22.42578125" style="185" customWidth="1"/>
    <col min="10498" max="10498" width="6" style="185" customWidth="1"/>
    <col min="10499" max="10499" width="5.28515625" style="185" customWidth="1"/>
    <col min="10500" max="10500" width="12" style="185" customWidth="1"/>
    <col min="10501" max="10502" width="5.7109375" style="185" customWidth="1"/>
    <col min="10503" max="10503" width="7.28515625" style="185" customWidth="1"/>
    <col min="10504" max="10505" width="6.28515625" style="185" customWidth="1"/>
    <col min="10506" max="10506" width="7.28515625" style="185" customWidth="1"/>
    <col min="10507" max="10508" width="6.28515625" style="185" customWidth="1"/>
    <col min="10509" max="10509" width="7.28515625" style="185" customWidth="1"/>
    <col min="10510" max="10511" width="6.28515625" style="185" customWidth="1"/>
    <col min="10512" max="10512" width="7.28515625" style="185" customWidth="1"/>
    <col min="10513" max="10749" width="1" style="185"/>
    <col min="10750" max="10750" width="2.42578125" style="185" customWidth="1"/>
    <col min="10751" max="10751" width="7.85546875" style="185" customWidth="1"/>
    <col min="10752" max="10752" width="9.85546875" style="185" customWidth="1"/>
    <col min="10753" max="10753" width="22.42578125" style="185" customWidth="1"/>
    <col min="10754" max="10754" width="6" style="185" customWidth="1"/>
    <col min="10755" max="10755" width="5.28515625" style="185" customWidth="1"/>
    <col min="10756" max="10756" width="12" style="185" customWidth="1"/>
    <col min="10757" max="10758" width="5.7109375" style="185" customWidth="1"/>
    <col min="10759" max="10759" width="7.28515625" style="185" customWidth="1"/>
    <col min="10760" max="10761" width="6.28515625" style="185" customWidth="1"/>
    <col min="10762" max="10762" width="7.28515625" style="185" customWidth="1"/>
    <col min="10763" max="10764" width="6.28515625" style="185" customWidth="1"/>
    <col min="10765" max="10765" width="7.28515625" style="185" customWidth="1"/>
    <col min="10766" max="10767" width="6.28515625" style="185" customWidth="1"/>
    <col min="10768" max="10768" width="7.28515625" style="185" customWidth="1"/>
    <col min="10769" max="11005" width="1" style="185"/>
    <col min="11006" max="11006" width="2.42578125" style="185" customWidth="1"/>
    <col min="11007" max="11007" width="7.85546875" style="185" customWidth="1"/>
    <col min="11008" max="11008" width="9.85546875" style="185" customWidth="1"/>
    <col min="11009" max="11009" width="22.42578125" style="185" customWidth="1"/>
    <col min="11010" max="11010" width="6" style="185" customWidth="1"/>
    <col min="11011" max="11011" width="5.28515625" style="185" customWidth="1"/>
    <col min="11012" max="11012" width="12" style="185" customWidth="1"/>
    <col min="11013" max="11014" width="5.7109375" style="185" customWidth="1"/>
    <col min="11015" max="11015" width="7.28515625" style="185" customWidth="1"/>
    <col min="11016" max="11017" width="6.28515625" style="185" customWidth="1"/>
    <col min="11018" max="11018" width="7.28515625" style="185" customWidth="1"/>
    <col min="11019" max="11020" width="6.28515625" style="185" customWidth="1"/>
    <col min="11021" max="11021" width="7.28515625" style="185" customWidth="1"/>
    <col min="11022" max="11023" width="6.28515625" style="185" customWidth="1"/>
    <col min="11024" max="11024" width="7.28515625" style="185" customWidth="1"/>
    <col min="11025" max="11261" width="1" style="185"/>
    <col min="11262" max="11262" width="2.42578125" style="185" customWidth="1"/>
    <col min="11263" max="11263" width="7.85546875" style="185" customWidth="1"/>
    <col min="11264" max="11264" width="9.85546875" style="185" customWidth="1"/>
    <col min="11265" max="11265" width="22.42578125" style="185" customWidth="1"/>
    <col min="11266" max="11266" width="6" style="185" customWidth="1"/>
    <col min="11267" max="11267" width="5.28515625" style="185" customWidth="1"/>
    <col min="11268" max="11268" width="12" style="185" customWidth="1"/>
    <col min="11269" max="11270" width="5.7109375" style="185" customWidth="1"/>
    <col min="11271" max="11271" width="7.28515625" style="185" customWidth="1"/>
    <col min="11272" max="11273" width="6.28515625" style="185" customWidth="1"/>
    <col min="11274" max="11274" width="7.28515625" style="185" customWidth="1"/>
    <col min="11275" max="11276" width="6.28515625" style="185" customWidth="1"/>
    <col min="11277" max="11277" width="7.28515625" style="185" customWidth="1"/>
    <col min="11278" max="11279" width="6.28515625" style="185" customWidth="1"/>
    <col min="11280" max="11280" width="7.28515625" style="185" customWidth="1"/>
    <col min="11281" max="11517" width="1" style="185"/>
    <col min="11518" max="11518" width="2.42578125" style="185" customWidth="1"/>
    <col min="11519" max="11519" width="7.85546875" style="185" customWidth="1"/>
    <col min="11520" max="11520" width="9.85546875" style="185" customWidth="1"/>
    <col min="11521" max="11521" width="22.42578125" style="185" customWidth="1"/>
    <col min="11522" max="11522" width="6" style="185" customWidth="1"/>
    <col min="11523" max="11523" width="5.28515625" style="185" customWidth="1"/>
    <col min="11524" max="11524" width="12" style="185" customWidth="1"/>
    <col min="11525" max="11526" width="5.7109375" style="185" customWidth="1"/>
    <col min="11527" max="11527" width="7.28515625" style="185" customWidth="1"/>
    <col min="11528" max="11529" width="6.28515625" style="185" customWidth="1"/>
    <col min="11530" max="11530" width="7.28515625" style="185" customWidth="1"/>
    <col min="11531" max="11532" width="6.28515625" style="185" customWidth="1"/>
    <col min="11533" max="11533" width="7.28515625" style="185" customWidth="1"/>
    <col min="11534" max="11535" width="6.28515625" style="185" customWidth="1"/>
    <col min="11536" max="11536" width="7.28515625" style="185" customWidth="1"/>
    <col min="11537" max="11773" width="1" style="185"/>
    <col min="11774" max="11774" width="2.42578125" style="185" customWidth="1"/>
    <col min="11775" max="11775" width="7.85546875" style="185" customWidth="1"/>
    <col min="11776" max="11776" width="9.85546875" style="185" customWidth="1"/>
    <col min="11777" max="11777" width="22.42578125" style="185" customWidth="1"/>
    <col min="11778" max="11778" width="6" style="185" customWidth="1"/>
    <col min="11779" max="11779" width="5.28515625" style="185" customWidth="1"/>
    <col min="11780" max="11780" width="12" style="185" customWidth="1"/>
    <col min="11781" max="11782" width="5.7109375" style="185" customWidth="1"/>
    <col min="11783" max="11783" width="7.28515625" style="185" customWidth="1"/>
    <col min="11784" max="11785" width="6.28515625" style="185" customWidth="1"/>
    <col min="11786" max="11786" width="7.28515625" style="185" customWidth="1"/>
    <col min="11787" max="11788" width="6.28515625" style="185" customWidth="1"/>
    <col min="11789" max="11789" width="7.28515625" style="185" customWidth="1"/>
    <col min="11790" max="11791" width="6.28515625" style="185" customWidth="1"/>
    <col min="11792" max="11792" width="7.28515625" style="185" customWidth="1"/>
    <col min="11793" max="12029" width="1" style="185"/>
    <col min="12030" max="12030" width="2.42578125" style="185" customWidth="1"/>
    <col min="12031" max="12031" width="7.85546875" style="185" customWidth="1"/>
    <col min="12032" max="12032" width="9.85546875" style="185" customWidth="1"/>
    <col min="12033" max="12033" width="22.42578125" style="185" customWidth="1"/>
    <col min="12034" max="12034" width="6" style="185" customWidth="1"/>
    <col min="12035" max="12035" width="5.28515625" style="185" customWidth="1"/>
    <col min="12036" max="12036" width="12" style="185" customWidth="1"/>
    <col min="12037" max="12038" width="5.7109375" style="185" customWidth="1"/>
    <col min="12039" max="12039" width="7.28515625" style="185" customWidth="1"/>
    <col min="12040" max="12041" width="6.28515625" style="185" customWidth="1"/>
    <col min="12042" max="12042" width="7.28515625" style="185" customWidth="1"/>
    <col min="12043" max="12044" width="6.28515625" style="185" customWidth="1"/>
    <col min="12045" max="12045" width="7.28515625" style="185" customWidth="1"/>
    <col min="12046" max="12047" width="6.28515625" style="185" customWidth="1"/>
    <col min="12048" max="12048" width="7.28515625" style="185" customWidth="1"/>
    <col min="12049" max="12285" width="1" style="185"/>
    <col min="12286" max="12286" width="2.42578125" style="185" customWidth="1"/>
    <col min="12287" max="12287" width="7.85546875" style="185" customWidth="1"/>
    <col min="12288" max="12288" width="9.85546875" style="185" customWidth="1"/>
    <col min="12289" max="12289" width="22.42578125" style="185" customWidth="1"/>
    <col min="12290" max="12290" width="6" style="185" customWidth="1"/>
    <col min="12291" max="12291" width="5.28515625" style="185" customWidth="1"/>
    <col min="12292" max="12292" width="12" style="185" customWidth="1"/>
    <col min="12293" max="12294" width="5.7109375" style="185" customWidth="1"/>
    <col min="12295" max="12295" width="7.28515625" style="185" customWidth="1"/>
    <col min="12296" max="12297" width="6.28515625" style="185" customWidth="1"/>
    <col min="12298" max="12298" width="7.28515625" style="185" customWidth="1"/>
    <col min="12299" max="12300" width="6.28515625" style="185" customWidth="1"/>
    <col min="12301" max="12301" width="7.28515625" style="185" customWidth="1"/>
    <col min="12302" max="12303" width="6.28515625" style="185" customWidth="1"/>
    <col min="12304" max="12304" width="7.28515625" style="185" customWidth="1"/>
    <col min="12305" max="12541" width="1" style="185"/>
    <col min="12542" max="12542" width="2.42578125" style="185" customWidth="1"/>
    <col min="12543" max="12543" width="7.85546875" style="185" customWidth="1"/>
    <col min="12544" max="12544" width="9.85546875" style="185" customWidth="1"/>
    <col min="12545" max="12545" width="22.42578125" style="185" customWidth="1"/>
    <col min="12546" max="12546" width="6" style="185" customWidth="1"/>
    <col min="12547" max="12547" width="5.28515625" style="185" customWidth="1"/>
    <col min="12548" max="12548" width="12" style="185" customWidth="1"/>
    <col min="12549" max="12550" width="5.7109375" style="185" customWidth="1"/>
    <col min="12551" max="12551" width="7.28515625" style="185" customWidth="1"/>
    <col min="12552" max="12553" width="6.28515625" style="185" customWidth="1"/>
    <col min="12554" max="12554" width="7.28515625" style="185" customWidth="1"/>
    <col min="12555" max="12556" width="6.28515625" style="185" customWidth="1"/>
    <col min="12557" max="12557" width="7.28515625" style="185" customWidth="1"/>
    <col min="12558" max="12559" width="6.28515625" style="185" customWidth="1"/>
    <col min="12560" max="12560" width="7.28515625" style="185" customWidth="1"/>
    <col min="12561" max="12797" width="1" style="185"/>
    <col min="12798" max="12798" width="2.42578125" style="185" customWidth="1"/>
    <col min="12799" max="12799" width="7.85546875" style="185" customWidth="1"/>
    <col min="12800" max="12800" width="9.85546875" style="185" customWidth="1"/>
    <col min="12801" max="12801" width="22.42578125" style="185" customWidth="1"/>
    <col min="12802" max="12802" width="6" style="185" customWidth="1"/>
    <col min="12803" max="12803" width="5.28515625" style="185" customWidth="1"/>
    <col min="12804" max="12804" width="12" style="185" customWidth="1"/>
    <col min="12805" max="12806" width="5.7109375" style="185" customWidth="1"/>
    <col min="12807" max="12807" width="7.28515625" style="185" customWidth="1"/>
    <col min="12808" max="12809" width="6.28515625" style="185" customWidth="1"/>
    <col min="12810" max="12810" width="7.28515625" style="185" customWidth="1"/>
    <col min="12811" max="12812" width="6.28515625" style="185" customWidth="1"/>
    <col min="12813" max="12813" width="7.28515625" style="185" customWidth="1"/>
    <col min="12814" max="12815" width="6.28515625" style="185" customWidth="1"/>
    <col min="12816" max="12816" width="7.28515625" style="185" customWidth="1"/>
    <col min="12817" max="13053" width="1" style="185"/>
    <col min="13054" max="13054" width="2.42578125" style="185" customWidth="1"/>
    <col min="13055" max="13055" width="7.85546875" style="185" customWidth="1"/>
    <col min="13056" max="13056" width="9.85546875" style="185" customWidth="1"/>
    <col min="13057" max="13057" width="22.42578125" style="185" customWidth="1"/>
    <col min="13058" max="13058" width="6" style="185" customWidth="1"/>
    <col min="13059" max="13059" width="5.28515625" style="185" customWidth="1"/>
    <col min="13060" max="13060" width="12" style="185" customWidth="1"/>
    <col min="13061" max="13062" width="5.7109375" style="185" customWidth="1"/>
    <col min="13063" max="13063" width="7.28515625" style="185" customWidth="1"/>
    <col min="13064" max="13065" width="6.28515625" style="185" customWidth="1"/>
    <col min="13066" max="13066" width="7.28515625" style="185" customWidth="1"/>
    <col min="13067" max="13068" width="6.28515625" style="185" customWidth="1"/>
    <col min="13069" max="13069" width="7.28515625" style="185" customWidth="1"/>
    <col min="13070" max="13071" width="6.28515625" style="185" customWidth="1"/>
    <col min="13072" max="13072" width="7.28515625" style="185" customWidth="1"/>
    <col min="13073" max="13309" width="1" style="185"/>
    <col min="13310" max="13310" width="2.42578125" style="185" customWidth="1"/>
    <col min="13311" max="13311" width="7.85546875" style="185" customWidth="1"/>
    <col min="13312" max="13312" width="9.85546875" style="185" customWidth="1"/>
    <col min="13313" max="13313" width="22.42578125" style="185" customWidth="1"/>
    <col min="13314" max="13314" width="6" style="185" customWidth="1"/>
    <col min="13315" max="13315" width="5.28515625" style="185" customWidth="1"/>
    <col min="13316" max="13316" width="12" style="185" customWidth="1"/>
    <col min="13317" max="13318" width="5.7109375" style="185" customWidth="1"/>
    <col min="13319" max="13319" width="7.28515625" style="185" customWidth="1"/>
    <col min="13320" max="13321" width="6.28515625" style="185" customWidth="1"/>
    <col min="13322" max="13322" width="7.28515625" style="185" customWidth="1"/>
    <col min="13323" max="13324" width="6.28515625" style="185" customWidth="1"/>
    <col min="13325" max="13325" width="7.28515625" style="185" customWidth="1"/>
    <col min="13326" max="13327" width="6.28515625" style="185" customWidth="1"/>
    <col min="13328" max="13328" width="7.28515625" style="185" customWidth="1"/>
    <col min="13329" max="13565" width="1" style="185"/>
    <col min="13566" max="13566" width="2.42578125" style="185" customWidth="1"/>
    <col min="13567" max="13567" width="7.85546875" style="185" customWidth="1"/>
    <col min="13568" max="13568" width="9.85546875" style="185" customWidth="1"/>
    <col min="13569" max="13569" width="22.42578125" style="185" customWidth="1"/>
    <col min="13570" max="13570" width="6" style="185" customWidth="1"/>
    <col min="13571" max="13571" width="5.28515625" style="185" customWidth="1"/>
    <col min="13572" max="13572" width="12" style="185" customWidth="1"/>
    <col min="13573" max="13574" width="5.7109375" style="185" customWidth="1"/>
    <col min="13575" max="13575" width="7.28515625" style="185" customWidth="1"/>
    <col min="13576" max="13577" width="6.28515625" style="185" customWidth="1"/>
    <col min="13578" max="13578" width="7.28515625" style="185" customWidth="1"/>
    <col min="13579" max="13580" width="6.28515625" style="185" customWidth="1"/>
    <col min="13581" max="13581" width="7.28515625" style="185" customWidth="1"/>
    <col min="13582" max="13583" width="6.28515625" style="185" customWidth="1"/>
    <col min="13584" max="13584" width="7.28515625" style="185" customWidth="1"/>
    <col min="13585" max="13821" width="1" style="185"/>
    <col min="13822" max="13822" width="2.42578125" style="185" customWidth="1"/>
    <col min="13823" max="13823" width="7.85546875" style="185" customWidth="1"/>
    <col min="13824" max="13824" width="9.85546875" style="185" customWidth="1"/>
    <col min="13825" max="13825" width="22.42578125" style="185" customWidth="1"/>
    <col min="13826" max="13826" width="6" style="185" customWidth="1"/>
    <col min="13827" max="13827" width="5.28515625" style="185" customWidth="1"/>
    <col min="13828" max="13828" width="12" style="185" customWidth="1"/>
    <col min="13829" max="13830" width="5.7109375" style="185" customWidth="1"/>
    <col min="13831" max="13831" width="7.28515625" style="185" customWidth="1"/>
    <col min="13832" max="13833" width="6.28515625" style="185" customWidth="1"/>
    <col min="13834" max="13834" width="7.28515625" style="185" customWidth="1"/>
    <col min="13835" max="13836" width="6.28515625" style="185" customWidth="1"/>
    <col min="13837" max="13837" width="7.28515625" style="185" customWidth="1"/>
    <col min="13838" max="13839" width="6.28515625" style="185" customWidth="1"/>
    <col min="13840" max="13840" width="7.28515625" style="185" customWidth="1"/>
    <col min="13841" max="14077" width="1" style="185"/>
    <col min="14078" max="14078" width="2.42578125" style="185" customWidth="1"/>
    <col min="14079" max="14079" width="7.85546875" style="185" customWidth="1"/>
    <col min="14080" max="14080" width="9.85546875" style="185" customWidth="1"/>
    <col min="14081" max="14081" width="22.42578125" style="185" customWidth="1"/>
    <col min="14082" max="14082" width="6" style="185" customWidth="1"/>
    <col min="14083" max="14083" width="5.28515625" style="185" customWidth="1"/>
    <col min="14084" max="14084" width="12" style="185" customWidth="1"/>
    <col min="14085" max="14086" width="5.7109375" style="185" customWidth="1"/>
    <col min="14087" max="14087" width="7.28515625" style="185" customWidth="1"/>
    <col min="14088" max="14089" width="6.28515625" style="185" customWidth="1"/>
    <col min="14090" max="14090" width="7.28515625" style="185" customWidth="1"/>
    <col min="14091" max="14092" width="6.28515625" style="185" customWidth="1"/>
    <col min="14093" max="14093" width="7.28515625" style="185" customWidth="1"/>
    <col min="14094" max="14095" width="6.28515625" style="185" customWidth="1"/>
    <col min="14096" max="14096" width="7.28515625" style="185" customWidth="1"/>
    <col min="14097" max="14333" width="1" style="185"/>
    <col min="14334" max="14334" width="2.42578125" style="185" customWidth="1"/>
    <col min="14335" max="14335" width="7.85546875" style="185" customWidth="1"/>
    <col min="14336" max="14336" width="9.85546875" style="185" customWidth="1"/>
    <col min="14337" max="14337" width="22.42578125" style="185" customWidth="1"/>
    <col min="14338" max="14338" width="6" style="185" customWidth="1"/>
    <col min="14339" max="14339" width="5.28515625" style="185" customWidth="1"/>
    <col min="14340" max="14340" width="12" style="185" customWidth="1"/>
    <col min="14341" max="14342" width="5.7109375" style="185" customWidth="1"/>
    <col min="14343" max="14343" width="7.28515625" style="185" customWidth="1"/>
    <col min="14344" max="14345" width="6.28515625" style="185" customWidth="1"/>
    <col min="14346" max="14346" width="7.28515625" style="185" customWidth="1"/>
    <col min="14347" max="14348" width="6.28515625" style="185" customWidth="1"/>
    <col min="14349" max="14349" width="7.28515625" style="185" customWidth="1"/>
    <col min="14350" max="14351" width="6.28515625" style="185" customWidth="1"/>
    <col min="14352" max="14352" width="7.28515625" style="185" customWidth="1"/>
    <col min="14353" max="14589" width="1" style="185"/>
    <col min="14590" max="14590" width="2.42578125" style="185" customWidth="1"/>
    <col min="14591" max="14591" width="7.85546875" style="185" customWidth="1"/>
    <col min="14592" max="14592" width="9.85546875" style="185" customWidth="1"/>
    <col min="14593" max="14593" width="22.42578125" style="185" customWidth="1"/>
    <col min="14594" max="14594" width="6" style="185" customWidth="1"/>
    <col min="14595" max="14595" width="5.28515625" style="185" customWidth="1"/>
    <col min="14596" max="14596" width="12" style="185" customWidth="1"/>
    <col min="14597" max="14598" width="5.7109375" style="185" customWidth="1"/>
    <col min="14599" max="14599" width="7.28515625" style="185" customWidth="1"/>
    <col min="14600" max="14601" width="6.28515625" style="185" customWidth="1"/>
    <col min="14602" max="14602" width="7.28515625" style="185" customWidth="1"/>
    <col min="14603" max="14604" width="6.28515625" style="185" customWidth="1"/>
    <col min="14605" max="14605" width="7.28515625" style="185" customWidth="1"/>
    <col min="14606" max="14607" width="6.28515625" style="185" customWidth="1"/>
    <col min="14608" max="14608" width="7.28515625" style="185" customWidth="1"/>
    <col min="14609" max="14845" width="1" style="185"/>
    <col min="14846" max="14846" width="2.42578125" style="185" customWidth="1"/>
    <col min="14847" max="14847" width="7.85546875" style="185" customWidth="1"/>
    <col min="14848" max="14848" width="9.85546875" style="185" customWidth="1"/>
    <col min="14849" max="14849" width="22.42578125" style="185" customWidth="1"/>
    <col min="14850" max="14850" width="6" style="185" customWidth="1"/>
    <col min="14851" max="14851" width="5.28515625" style="185" customWidth="1"/>
    <col min="14852" max="14852" width="12" style="185" customWidth="1"/>
    <col min="14853" max="14854" width="5.7109375" style="185" customWidth="1"/>
    <col min="14855" max="14855" width="7.28515625" style="185" customWidth="1"/>
    <col min="14856" max="14857" width="6.28515625" style="185" customWidth="1"/>
    <col min="14858" max="14858" width="7.28515625" style="185" customWidth="1"/>
    <col min="14859" max="14860" width="6.28515625" style="185" customWidth="1"/>
    <col min="14861" max="14861" width="7.28515625" style="185" customWidth="1"/>
    <col min="14862" max="14863" width="6.28515625" style="185" customWidth="1"/>
    <col min="14864" max="14864" width="7.28515625" style="185" customWidth="1"/>
    <col min="14865" max="15101" width="1" style="185"/>
    <col min="15102" max="15102" width="2.42578125" style="185" customWidth="1"/>
    <col min="15103" max="15103" width="7.85546875" style="185" customWidth="1"/>
    <col min="15104" max="15104" width="9.85546875" style="185" customWidth="1"/>
    <col min="15105" max="15105" width="22.42578125" style="185" customWidth="1"/>
    <col min="15106" max="15106" width="6" style="185" customWidth="1"/>
    <col min="15107" max="15107" width="5.28515625" style="185" customWidth="1"/>
    <col min="15108" max="15108" width="12" style="185" customWidth="1"/>
    <col min="15109" max="15110" width="5.7109375" style="185" customWidth="1"/>
    <col min="15111" max="15111" width="7.28515625" style="185" customWidth="1"/>
    <col min="15112" max="15113" width="6.28515625" style="185" customWidth="1"/>
    <col min="15114" max="15114" width="7.28515625" style="185" customWidth="1"/>
    <col min="15115" max="15116" width="6.28515625" style="185" customWidth="1"/>
    <col min="15117" max="15117" width="7.28515625" style="185" customWidth="1"/>
    <col min="15118" max="15119" width="6.28515625" style="185" customWidth="1"/>
    <col min="15120" max="15120" width="7.28515625" style="185" customWidth="1"/>
    <col min="15121" max="15357" width="1" style="185"/>
    <col min="15358" max="15358" width="2.42578125" style="185" customWidth="1"/>
    <col min="15359" max="15359" width="7.85546875" style="185" customWidth="1"/>
    <col min="15360" max="15360" width="9.85546875" style="185" customWidth="1"/>
    <col min="15361" max="15361" width="22.42578125" style="185" customWidth="1"/>
    <col min="15362" max="15362" width="6" style="185" customWidth="1"/>
    <col min="15363" max="15363" width="5.28515625" style="185" customWidth="1"/>
    <col min="15364" max="15364" width="12" style="185" customWidth="1"/>
    <col min="15365" max="15366" width="5.7109375" style="185" customWidth="1"/>
    <col min="15367" max="15367" width="7.28515625" style="185" customWidth="1"/>
    <col min="15368" max="15369" width="6.28515625" style="185" customWidth="1"/>
    <col min="15370" max="15370" width="7.28515625" style="185" customWidth="1"/>
    <col min="15371" max="15372" width="6.28515625" style="185" customWidth="1"/>
    <col min="15373" max="15373" width="7.28515625" style="185" customWidth="1"/>
    <col min="15374" max="15375" width="6.28515625" style="185" customWidth="1"/>
    <col min="15376" max="15376" width="7.28515625" style="185" customWidth="1"/>
    <col min="15377" max="15613" width="1" style="185"/>
    <col min="15614" max="15614" width="2.42578125" style="185" customWidth="1"/>
    <col min="15615" max="15615" width="7.85546875" style="185" customWidth="1"/>
    <col min="15616" max="15616" width="9.85546875" style="185" customWidth="1"/>
    <col min="15617" max="15617" width="22.42578125" style="185" customWidth="1"/>
    <col min="15618" max="15618" width="6" style="185" customWidth="1"/>
    <col min="15619" max="15619" width="5.28515625" style="185" customWidth="1"/>
    <col min="15620" max="15620" width="12" style="185" customWidth="1"/>
    <col min="15621" max="15622" width="5.7109375" style="185" customWidth="1"/>
    <col min="15623" max="15623" width="7.28515625" style="185" customWidth="1"/>
    <col min="15624" max="15625" width="6.28515625" style="185" customWidth="1"/>
    <col min="15626" max="15626" width="7.28515625" style="185" customWidth="1"/>
    <col min="15627" max="15628" width="6.28515625" style="185" customWidth="1"/>
    <col min="15629" max="15629" width="7.28515625" style="185" customWidth="1"/>
    <col min="15630" max="15631" width="6.28515625" style="185" customWidth="1"/>
    <col min="15632" max="15632" width="7.28515625" style="185" customWidth="1"/>
    <col min="15633" max="15869" width="1" style="185"/>
    <col min="15870" max="15870" width="2.42578125" style="185" customWidth="1"/>
    <col min="15871" max="15871" width="7.85546875" style="185" customWidth="1"/>
    <col min="15872" max="15872" width="9.85546875" style="185" customWidth="1"/>
    <col min="15873" max="15873" width="22.42578125" style="185" customWidth="1"/>
    <col min="15874" max="15874" width="6" style="185" customWidth="1"/>
    <col min="15875" max="15875" width="5.28515625" style="185" customWidth="1"/>
    <col min="15876" max="15876" width="12" style="185" customWidth="1"/>
    <col min="15877" max="15878" width="5.7109375" style="185" customWidth="1"/>
    <col min="15879" max="15879" width="7.28515625" style="185" customWidth="1"/>
    <col min="15880" max="15881" width="6.28515625" style="185" customWidth="1"/>
    <col min="15882" max="15882" width="7.28515625" style="185" customWidth="1"/>
    <col min="15883" max="15884" width="6.28515625" style="185" customWidth="1"/>
    <col min="15885" max="15885" width="7.28515625" style="185" customWidth="1"/>
    <col min="15886" max="15887" width="6.28515625" style="185" customWidth="1"/>
    <col min="15888" max="15888" width="7.28515625" style="185" customWidth="1"/>
    <col min="15889" max="16125" width="1" style="185"/>
    <col min="16126" max="16126" width="2.42578125" style="185" customWidth="1"/>
    <col min="16127" max="16127" width="7.85546875" style="185" customWidth="1"/>
    <col min="16128" max="16128" width="9.85546875" style="185" customWidth="1"/>
    <col min="16129" max="16129" width="22.42578125" style="185" customWidth="1"/>
    <col min="16130" max="16130" width="6" style="185" customWidth="1"/>
    <col min="16131" max="16131" width="5.28515625" style="185" customWidth="1"/>
    <col min="16132" max="16132" width="12" style="185" customWidth="1"/>
    <col min="16133" max="16134" width="5.7109375" style="185" customWidth="1"/>
    <col min="16135" max="16135" width="7.28515625" style="185" customWidth="1"/>
    <col min="16136" max="16137" width="6.28515625" style="185" customWidth="1"/>
    <col min="16138" max="16138" width="7.28515625" style="185" customWidth="1"/>
    <col min="16139" max="16140" width="6.28515625" style="185" customWidth="1"/>
    <col min="16141" max="16141" width="7.28515625" style="185" customWidth="1"/>
    <col min="16142" max="16143" width="6.28515625" style="185" customWidth="1"/>
    <col min="16144" max="16144" width="7.28515625" style="185" customWidth="1"/>
    <col min="16145" max="16384" width="1" style="185"/>
  </cols>
  <sheetData>
    <row r="1" spans="2:16" ht="5.25" customHeight="1" x14ac:dyDescent="0.2">
      <c r="C1" s="186">
        <v>1302</v>
      </c>
      <c r="D1" s="187">
        <f>32+32+32+29</f>
        <v>125</v>
      </c>
      <c r="E1" s="186"/>
      <c r="F1" s="186">
        <f>C1+D1</f>
        <v>1427</v>
      </c>
      <c r="G1" s="186"/>
      <c r="H1" s="186">
        <v>2012</v>
      </c>
    </row>
    <row r="2" spans="2:16" ht="6" customHeight="1" x14ac:dyDescent="0.2">
      <c r="C2" s="186"/>
      <c r="D2" s="187"/>
      <c r="E2" s="186" t="s">
        <v>87</v>
      </c>
      <c r="F2" s="186"/>
      <c r="G2" s="186"/>
      <c r="H2" s="186"/>
    </row>
    <row r="3" spans="2:16" s="189" customFormat="1" ht="37.5" customHeight="1" x14ac:dyDescent="0.2">
      <c r="B3" s="563" t="s">
        <v>316</v>
      </c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</row>
    <row r="4" spans="2:16" s="189" customFormat="1" ht="38.25" customHeight="1" x14ac:dyDescent="0.2">
      <c r="B4" s="550" t="s">
        <v>88</v>
      </c>
      <c r="C4" s="551"/>
      <c r="D4" s="190" t="s">
        <v>89</v>
      </c>
      <c r="E4" s="554" t="s">
        <v>90</v>
      </c>
      <c r="F4" s="555"/>
      <c r="G4" s="556"/>
      <c r="H4" s="557" t="s">
        <v>91</v>
      </c>
      <c r="I4" s="558"/>
      <c r="J4" s="559"/>
      <c r="K4" s="560" t="s">
        <v>6</v>
      </c>
      <c r="L4" s="561"/>
      <c r="M4" s="562"/>
      <c r="N4" s="546" t="s">
        <v>33</v>
      </c>
      <c r="O4" s="547"/>
      <c r="P4" s="548"/>
    </row>
    <row r="5" spans="2:16" s="189" customFormat="1" ht="35.25" customHeight="1" x14ac:dyDescent="0.2">
      <c r="B5" s="552"/>
      <c r="C5" s="553"/>
      <c r="D5" s="190"/>
      <c r="E5" s="191" t="s">
        <v>92</v>
      </c>
      <c r="F5" s="191" t="s">
        <v>32</v>
      </c>
      <c r="G5" s="191" t="s">
        <v>93</v>
      </c>
      <c r="H5" s="192" t="s">
        <v>92</v>
      </c>
      <c r="I5" s="192" t="s">
        <v>32</v>
      </c>
      <c r="J5" s="192" t="s">
        <v>93</v>
      </c>
      <c r="K5" s="193" t="s">
        <v>92</v>
      </c>
      <c r="L5" s="193" t="s">
        <v>32</v>
      </c>
      <c r="M5" s="193" t="s">
        <v>93</v>
      </c>
      <c r="N5" s="194" t="s">
        <v>92</v>
      </c>
      <c r="O5" s="194" t="s">
        <v>32</v>
      </c>
      <c r="P5" s="194" t="s">
        <v>93</v>
      </c>
    </row>
    <row r="6" spans="2:16" s="189" customFormat="1" ht="15.75" customHeight="1" x14ac:dyDescent="0.25">
      <c r="B6" s="566"/>
      <c r="C6" s="567"/>
      <c r="D6" s="195" t="s">
        <v>94</v>
      </c>
      <c r="E6" s="196">
        <f>COUNTIFS('1ª'!D:D,"M",'1ª'!E:E,"MA")</f>
        <v>0</v>
      </c>
      <c r="F6" s="197">
        <f>COUNTIFS('1ª'!D:D,"F",'1ª'!E:E,"MA")</f>
        <v>3</v>
      </c>
      <c r="G6" s="196">
        <f t="shared" ref="G6:G19" si="0">SUM(E6:F6)</f>
        <v>3</v>
      </c>
      <c r="H6" s="198">
        <f>COUNTIFS('1ª'!D:D,"M",'1ª'!E:E,"MC")</f>
        <v>0</v>
      </c>
      <c r="I6" s="198">
        <f>COUNTIFS('1ª'!D:D,"F",'1ª'!E:E,"MC")</f>
        <v>0</v>
      </c>
      <c r="J6" s="198">
        <f>SUM(H6:I6)</f>
        <v>0</v>
      </c>
      <c r="K6" s="199">
        <f t="array" ref="K6">SUMPRODUCT((('1ª'!D:D="M")*('1ª'!E:E="MA")*(ISNUMBER(SEARCH("INCLUS",UPPER('1ª'!I:I))))))</f>
        <v>0</v>
      </c>
      <c r="L6" s="199">
        <f t="array" ref="L6">SUMPRODUCT((('1ª'!D:D="F")*('1ª'!E:E="MA")*(ISNUMBER(SEARCH("INCLUS",UPPER('1ª'!I:I))))))</f>
        <v>0</v>
      </c>
      <c r="M6" s="199">
        <f t="shared" ref="M6:M18" si="1">SUM(K6:L6)</f>
        <v>0</v>
      </c>
      <c r="N6" s="200">
        <f t="array" aca="1" ref="N6" ca="1">SUMPRODUCT((('1ª'!D:D="M")*('1ª'!E:E="MA")*(ISNUMBER(SEARCH("DISP",UPPER('1ª'!J:J))))))</f>
        <v>0</v>
      </c>
      <c r="O6" s="201">
        <f t="array" aca="1" ref="O6" ca="1">SUMPRODUCT((('1ª'!D:D="F")*('1ª'!E:E="MA")*(ISNUMBER(SEARCH("DISP",UPPER('1ª'!J:J))))))</f>
        <v>3</v>
      </c>
      <c r="P6" s="201">
        <f t="shared" ref="P6:P18" ca="1" si="2">SUM(N6:O6)</f>
        <v>3</v>
      </c>
    </row>
    <row r="7" spans="2:16" s="189" customFormat="1" ht="15.75" x14ac:dyDescent="0.25">
      <c r="B7" s="566"/>
      <c r="C7" s="567"/>
      <c r="D7" s="195" t="s">
        <v>95</v>
      </c>
      <c r="E7" s="196">
        <f>COUNTIFS('2ª'!D:D,"M",'2ª'!E:E,"MA")</f>
        <v>1</v>
      </c>
      <c r="F7" s="197">
        <f>COUNTIFS('2ª'!D:D,"F",'2ª'!E:E,"MA")</f>
        <v>3</v>
      </c>
      <c r="G7" s="196">
        <f t="shared" si="0"/>
        <v>4</v>
      </c>
      <c r="H7" s="198">
        <f>COUNTIFS('2ª'!D:D,"M",'2ª'!E:E,"MC")</f>
        <v>0</v>
      </c>
      <c r="I7" s="198">
        <f>COUNTIFS('2ª'!D:D,"F",'2ª'!E:E,"MC")</f>
        <v>0</v>
      </c>
      <c r="J7" s="198">
        <f>SUM(H7:I7)</f>
        <v>0</v>
      </c>
      <c r="K7" s="199">
        <f t="array" ref="K7">SUMPRODUCT((('2ª'!D:D="M")*('2ª'!E:E="MA")*(ISNUMBER(SEARCH("INCLUS",UPPER('2ª'!I:I))))))</f>
        <v>0</v>
      </c>
      <c r="L7" s="199">
        <f t="array" ref="L7">SUMPRODUCT((('2ª'!D:D="F")*('2ª'!E:E="MA")*(ISNUMBER(SEARCH("INCLUS",UPPER('2ª'!I:I))))))</f>
        <v>0</v>
      </c>
      <c r="M7" s="199">
        <f t="shared" si="1"/>
        <v>0</v>
      </c>
      <c r="N7" s="200">
        <f t="array" aca="1" ref="N7" ca="1">SUMPRODUCT((('2ª'!D:D="M")*('2ª'!E:E="MA")*(ISNUMBER(SEARCH("DISP",UPPER('2ª'!J:J))))))</f>
        <v>1</v>
      </c>
      <c r="O7" s="200">
        <f t="array" aca="1" ref="O7" ca="1">SUMPRODUCT((('2ª'!D:D="F")*('2ª'!E:E="MA")*(ISNUMBER(SEARCH("DISP",UPPER('2ª'!J:J))))))</f>
        <v>3</v>
      </c>
      <c r="P7" s="200">
        <f t="shared" ca="1" si="2"/>
        <v>4</v>
      </c>
    </row>
    <row r="8" spans="2:16" s="189" customFormat="1" ht="15.75" x14ac:dyDescent="0.25">
      <c r="B8" s="566"/>
      <c r="C8" s="567"/>
      <c r="D8" s="195" t="s">
        <v>96</v>
      </c>
      <c r="E8" s="196">
        <f>COUNTIFS('3ª'!D:D,"M",'3ª'!E:E,"MA")</f>
        <v>3</v>
      </c>
      <c r="F8" s="197">
        <f>COUNTIFS('3ª'!D:D,"F",'3ª'!E:E,"MA")</f>
        <v>2</v>
      </c>
      <c r="G8" s="220">
        <f t="shared" si="0"/>
        <v>5</v>
      </c>
      <c r="H8" s="198">
        <f>COUNTIFS('3ª'!D:D,"M",'3ª'!E:E,"MC")</f>
        <v>0</v>
      </c>
      <c r="I8" s="198">
        <f>COUNTIFS('3ª'!D:D,"F",'3ª'!E:E,"MC")</f>
        <v>2</v>
      </c>
      <c r="J8" s="198">
        <f>SUM(H8:I8)</f>
        <v>2</v>
      </c>
      <c r="K8" s="199">
        <f t="array" ref="K8">SUMPRODUCT((('3ª'!D:D="M")*('3ª'!E:E="MA")*(ISNUMBER(SEARCH("INCLUS",UPPER('3ª'!I:I))))))</f>
        <v>0</v>
      </c>
      <c r="L8" s="199">
        <f t="array" ref="L8">SUMPRODUCT((('3ª'!D:D="F")*('3ª'!E:E="MA")*(ISNUMBER(SEARCH("INCLUS",UPPER('3ª'!I:I))))))</f>
        <v>0</v>
      </c>
      <c r="M8" s="199">
        <f t="shared" si="1"/>
        <v>0</v>
      </c>
      <c r="N8" s="200">
        <f t="array" aca="1" ref="N8" ca="1">SUMPRODUCT((('3ª'!D:D="M")*('3ª'!E:E="MA")*(ISNUMBER(SEARCH("DISP",UPPER('3ª'!J:J))))))</f>
        <v>2</v>
      </c>
      <c r="O8" s="201">
        <f t="array" aca="1" ref="O8" ca="1">SUMPRODUCT((('3ª'!D:D="F")*('3ª'!E:E="MA")*(ISNUMBER(SEARCH("DISP",UPPER('3ª'!J:J))))))</f>
        <v>1</v>
      </c>
      <c r="P8" s="201">
        <f t="shared" ca="1" si="2"/>
        <v>3</v>
      </c>
    </row>
    <row r="9" spans="2:16" s="189" customFormat="1" ht="16.5" thickBot="1" x14ac:dyDescent="0.3">
      <c r="B9" s="566"/>
      <c r="C9" s="567"/>
      <c r="D9" s="195" t="s">
        <v>97</v>
      </c>
      <c r="E9" s="202">
        <f>COUNTIFS('4ª'!D:D,"M",'4ª'!E:E,"MA")</f>
        <v>3</v>
      </c>
      <c r="F9" s="197">
        <f>COUNTIFS('4ª'!D:D,"F",'4ª'!E:E,"MA")</f>
        <v>7</v>
      </c>
      <c r="G9" s="222">
        <f t="shared" si="0"/>
        <v>10</v>
      </c>
      <c r="H9" s="204">
        <f>COUNTIFS('4ª'!D:D,"M",'4ª'!E:E,"MC")</f>
        <v>1</v>
      </c>
      <c r="I9" s="198">
        <f>COUNTIFS('4ª'!D:D,"F",'4ª'!E:E,"MC")</f>
        <v>2</v>
      </c>
      <c r="J9" s="204">
        <f>SUM(H9:I9)</f>
        <v>3</v>
      </c>
      <c r="K9" s="205">
        <f t="array" ref="K9">SUMPRODUCT((('4ª'!D:D="M")*('4ª'!E:E="MA")*(ISNUMBER(SEARCH("INCLUS",UPPER('4ª'!I:I))))))</f>
        <v>0</v>
      </c>
      <c r="L9" s="199">
        <f t="array" ref="L9">SUMPRODUCT((('4ª'!D:D="F")*('4ª'!E:E="MA")*(ISNUMBER(SEARCH("INCLUS",UPPER('4ª'!I:I))))))</f>
        <v>0</v>
      </c>
      <c r="M9" s="205">
        <f t="shared" si="1"/>
        <v>0</v>
      </c>
      <c r="N9" s="206">
        <f t="array" aca="1" ref="N9" ca="1">SUMPRODUCT((('4ª'!D:D="M")*('4ª'!E:E="MA")*(ISNUMBER(SEARCH("DISP",UPPER('4ª'!J:J))))))</f>
        <v>2</v>
      </c>
      <c r="O9" s="200">
        <f t="array" aca="1" ref="O9" ca="1">SUMPRODUCT((('4ª'!D:D="F")*('4ª'!E:E="MA")*(ISNUMBER(SEARCH("DISP",UPPER('4ª'!J:J))))))</f>
        <v>6</v>
      </c>
      <c r="P9" s="207">
        <f t="shared" ca="1" si="2"/>
        <v>8</v>
      </c>
    </row>
    <row r="10" spans="2:16" s="189" customFormat="1" ht="16.5" thickBot="1" x14ac:dyDescent="0.3">
      <c r="B10" s="208"/>
      <c r="C10" s="208"/>
      <c r="D10" s="209"/>
      <c r="E10" s="210">
        <f>SUM(E6:E9)</f>
        <v>7</v>
      </c>
      <c r="F10" s="211">
        <f>SUM(F6:F9)</f>
        <v>15</v>
      </c>
      <c r="G10" s="212">
        <f t="shared" si="0"/>
        <v>22</v>
      </c>
      <c r="H10" s="212">
        <f t="shared" ref="H10:O10" si="3">SUM(H6:H9)</f>
        <v>1</v>
      </c>
      <c r="I10" s="212">
        <f t="shared" si="3"/>
        <v>4</v>
      </c>
      <c r="J10" s="212">
        <f t="shared" si="3"/>
        <v>5</v>
      </c>
      <c r="K10" s="212">
        <f>SUM(K6:K9)</f>
        <v>0</v>
      </c>
      <c r="L10" s="212">
        <f>SUM(L6:L9)</f>
        <v>0</v>
      </c>
      <c r="M10" s="212">
        <f>SUM(M6:M9)</f>
        <v>0</v>
      </c>
      <c r="N10" s="212">
        <f ca="1">SUM(N6:N9)</f>
        <v>5</v>
      </c>
      <c r="O10" s="212">
        <f t="shared" ca="1" si="3"/>
        <v>13</v>
      </c>
      <c r="P10" s="212">
        <f ca="1">SUM(P6:P9)</f>
        <v>18</v>
      </c>
    </row>
    <row r="11" spans="2:16" s="189" customFormat="1" ht="15.75" x14ac:dyDescent="0.25">
      <c r="B11" s="566"/>
      <c r="C11" s="567"/>
      <c r="D11" s="195" t="s">
        <v>98</v>
      </c>
      <c r="E11" s="213">
        <f>COUNTIFS('5ª'!D:D,"M",'5ª'!E:E,"MA")</f>
        <v>3</v>
      </c>
      <c r="F11" s="214">
        <f>COUNTIFS('5ª'!D:D,"F",'5ª'!E:E,"MA")</f>
        <v>4</v>
      </c>
      <c r="G11" s="215">
        <f t="shared" si="0"/>
        <v>7</v>
      </c>
      <c r="H11" s="216">
        <f>COUNTIFS('5ª'!D:D,"M",'5ª'!E:E,"MC")</f>
        <v>0</v>
      </c>
      <c r="I11" s="216">
        <f>COUNTIFS('5ª'!D:D,"F",'5ª'!E:E,"MC")</f>
        <v>1</v>
      </c>
      <c r="J11" s="216">
        <f>SUM(H11:I11)</f>
        <v>1</v>
      </c>
      <c r="K11" s="217">
        <f t="array" ref="K11">SUMPRODUCT((('5ª'!D:D="M")*('5ª'!E:E="MA")*(ISNUMBER(SEARCH("INCLUS",UPPER('5ª'!I:I))))))</f>
        <v>0</v>
      </c>
      <c r="L11" s="217">
        <f t="array" ref="L11">SUMPRODUCT((('5ª'!D:D="F")*('5ª'!E:E="MA")*(ISNUMBER(SEARCH("INCLUS",UPPER('5ª'!I:I))))))</f>
        <v>0</v>
      </c>
      <c r="M11" s="217">
        <f t="shared" si="1"/>
        <v>0</v>
      </c>
      <c r="N11" s="218">
        <f t="array" aca="1" ref="N11" ca="1">SUMPRODUCT((('5ª'!D:D="M")*('5ª'!E:E="MA")*(ISNUMBER(SEARCH("DISP",UPPER('5ª'!J:J))))))</f>
        <v>2</v>
      </c>
      <c r="O11" s="219">
        <f t="array" aca="1" ref="O11" ca="1">SUMPRODUCT((('5ª'!D:D="F")*('5ª'!E:E="MA")*(ISNUMBER(SEARCH("DISP",UPPER('5ª'!J:J))))))</f>
        <v>4</v>
      </c>
      <c r="P11" s="219">
        <f t="shared" ca="1" si="2"/>
        <v>6</v>
      </c>
    </row>
    <row r="12" spans="2:16" s="189" customFormat="1" ht="15.75" x14ac:dyDescent="0.25">
      <c r="B12" s="566"/>
      <c r="C12" s="567"/>
      <c r="D12" s="195" t="s">
        <v>99</v>
      </c>
      <c r="E12" s="196">
        <f>COUNTIFS('6ª'!D:D,"M",'6ª'!E:E,"MA")</f>
        <v>5</v>
      </c>
      <c r="F12" s="197">
        <f>COUNTIFS('6ª'!D:D,"F",'6ª'!E:E,"MA")</f>
        <v>4</v>
      </c>
      <c r="G12" s="220">
        <f t="shared" si="0"/>
        <v>9</v>
      </c>
      <c r="H12" s="198">
        <f>COUNTIFS('6ª'!D:D,"M",'6ª'!E:E,"MC")</f>
        <v>0</v>
      </c>
      <c r="I12" s="198">
        <f>COUNTIFS('6ª'!D:D,"F",'6ª'!E:E,"MC")</f>
        <v>1</v>
      </c>
      <c r="J12" s="198">
        <f>SUM(H12:I12)</f>
        <v>1</v>
      </c>
      <c r="K12" s="199">
        <f t="array" ref="K12">SUMPRODUCT((('6ª'!D:D="M")*('6ª'!E:E="MA")*(ISNUMBER(SEARCH("INCLUS",UPPER('6ª'!I:I))))))</f>
        <v>0</v>
      </c>
      <c r="L12" s="199">
        <f t="array" ref="L12">SUMPRODUCT((('6ª'!D:D="F")*('6ª'!E:E="MA")*(ISNUMBER(SEARCH("INCLUS",UPPER('6ª'!I:I))))))</f>
        <v>0</v>
      </c>
      <c r="M12" s="199">
        <f t="shared" si="1"/>
        <v>0</v>
      </c>
      <c r="N12" s="200">
        <f t="array" aca="1" ref="N12" ca="1">SUMPRODUCT((('6ª'!D:D="M")*('6ª'!E:E="MA")*(ISNUMBER(SEARCH("DISP",UPPER('6ª'!J:J))))))</f>
        <v>4</v>
      </c>
      <c r="O12" s="201">
        <f t="array" aca="1" ref="O12" ca="1">SUMPRODUCT((('6ª'!D:D="F")*('6ª'!E:E="MA")*(ISNUMBER(SEARCH("DISP",UPPER('6ª'!J:J))))))</f>
        <v>3</v>
      </c>
      <c r="P12" s="201">
        <f t="shared" ca="1" si="2"/>
        <v>7</v>
      </c>
    </row>
    <row r="13" spans="2:16" s="189" customFormat="1" ht="15.75" x14ac:dyDescent="0.25">
      <c r="B13" s="566"/>
      <c r="C13" s="567"/>
      <c r="D13" s="221" t="s">
        <v>100</v>
      </c>
      <c r="E13" s="196">
        <f>COUNTIFS('7ª'!D:D,"M",'7ª'!E:E,"MA")</f>
        <v>7</v>
      </c>
      <c r="F13" s="197">
        <f>COUNTIFS('7ª'!D:D,"F",'7ª'!E:E,"MA")</f>
        <v>5</v>
      </c>
      <c r="G13" s="220">
        <f t="shared" si="0"/>
        <v>12</v>
      </c>
      <c r="H13" s="198">
        <f>COUNTIFS('7ª'!D:D,"M",'7ª'!E:E,"MC")</f>
        <v>0</v>
      </c>
      <c r="I13" s="198">
        <f>COUNTIFS('7ª'!D:D,"F",'7ª'!E:E,"MC")</f>
        <v>1</v>
      </c>
      <c r="J13" s="198">
        <f>SUM(H13:I13)</f>
        <v>1</v>
      </c>
      <c r="K13" s="199">
        <f t="array" ref="K13">SUMPRODUCT((('7ª'!D:D="M")*('7ª'!E:E="MA")*(ISNUMBER(SEARCH("INCLUS",UPPER('7ª'!I:I))))))</f>
        <v>1</v>
      </c>
      <c r="L13" s="199">
        <f t="array" ref="L13">SUMPRODUCT((('7ª'!D:D="F")*('7ª'!E:E="MA")*(ISNUMBER(SEARCH("INCLUS",UPPER('7ª'!I:I))))))</f>
        <v>0</v>
      </c>
      <c r="M13" s="199">
        <f t="shared" si="1"/>
        <v>1</v>
      </c>
      <c r="N13" s="200">
        <f t="array" aca="1" ref="N13" ca="1">SUMPRODUCT((('7ª'!D:D="M")*('7ª'!E:E="MA")*(ISNUMBER(SEARCH("DISP",UPPER('7ª'!J:J))))))</f>
        <v>2</v>
      </c>
      <c r="O13" s="201">
        <f t="array" aca="1" ref="O13" ca="1">SUMPRODUCT((('7ª'!D:D="F")*('7ª'!E:E="MA")*(ISNUMBER(SEARCH("DISP",UPPER('7ª'!J:J))))))</f>
        <v>2</v>
      </c>
      <c r="P13" s="201">
        <f t="shared" ca="1" si="2"/>
        <v>4</v>
      </c>
    </row>
    <row r="14" spans="2:16" s="189" customFormat="1" ht="16.5" thickBot="1" x14ac:dyDescent="0.3">
      <c r="B14" s="566"/>
      <c r="C14" s="567"/>
      <c r="D14" s="221" t="s">
        <v>101</v>
      </c>
      <c r="E14" s="202">
        <f>COUNTIFS('8ª'!D:D,"M",'8ª'!E:E,"MA")</f>
        <v>8</v>
      </c>
      <c r="F14" s="203">
        <f>COUNTIFS('8ª'!D:D,"F",'8ª'!E:E,"MA")</f>
        <v>12</v>
      </c>
      <c r="G14" s="222">
        <f t="shared" si="0"/>
        <v>20</v>
      </c>
      <c r="H14" s="204">
        <f>COUNTIFS('8ª'!D:D,"M",'8ª'!E:E,"MC")</f>
        <v>0</v>
      </c>
      <c r="I14" s="204">
        <f>COUNTIFS('8ª'!D:D,"F",'8ª'!E:E,"MC")</f>
        <v>0</v>
      </c>
      <c r="J14" s="204">
        <f>SUM(H14:I14)</f>
        <v>0</v>
      </c>
      <c r="K14" s="205">
        <f t="array" ref="K14">SUMPRODUCT((('8ª'!D:D="M")*('8ª'!E:E="MA")*(ISNUMBER(SEARCH("INCLUS",UPPER('8ª'!I:I))))))</f>
        <v>1</v>
      </c>
      <c r="L14" s="205">
        <f t="array" ref="L14">SUMPRODUCT((('8ª'!D:D="F")*('8ª'!E:E="MA")*(ISNUMBER(SEARCH("INCLUS",UPPER('8ª'!I:I))))))</f>
        <v>0</v>
      </c>
      <c r="M14" s="205">
        <f t="shared" si="1"/>
        <v>1</v>
      </c>
      <c r="N14" s="206">
        <f t="array" aca="1" ref="N14" ca="1">SUMPRODUCT((('8ª'!D:D="M")*('8ª'!E:E="MA")*(ISNUMBER(SEARCH("DISP",UPPER('8ª'!J:J))))))</f>
        <v>0</v>
      </c>
      <c r="O14" s="207">
        <f t="array" aca="1" ref="O14" ca="1">SUMPRODUCT((('8ª'!D:D="F")*('8ª'!E:E="MA")*(ISNUMBER(SEARCH("DISP",UPPER('8ª'!J:J))))))</f>
        <v>7</v>
      </c>
      <c r="P14" s="207">
        <f t="shared" ca="1" si="2"/>
        <v>7</v>
      </c>
    </row>
    <row r="15" spans="2:16" s="189" customFormat="1" ht="16.5" thickBot="1" x14ac:dyDescent="0.3">
      <c r="B15" s="208"/>
      <c r="C15" s="208"/>
      <c r="D15" s="223"/>
      <c r="E15" s="210">
        <f t="shared" ref="E15:P15" si="4">SUM(E11:E14)</f>
        <v>23</v>
      </c>
      <c r="F15" s="211">
        <f t="shared" si="4"/>
        <v>25</v>
      </c>
      <c r="G15" s="212">
        <f t="shared" si="4"/>
        <v>48</v>
      </c>
      <c r="H15" s="212">
        <f t="shared" si="4"/>
        <v>0</v>
      </c>
      <c r="I15" s="212">
        <f t="shared" si="4"/>
        <v>3</v>
      </c>
      <c r="J15" s="212">
        <f t="shared" si="4"/>
        <v>3</v>
      </c>
      <c r="K15" s="211">
        <f t="shared" si="4"/>
        <v>2</v>
      </c>
      <c r="L15" s="211">
        <f t="shared" si="4"/>
        <v>0</v>
      </c>
      <c r="M15" s="211">
        <f t="shared" si="4"/>
        <v>2</v>
      </c>
      <c r="N15" s="224">
        <f t="shared" ca="1" si="4"/>
        <v>8</v>
      </c>
      <c r="O15" s="211">
        <f t="shared" ca="1" si="4"/>
        <v>16</v>
      </c>
      <c r="P15" s="211">
        <f t="shared" ca="1" si="4"/>
        <v>24</v>
      </c>
    </row>
    <row r="16" spans="2:16" s="189" customFormat="1" ht="15.75" x14ac:dyDescent="0.25">
      <c r="B16" s="566"/>
      <c r="C16" s="567"/>
      <c r="D16" s="221" t="s">
        <v>102</v>
      </c>
      <c r="E16" s="213">
        <f>COUNTIFS('1ª EM'!D:D,"M",'1ª EM'!E:E,"MA")</f>
        <v>13</v>
      </c>
      <c r="F16" s="214">
        <f>COUNTIFS('1ª EM'!D:D,"F",'1ª EM'!E:E,"MA")</f>
        <v>13</v>
      </c>
      <c r="G16" s="215">
        <f t="shared" si="0"/>
        <v>26</v>
      </c>
      <c r="H16" s="216">
        <f>COUNTIFS('1ª EM'!D:D,"M",'1ª EM'!E:E,"MC")</f>
        <v>0</v>
      </c>
      <c r="I16" s="216">
        <f>COUNTIFS('1ª EM'!D:D,"F",'1ª EM'!E:E,"MC")</f>
        <v>1</v>
      </c>
      <c r="J16" s="216">
        <f>SUM(H16:I16)</f>
        <v>1</v>
      </c>
      <c r="K16" s="217">
        <f t="array" ref="K16">SUMPRODUCT((('1ª EM'!D:D="M")*('1ª EM'!E:E="MA")*(ISNUMBER(SEARCH("INCLUS",UPPER('1ª EM'!I:I))))))</f>
        <v>0</v>
      </c>
      <c r="L16" s="217">
        <f t="array" ref="L16">SUMPRODUCT((('1ª EM'!D:D="F")*('1ª EM'!E:E="MA")*(ISNUMBER(SEARCH("INCLUS",UPPER('1ª EM'!I:I))))))</f>
        <v>0</v>
      </c>
      <c r="M16" s="217">
        <f t="shared" si="1"/>
        <v>0</v>
      </c>
      <c r="N16" s="218">
        <f t="array" aca="1" ref="N16" ca="1">SUMPRODUCT((('1ª EM'!D:D="M")*('1ª EM'!E:E="MA")*(ISNUMBER(SEARCH("DISP",UPPER('1ª EM'!J:J))))))</f>
        <v>5</v>
      </c>
      <c r="O16" s="219">
        <f t="array" aca="1" ref="O16" ca="1">SUMPRODUCT((('1ª EM'!D:D="F")*('1ª EM'!E:E="MA")*(ISNUMBER(SEARCH("DISP",UPPER('1ª EM'!J:J))))))</f>
        <v>10</v>
      </c>
      <c r="P16" s="219">
        <f t="shared" ca="1" si="2"/>
        <v>15</v>
      </c>
    </row>
    <row r="17" spans="2:16" s="189" customFormat="1" ht="15.75" x14ac:dyDescent="0.25">
      <c r="B17" s="566"/>
      <c r="C17" s="567"/>
      <c r="D17" s="221" t="s">
        <v>103</v>
      </c>
      <c r="E17" s="196">
        <f>COUNTIFS('2ª EM'!D:D,"M",'2ª EM'!E:E,"MA")</f>
        <v>11</v>
      </c>
      <c r="F17" s="197">
        <f>COUNTIFS('2ª EM'!D:D,"F",'2ª EM'!E:E,"MA")</f>
        <v>9</v>
      </c>
      <c r="G17" s="220">
        <f t="shared" si="0"/>
        <v>20</v>
      </c>
      <c r="H17" s="198">
        <f>COUNTIFS('2ª EM'!D:D,"M",'2ª EM'!E:E,"MC")</f>
        <v>0</v>
      </c>
      <c r="I17" s="198">
        <f>COUNTIFS('2ª EM'!D:D,"F",'2ª EM'!E:E,"MC")</f>
        <v>0</v>
      </c>
      <c r="J17" s="198">
        <f>SUM(H17:I17)</f>
        <v>0</v>
      </c>
      <c r="K17" s="199">
        <f t="array" ref="K17">SUMPRODUCT((('2ª EM'!D:D="M")*('2ª EM'!E:E="MA")*(ISNUMBER(SEARCH("INCLUS",UPPER('2ª EM'!I:I))))))</f>
        <v>1</v>
      </c>
      <c r="L17" s="199">
        <f t="array" ref="L17">SUMPRODUCT((('2ª EM'!D:D="F")*('2ª EM'!E:E="MA")*(ISNUMBER(SEARCH("INCLUS",UPPER('2ª EM'!I:I))))))</f>
        <v>0</v>
      </c>
      <c r="M17" s="199">
        <f t="shared" si="1"/>
        <v>1</v>
      </c>
      <c r="N17" s="200">
        <f t="array" aca="1" ref="N17" ca="1">SUMPRODUCT((('2ª EM'!D:D="M")*('2ª EM'!E:E="MA")*(ISNUMBER(SEARCH("DISP",UPPER('2ª EM'!J:J))))))</f>
        <v>7</v>
      </c>
      <c r="O17" s="201">
        <f t="array" aca="1" ref="O17" ca="1">SUMPRODUCT((('2ª EM'!D:D="F")*('2ª EM'!E:E="MA")*(ISNUMBER(SEARCH("DISP",UPPER('2ª EM'!J:J))))))</f>
        <v>5</v>
      </c>
      <c r="P17" s="201">
        <f t="shared" ca="1" si="2"/>
        <v>12</v>
      </c>
    </row>
    <row r="18" spans="2:16" s="189" customFormat="1" ht="16.5" thickBot="1" x14ac:dyDescent="0.3">
      <c r="B18" s="549"/>
      <c r="C18" s="549"/>
      <c r="D18" s="225" t="s">
        <v>104</v>
      </c>
      <c r="E18" s="202">
        <f>COUNTIFS('3ª EM'!D:D,"M",'3ª EM'!E:E,"MA")</f>
        <v>14</v>
      </c>
      <c r="F18" s="203">
        <f>COUNTIFS('3ª EM'!D:D,"F",'3ª EM'!E:E,"MA")</f>
        <v>20</v>
      </c>
      <c r="G18" s="222">
        <f t="shared" si="0"/>
        <v>34</v>
      </c>
      <c r="H18" s="204">
        <f>COUNTIFS('3ª EM'!D:D,"M",'3ª EM'!E:E,"MC")</f>
        <v>1</v>
      </c>
      <c r="I18" s="204">
        <f>COUNTIFS('3ª EM'!D:D,"F",'3ª EM'!E:E,"MC")</f>
        <v>1</v>
      </c>
      <c r="J18" s="204">
        <f>SUM(H18:I18)</f>
        <v>2</v>
      </c>
      <c r="K18" s="205">
        <f t="array" ref="K18">SUMPRODUCT((('3ª EM'!D:D="M")*('3ª EM'!E:E="MA")*(ISNUMBER(SEARCH("INCLUS",UPPER('3ª EM'!I:I))))))</f>
        <v>1</v>
      </c>
      <c r="L18" s="205">
        <f t="array" ref="L18">SUMPRODUCT((('3ª EM'!D:D="F")*('3ª EM'!E:E="MA")*(ISNUMBER(SEARCH("INCLUS",UPPER('3ª EM'!I:I))))))</f>
        <v>0</v>
      </c>
      <c r="M18" s="205">
        <f t="shared" si="1"/>
        <v>1</v>
      </c>
      <c r="N18" s="206">
        <f t="array" aca="1" ref="N18" ca="1">SUMPRODUCT((('3ª EM'!D:D="M")*('3ª EM'!E:E="MA")*(ISNUMBER(SEARCH("DISP",UPPER('3ª EM'!J:J))))))</f>
        <v>3</v>
      </c>
      <c r="O18" s="207">
        <f t="array" aca="1" ref="O18" ca="1">SUMPRODUCT((('3ª EM'!D:D="F")*('3ª EM'!E:E="MA")*(ISNUMBER(SEARCH("DISP",UPPER('3ª EM'!J:J))))))</f>
        <v>12</v>
      </c>
      <c r="P18" s="207">
        <f t="shared" ca="1" si="2"/>
        <v>15</v>
      </c>
    </row>
    <row r="19" spans="2:16" s="189" customFormat="1" ht="16.5" thickBot="1" x14ac:dyDescent="0.3">
      <c r="B19" s="208"/>
      <c r="C19" s="208"/>
      <c r="D19" s="209"/>
      <c r="E19" s="210">
        <f>SUM(E16:E18)</f>
        <v>38</v>
      </c>
      <c r="F19" s="211">
        <f>SUM(F16:F18)</f>
        <v>42</v>
      </c>
      <c r="G19" s="212">
        <f t="shared" si="0"/>
        <v>80</v>
      </c>
      <c r="H19" s="212">
        <f t="shared" ref="H19:P19" si="5">SUM(H16:H18)</f>
        <v>1</v>
      </c>
      <c r="I19" s="212">
        <f t="shared" si="5"/>
        <v>2</v>
      </c>
      <c r="J19" s="212">
        <f t="shared" si="5"/>
        <v>3</v>
      </c>
      <c r="K19" s="211">
        <f t="shared" si="5"/>
        <v>2</v>
      </c>
      <c r="L19" s="211">
        <f t="shared" si="5"/>
        <v>0</v>
      </c>
      <c r="M19" s="211">
        <f t="shared" si="5"/>
        <v>2</v>
      </c>
      <c r="N19" s="224">
        <f t="shared" ca="1" si="5"/>
        <v>15</v>
      </c>
      <c r="O19" s="211">
        <f t="shared" ca="1" si="5"/>
        <v>27</v>
      </c>
      <c r="P19" s="211">
        <f t="shared" ca="1" si="5"/>
        <v>42</v>
      </c>
    </row>
    <row r="20" spans="2:16" s="189" customFormat="1" ht="16.5" thickBot="1" x14ac:dyDescent="0.3">
      <c r="B20" s="565" t="s">
        <v>18</v>
      </c>
      <c r="C20" s="565"/>
      <c r="D20" s="565"/>
      <c r="E20" s="226">
        <f t="shared" ref="E20:J20" si="6">SUM(E10,E15,E19)</f>
        <v>68</v>
      </c>
      <c r="F20" s="226">
        <f t="shared" si="6"/>
        <v>82</v>
      </c>
      <c r="G20" s="226">
        <f t="shared" si="6"/>
        <v>150</v>
      </c>
      <c r="H20" s="226">
        <f t="shared" si="6"/>
        <v>2</v>
      </c>
      <c r="I20" s="226">
        <f t="shared" si="6"/>
        <v>9</v>
      </c>
      <c r="J20" s="226">
        <f t="shared" si="6"/>
        <v>11</v>
      </c>
      <c r="K20" s="226">
        <f>SUM(K10+K15+K19)</f>
        <v>4</v>
      </c>
      <c r="L20" s="226">
        <f>SUM(L10+L15+L19)</f>
        <v>0</v>
      </c>
      <c r="M20" s="226">
        <f>SUM(M10,M15,M19)</f>
        <v>4</v>
      </c>
      <c r="N20" s="226">
        <f ca="1">SUM(N10,N15,N19)</f>
        <v>28</v>
      </c>
      <c r="O20" s="226">
        <f ca="1">SUM(O10,O15,O19)</f>
        <v>56</v>
      </c>
      <c r="P20" s="226">
        <f ca="1">SUM(P10,P15,P19)</f>
        <v>84</v>
      </c>
    </row>
    <row r="21" spans="2:16" s="189" customFormat="1" ht="35.25" customHeight="1" x14ac:dyDescent="0.2">
      <c r="C21" s="227"/>
      <c r="D21" s="228"/>
      <c r="E21" s="229" t="s">
        <v>92</v>
      </c>
      <c r="F21" s="230" t="s">
        <v>32</v>
      </c>
      <c r="G21" s="231" t="s">
        <v>93</v>
      </c>
      <c r="H21" s="232" t="s">
        <v>92</v>
      </c>
      <c r="I21" s="233" t="s">
        <v>32</v>
      </c>
      <c r="J21" s="234" t="s">
        <v>93</v>
      </c>
      <c r="K21" s="235" t="s">
        <v>92</v>
      </c>
      <c r="L21" s="236" t="s">
        <v>32</v>
      </c>
      <c r="M21" s="237" t="s">
        <v>93</v>
      </c>
      <c r="N21" s="238" t="s">
        <v>92</v>
      </c>
      <c r="O21" s="239" t="s">
        <v>32</v>
      </c>
      <c r="P21" s="240" t="s">
        <v>93</v>
      </c>
    </row>
    <row r="22" spans="2:16" s="189" customFormat="1" ht="38.25" customHeight="1" x14ac:dyDescent="0.2">
      <c r="C22" s="227"/>
      <c r="D22" s="228"/>
      <c r="E22" s="554" t="s">
        <v>90</v>
      </c>
      <c r="F22" s="555"/>
      <c r="G22" s="556"/>
      <c r="H22" s="557" t="s">
        <v>91</v>
      </c>
      <c r="I22" s="558"/>
      <c r="J22" s="559"/>
      <c r="K22" s="560" t="s">
        <v>6</v>
      </c>
      <c r="L22" s="561"/>
      <c r="M22" s="562"/>
      <c r="N22" s="546" t="s">
        <v>33</v>
      </c>
      <c r="O22" s="547"/>
      <c r="P22" s="548"/>
    </row>
    <row r="23" spans="2:16" s="189" customFormat="1" ht="48" customHeight="1" x14ac:dyDescent="0.55000000000000004">
      <c r="C23" s="241"/>
      <c r="D23" s="242"/>
      <c r="E23" s="243"/>
      <c r="F23" s="243"/>
      <c r="G23" s="244"/>
      <c r="H23" s="245"/>
      <c r="I23" s="185"/>
      <c r="J23" s="185"/>
      <c r="N23" s="185"/>
      <c r="O23" s="185"/>
      <c r="P23" s="185"/>
    </row>
  </sheetData>
  <mergeCells count="22">
    <mergeCell ref="E22:G22"/>
    <mergeCell ref="H22:J22"/>
    <mergeCell ref="K22:M22"/>
    <mergeCell ref="N22:P22"/>
    <mergeCell ref="B3:P3"/>
    <mergeCell ref="B20:D20"/>
    <mergeCell ref="B6:C6"/>
    <mergeCell ref="B7:C7"/>
    <mergeCell ref="B8:C8"/>
    <mergeCell ref="B9:C9"/>
    <mergeCell ref="B11:C11"/>
    <mergeCell ref="B12:C12"/>
    <mergeCell ref="B13:C13"/>
    <mergeCell ref="B14:C14"/>
    <mergeCell ref="B16:C16"/>
    <mergeCell ref="B17:C17"/>
    <mergeCell ref="N4:P4"/>
    <mergeCell ref="B18:C18"/>
    <mergeCell ref="B4:C5"/>
    <mergeCell ref="E4:G4"/>
    <mergeCell ref="H4:J4"/>
    <mergeCell ref="K4:M4"/>
  </mergeCells>
  <printOptions horizontalCentered="1"/>
  <pageMargins left="0.28000000000000003" right="0" top="0.73" bottom="0.27559055118110237" header="0.51181102362204722" footer="0.51181102362204722"/>
  <pageSetup paperSize="9" scale="98" fitToHeight="0" orientation="landscape" verticalDpi="36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V45"/>
  <sheetViews>
    <sheetView view="pageBreakPreview" zoomScale="70" zoomScaleNormal="100" zoomScaleSheetLayoutView="7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7" sqref="A7"/>
    </sheetView>
  </sheetViews>
  <sheetFormatPr defaultRowHeight="17.25" x14ac:dyDescent="0.3"/>
  <cols>
    <col min="1" max="1" width="3.7109375" style="273" customWidth="1"/>
    <col min="2" max="2" width="7.7109375" style="273" customWidth="1"/>
    <col min="3" max="3" width="40.7109375" style="514" customWidth="1"/>
    <col min="4" max="4" width="3.7109375" style="258" customWidth="1"/>
    <col min="5" max="5" width="4.7109375" style="258" customWidth="1"/>
    <col min="6" max="6" width="12.7109375" style="274" customWidth="1"/>
    <col min="7" max="7" width="14.7109375" style="273" customWidth="1"/>
    <col min="8" max="8" width="12.7109375" style="275" customWidth="1"/>
    <col min="9" max="9" width="23.85546875" style="514" bestFit="1" customWidth="1"/>
    <col min="10" max="10" width="12.7109375" style="275" customWidth="1"/>
    <col min="11" max="11" width="7.85546875" style="276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0" width="14.140625" style="258" bestFit="1" customWidth="1"/>
    <col min="21" max="21" width="9.140625" style="258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68" t="s">
        <v>0</v>
      </c>
      <c r="D1" s="568"/>
      <c r="E1" s="568"/>
      <c r="F1" s="568"/>
      <c r="G1" s="568"/>
      <c r="H1" s="568"/>
      <c r="I1" s="255"/>
      <c r="J1" s="255"/>
      <c r="K1" s="254"/>
      <c r="L1" s="19"/>
      <c r="M1" s="19"/>
    </row>
    <row r="2" spans="1:22" s="273" customFormat="1" x14ac:dyDescent="0.25">
      <c r="A2" s="254"/>
      <c r="B2" s="254"/>
      <c r="C2" s="568" t="s">
        <v>1</v>
      </c>
      <c r="D2" s="568"/>
      <c r="E2" s="568"/>
      <c r="F2" s="568"/>
      <c r="G2" s="568"/>
      <c r="H2" s="568"/>
      <c r="I2" s="505"/>
      <c r="J2" s="505"/>
      <c r="K2" s="505"/>
      <c r="L2" s="19"/>
      <c r="M2" s="19"/>
    </row>
    <row r="3" spans="1:22" s="273" customFormat="1" x14ac:dyDescent="0.25">
      <c r="A3" s="254"/>
      <c r="B3" s="254"/>
      <c r="C3" s="568" t="s">
        <v>2</v>
      </c>
      <c r="D3" s="568"/>
      <c r="E3" s="568"/>
      <c r="F3" s="568"/>
      <c r="G3" s="568"/>
      <c r="H3" s="568"/>
      <c r="I3" s="254"/>
      <c r="J3" s="254"/>
      <c r="K3" s="254"/>
      <c r="L3" s="19"/>
      <c r="M3" s="19"/>
    </row>
    <row r="4" spans="1:22" s="273" customFormat="1" ht="18" thickBot="1" x14ac:dyDescent="0.3">
      <c r="A4" s="254"/>
      <c r="B4" s="254"/>
      <c r="C4" s="568" t="s">
        <v>362</v>
      </c>
      <c r="D4" s="568"/>
      <c r="E4" s="568"/>
      <c r="F4" s="568"/>
      <c r="G4" s="568"/>
      <c r="H4" s="568"/>
      <c r="I4" s="505"/>
      <c r="J4" s="505"/>
      <c r="K4" s="505"/>
      <c r="L4" s="19"/>
      <c r="M4" s="19"/>
    </row>
    <row r="5" spans="1:22" ht="18" thickBot="1" x14ac:dyDescent="0.35">
      <c r="A5" s="569" t="s">
        <v>3</v>
      </c>
      <c r="B5" s="570"/>
      <c r="C5" s="570"/>
      <c r="D5" s="571" t="s">
        <v>44</v>
      </c>
      <c r="E5" s="572"/>
      <c r="F5" s="330"/>
      <c r="G5" s="509" t="s">
        <v>35</v>
      </c>
      <c r="H5" s="510">
        <f ca="1">TODAY()</f>
        <v>45931</v>
      </c>
      <c r="I5" s="506" t="s">
        <v>43</v>
      </c>
      <c r="J5" s="506"/>
      <c r="K5" s="369"/>
      <c r="L5" s="258"/>
    </row>
    <row r="6" spans="1:22" x14ac:dyDescent="0.3">
      <c r="A6" s="332" t="s">
        <v>7</v>
      </c>
      <c r="B6" s="333" t="s">
        <v>8</v>
      </c>
      <c r="C6" s="334" t="s">
        <v>9</v>
      </c>
      <c r="D6" s="335" t="s">
        <v>10</v>
      </c>
      <c r="E6" s="335" t="s">
        <v>11</v>
      </c>
      <c r="F6" s="336" t="s">
        <v>12</v>
      </c>
      <c r="G6" s="333" t="s">
        <v>13</v>
      </c>
      <c r="H6" s="337" t="s">
        <v>14</v>
      </c>
      <c r="I6" s="338" t="s">
        <v>57</v>
      </c>
      <c r="J6" s="337" t="s">
        <v>28</v>
      </c>
      <c r="K6" s="372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7" t="s">
        <v>105</v>
      </c>
    </row>
    <row r="7" spans="1:22" s="513" customFormat="1" ht="20.100000000000001" customHeight="1" x14ac:dyDescent="0.25">
      <c r="A7" s="361">
        <v>1</v>
      </c>
      <c r="B7" s="342">
        <v>16345</v>
      </c>
      <c r="C7" s="341" t="s">
        <v>422</v>
      </c>
      <c r="D7" s="343" t="s">
        <v>16</v>
      </c>
      <c r="E7" s="327" t="str">
        <f>IF(COUNTIF(I7,"*MC*")=1,"MC",IF(COUNTIF(I7,"*NCOM*")=1,"NCOM",IF(C7="","","MA")))</f>
        <v>MA</v>
      </c>
      <c r="F7" s="344">
        <v>30376</v>
      </c>
      <c r="G7" s="343"/>
      <c r="H7" s="341"/>
      <c r="I7" s="341"/>
      <c r="J7" s="368" t="str">
        <f t="shared" ref="J7:J9" ca="1" si="0">IF(K7="","",IF(K7&gt;29,"DISP.IDADE",""))</f>
        <v>DISP.IDADE</v>
      </c>
      <c r="K7" s="371">
        <f t="shared" ref="K7:K9" ca="1" si="1">IF(F7="","",INT((TODAY()-F7)/365.25))</f>
        <v>42</v>
      </c>
      <c r="L7" s="93" t="s">
        <v>305</v>
      </c>
      <c r="M7" s="373" t="s">
        <v>314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1"/>
      <c r="U7" s="512"/>
      <c r="V7" s="452"/>
    </row>
    <row r="8" spans="1:22" s="513" customFormat="1" ht="20.100000000000001" customHeight="1" x14ac:dyDescent="0.25">
      <c r="A8" s="361">
        <v>2</v>
      </c>
      <c r="B8" s="342">
        <v>18904</v>
      </c>
      <c r="C8" s="350" t="s">
        <v>428</v>
      </c>
      <c r="D8" s="340" t="s">
        <v>16</v>
      </c>
      <c r="E8" s="328" t="str">
        <f>IF(COUNTIF(I8,"*MC*")=1,"MC",IF(COUNTIF(I8,"*NCOM*")=1,"NCOM",IF(C8="","","MA")))</f>
        <v>MA</v>
      </c>
      <c r="F8" s="346">
        <v>23323</v>
      </c>
      <c r="G8" s="340"/>
      <c r="H8" s="348"/>
      <c r="I8" s="345"/>
      <c r="J8" s="368" t="str">
        <f t="shared" ca="1" si="0"/>
        <v>DISP.IDADE</v>
      </c>
      <c r="K8" s="371">
        <f t="shared" ca="1" si="1"/>
        <v>61</v>
      </c>
      <c r="L8" s="93" t="s">
        <v>305</v>
      </c>
      <c r="M8" s="373" t="s">
        <v>314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1"/>
      <c r="U8" s="512"/>
      <c r="V8" s="452"/>
    </row>
    <row r="9" spans="1:22" s="513" customFormat="1" ht="20.100000000000001" customHeight="1" x14ac:dyDescent="0.25">
      <c r="A9" s="361">
        <v>3</v>
      </c>
      <c r="B9" s="342">
        <v>18828</v>
      </c>
      <c r="C9" s="350" t="s">
        <v>288</v>
      </c>
      <c r="D9" s="340" t="s">
        <v>16</v>
      </c>
      <c r="E9" s="327" t="str">
        <f>IF(ISNUMBER(FIND("TE",I9)),"TE",IF(ISNUMBER(FIND("MCC",I9)),"MCC",IF(ISNUMBER(FIND("MC",I9)),"MC","MA")))</f>
        <v>MA</v>
      </c>
      <c r="F9" s="346">
        <v>25983</v>
      </c>
      <c r="G9" s="347">
        <v>1258776170</v>
      </c>
      <c r="H9" s="350" t="s">
        <v>355</v>
      </c>
      <c r="I9" s="375"/>
      <c r="J9" s="368" t="str">
        <f t="shared" ca="1" si="0"/>
        <v>DISP.IDADE</v>
      </c>
      <c r="K9" s="370">
        <f t="shared" ca="1" si="1"/>
        <v>54</v>
      </c>
      <c r="L9" s="93" t="s">
        <v>305</v>
      </c>
      <c r="M9" s="373" t="s">
        <v>314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1"/>
      <c r="U9" s="512"/>
      <c r="V9" s="164">
        <v>65617894404</v>
      </c>
    </row>
    <row r="10" spans="1:22" s="513" customFormat="1" ht="20.100000000000001" customHeight="1" x14ac:dyDescent="0.25">
      <c r="A10" s="361">
        <v>4</v>
      </c>
      <c r="B10" s="342"/>
      <c r="C10" s="350"/>
      <c r="D10" s="340"/>
      <c r="E10" s="327" t="str">
        <f t="shared" ref="E10:E34" si="2">IF(COUNTIF(I10,"*MC*")=1,"MC",IF(COUNTIF(I10,"*NCOM*")=1,"NCOM",IF(C10="","","MA")))</f>
        <v/>
      </c>
      <c r="F10" s="346"/>
      <c r="G10" s="340"/>
      <c r="H10" s="348"/>
      <c r="I10" s="345"/>
      <c r="J10" s="368" t="str">
        <f t="shared" ref="J10:J34" ca="1" si="3">IF(K10="","",IF(K10&gt;29,"DISP.IDADE",""))</f>
        <v/>
      </c>
      <c r="K10" s="371" t="str">
        <f t="shared" ref="K10:K34" ca="1" si="4">IF(F10="","",INT((TODAY()-F10)/365.25))</f>
        <v/>
      </c>
      <c r="L10" s="93" t="s">
        <v>305</v>
      </c>
      <c r="M10" s="373" t="s">
        <v>314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1"/>
      <c r="U10" s="512"/>
      <c r="V10" s="452"/>
    </row>
    <row r="11" spans="1:22" s="513" customFormat="1" ht="20.100000000000001" customHeight="1" x14ac:dyDescent="0.25">
      <c r="A11" s="361">
        <v>5</v>
      </c>
      <c r="B11" s="342"/>
      <c r="C11" s="350"/>
      <c r="D11" s="340"/>
      <c r="E11" s="327" t="str">
        <f t="shared" si="2"/>
        <v/>
      </c>
      <c r="F11" s="346"/>
      <c r="G11" s="340"/>
      <c r="H11" s="348"/>
      <c r="I11" s="345"/>
      <c r="J11" s="368" t="str">
        <f t="shared" ca="1" si="3"/>
        <v/>
      </c>
      <c r="K11" s="371" t="str">
        <f t="shared" ca="1" si="4"/>
        <v/>
      </c>
      <c r="L11" s="93" t="s">
        <v>305</v>
      </c>
      <c r="M11" s="373" t="s">
        <v>314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1"/>
      <c r="U11" s="512"/>
      <c r="V11" s="452"/>
    </row>
    <row r="12" spans="1:22" s="513" customFormat="1" ht="20.100000000000001" customHeight="1" x14ac:dyDescent="0.25">
      <c r="A12" s="361">
        <v>6</v>
      </c>
      <c r="B12" s="342"/>
      <c r="C12" s="350"/>
      <c r="D12" s="340"/>
      <c r="E12" s="328" t="str">
        <f t="shared" si="2"/>
        <v/>
      </c>
      <c r="F12" s="346"/>
      <c r="G12" s="340"/>
      <c r="H12" s="348"/>
      <c r="I12" s="345"/>
      <c r="J12" s="368" t="str">
        <f t="shared" ca="1" si="3"/>
        <v/>
      </c>
      <c r="K12" s="370" t="str">
        <f t="shared" ca="1" si="4"/>
        <v/>
      </c>
      <c r="L12" s="93" t="s">
        <v>305</v>
      </c>
      <c r="M12" s="373" t="s">
        <v>314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1"/>
      <c r="U12" s="512"/>
      <c r="V12" s="452"/>
    </row>
    <row r="13" spans="1:22" s="513" customFormat="1" ht="20.100000000000001" customHeight="1" x14ac:dyDescent="0.25">
      <c r="A13" s="361">
        <v>7</v>
      </c>
      <c r="B13" s="342"/>
      <c r="C13" s="350"/>
      <c r="D13" s="340"/>
      <c r="E13" s="327" t="str">
        <f t="shared" si="2"/>
        <v/>
      </c>
      <c r="F13" s="346"/>
      <c r="G13" s="340"/>
      <c r="H13" s="348"/>
      <c r="I13" s="345"/>
      <c r="J13" s="368" t="str">
        <f t="shared" ca="1" si="3"/>
        <v/>
      </c>
      <c r="K13" s="371" t="str">
        <f t="shared" ca="1" si="4"/>
        <v/>
      </c>
      <c r="L13" s="93" t="s">
        <v>305</v>
      </c>
      <c r="M13" s="373" t="s">
        <v>314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1"/>
      <c r="U13" s="512"/>
      <c r="V13" s="452"/>
    </row>
    <row r="14" spans="1:22" s="513" customFormat="1" ht="20.100000000000001" customHeight="1" x14ac:dyDescent="0.25">
      <c r="A14" s="361">
        <v>8</v>
      </c>
      <c r="B14" s="342"/>
      <c r="C14" s="350"/>
      <c r="D14" s="340"/>
      <c r="E14" s="327" t="str">
        <f t="shared" si="2"/>
        <v/>
      </c>
      <c r="F14" s="346"/>
      <c r="G14" s="340"/>
      <c r="H14" s="348"/>
      <c r="I14" s="345"/>
      <c r="J14" s="368" t="str">
        <f t="shared" ca="1" si="3"/>
        <v/>
      </c>
      <c r="K14" s="371" t="str">
        <f t="shared" ca="1" si="4"/>
        <v/>
      </c>
      <c r="L14" s="93" t="s">
        <v>305</v>
      </c>
      <c r="M14" s="373" t="s">
        <v>314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1"/>
      <c r="U14" s="512"/>
      <c r="V14" s="452"/>
    </row>
    <row r="15" spans="1:22" s="513" customFormat="1" ht="20.100000000000001" customHeight="1" x14ac:dyDescent="0.25">
      <c r="A15" s="361">
        <v>9</v>
      </c>
      <c r="B15" s="342"/>
      <c r="C15" s="350"/>
      <c r="D15" s="340"/>
      <c r="E15" s="328" t="str">
        <f t="shared" si="2"/>
        <v/>
      </c>
      <c r="F15" s="346"/>
      <c r="G15" s="340"/>
      <c r="H15" s="348"/>
      <c r="I15" s="345"/>
      <c r="J15" s="368" t="str">
        <f t="shared" ca="1" si="3"/>
        <v/>
      </c>
      <c r="K15" s="370" t="str">
        <f t="shared" ca="1" si="4"/>
        <v/>
      </c>
      <c r="L15" s="93" t="s">
        <v>305</v>
      </c>
      <c r="M15" s="373" t="s">
        <v>314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1"/>
      <c r="U15" s="512"/>
      <c r="V15" s="452"/>
    </row>
    <row r="16" spans="1:22" s="513" customFormat="1" ht="20.100000000000001" customHeight="1" x14ac:dyDescent="0.25">
      <c r="A16" s="361">
        <v>10</v>
      </c>
      <c r="B16" s="357"/>
      <c r="C16" s="359"/>
      <c r="D16" s="357"/>
      <c r="E16" s="327" t="str">
        <f t="shared" si="2"/>
        <v/>
      </c>
      <c r="F16" s="358"/>
      <c r="G16" s="357"/>
      <c r="H16" s="356"/>
      <c r="I16" s="359"/>
      <c r="J16" s="368" t="str">
        <f t="shared" ca="1" si="3"/>
        <v/>
      </c>
      <c r="K16" s="371" t="str">
        <f t="shared" ca="1" si="4"/>
        <v/>
      </c>
      <c r="L16" s="93" t="s">
        <v>305</v>
      </c>
      <c r="M16" s="373" t="s">
        <v>314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1"/>
      <c r="U16" s="512"/>
      <c r="V16" s="452"/>
    </row>
    <row r="17" spans="1:22" s="513" customFormat="1" ht="20.100000000000001" customHeight="1" x14ac:dyDescent="0.25">
      <c r="A17" s="361">
        <v>13</v>
      </c>
      <c r="B17" s="342"/>
      <c r="C17" s="350"/>
      <c r="D17" s="340"/>
      <c r="E17" s="327" t="str">
        <f t="shared" si="2"/>
        <v/>
      </c>
      <c r="F17" s="346"/>
      <c r="G17" s="340"/>
      <c r="H17" s="348"/>
      <c r="I17" s="345"/>
      <c r="J17" s="368" t="str">
        <f t="shared" ca="1" si="3"/>
        <v/>
      </c>
      <c r="K17" s="371" t="str">
        <f t="shared" ca="1" si="4"/>
        <v/>
      </c>
      <c r="L17" s="93" t="s">
        <v>305</v>
      </c>
      <c r="M17" s="373" t="s">
        <v>314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1"/>
      <c r="U17" s="512"/>
      <c r="V17" s="452"/>
    </row>
    <row r="18" spans="1:22" s="513" customFormat="1" ht="20.100000000000001" customHeight="1" x14ac:dyDescent="0.25">
      <c r="A18" s="361">
        <v>14</v>
      </c>
      <c r="B18" s="342"/>
      <c r="C18" s="350"/>
      <c r="D18" s="340"/>
      <c r="E18" s="328" t="str">
        <f t="shared" si="2"/>
        <v/>
      </c>
      <c r="F18" s="346"/>
      <c r="G18" s="340"/>
      <c r="H18" s="348"/>
      <c r="I18" s="345"/>
      <c r="J18" s="368" t="str">
        <f t="shared" ca="1" si="3"/>
        <v/>
      </c>
      <c r="K18" s="370" t="str">
        <f t="shared" ca="1" si="4"/>
        <v/>
      </c>
      <c r="L18" s="93" t="s">
        <v>305</v>
      </c>
      <c r="M18" s="373" t="s">
        <v>314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1"/>
      <c r="U18" s="512"/>
      <c r="V18" s="452"/>
    </row>
    <row r="19" spans="1:22" s="513" customFormat="1" ht="20.100000000000001" customHeight="1" x14ac:dyDescent="0.25">
      <c r="A19" s="361">
        <v>15</v>
      </c>
      <c r="B19" s="342"/>
      <c r="C19" s="350"/>
      <c r="D19" s="340"/>
      <c r="E19" s="327" t="str">
        <f t="shared" si="2"/>
        <v/>
      </c>
      <c r="F19" s="346"/>
      <c r="G19" s="340"/>
      <c r="H19" s="348"/>
      <c r="I19" s="345"/>
      <c r="J19" s="368" t="str">
        <f t="shared" ca="1" si="3"/>
        <v/>
      </c>
      <c r="K19" s="371" t="str">
        <f t="shared" ca="1" si="4"/>
        <v/>
      </c>
      <c r="L19" s="93" t="s">
        <v>305</v>
      </c>
      <c r="M19" s="373" t="s">
        <v>314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1"/>
      <c r="U19" s="512"/>
      <c r="V19" s="452"/>
    </row>
    <row r="20" spans="1:22" s="513" customFormat="1" ht="20.100000000000001" customHeight="1" x14ac:dyDescent="0.25">
      <c r="A20" s="361">
        <v>16</v>
      </c>
      <c r="B20" s="342"/>
      <c r="C20" s="350"/>
      <c r="D20" s="340"/>
      <c r="E20" s="327" t="str">
        <f t="shared" si="2"/>
        <v/>
      </c>
      <c r="F20" s="346"/>
      <c r="G20" s="340"/>
      <c r="H20" s="348"/>
      <c r="I20" s="345"/>
      <c r="J20" s="368" t="str">
        <f t="shared" ca="1" si="3"/>
        <v/>
      </c>
      <c r="K20" s="371" t="str">
        <f t="shared" ca="1" si="4"/>
        <v/>
      </c>
      <c r="L20" s="93" t="s">
        <v>305</v>
      </c>
      <c r="M20" s="373" t="s">
        <v>314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1"/>
      <c r="U20" s="512"/>
      <c r="V20" s="452"/>
    </row>
    <row r="21" spans="1:22" s="513" customFormat="1" ht="20.100000000000001" customHeight="1" x14ac:dyDescent="0.25">
      <c r="A21" s="361">
        <v>17</v>
      </c>
      <c r="B21" s="342"/>
      <c r="C21" s="350"/>
      <c r="D21" s="340"/>
      <c r="E21" s="328" t="str">
        <f t="shared" si="2"/>
        <v/>
      </c>
      <c r="F21" s="346"/>
      <c r="G21" s="340"/>
      <c r="H21" s="348"/>
      <c r="I21" s="345"/>
      <c r="J21" s="368" t="str">
        <f t="shared" ca="1" si="3"/>
        <v/>
      </c>
      <c r="K21" s="370" t="str">
        <f t="shared" ca="1" si="4"/>
        <v/>
      </c>
      <c r="L21" s="93" t="s">
        <v>305</v>
      </c>
      <c r="M21" s="373" t="s">
        <v>314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511"/>
      <c r="U21" s="512"/>
      <c r="V21" s="452"/>
    </row>
    <row r="22" spans="1:22" s="513" customFormat="1" ht="20.100000000000001" customHeight="1" x14ac:dyDescent="0.25">
      <c r="A22" s="361">
        <v>18</v>
      </c>
      <c r="B22" s="342"/>
      <c r="C22" s="350"/>
      <c r="D22" s="340"/>
      <c r="E22" s="327" t="str">
        <f t="shared" si="2"/>
        <v/>
      </c>
      <c r="F22" s="346"/>
      <c r="G22" s="340"/>
      <c r="H22" s="348"/>
      <c r="I22" s="345"/>
      <c r="J22" s="368" t="str">
        <f t="shared" ca="1" si="3"/>
        <v/>
      </c>
      <c r="K22" s="371" t="str">
        <f t="shared" ca="1" si="4"/>
        <v/>
      </c>
      <c r="L22" s="93" t="s">
        <v>305</v>
      </c>
      <c r="M22" s="373" t="s">
        <v>314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511"/>
      <c r="U22" s="512"/>
      <c r="V22" s="452"/>
    </row>
    <row r="23" spans="1:22" s="513" customFormat="1" ht="20.100000000000001" customHeight="1" x14ac:dyDescent="0.25">
      <c r="A23" s="361">
        <v>19</v>
      </c>
      <c r="B23" s="342"/>
      <c r="C23" s="350"/>
      <c r="D23" s="340"/>
      <c r="E23" s="327" t="str">
        <f t="shared" si="2"/>
        <v/>
      </c>
      <c r="F23" s="346"/>
      <c r="G23" s="340"/>
      <c r="H23" s="348"/>
      <c r="I23" s="345"/>
      <c r="J23" s="368" t="str">
        <f t="shared" ca="1" si="3"/>
        <v/>
      </c>
      <c r="K23" s="371" t="str">
        <f t="shared" ca="1" si="4"/>
        <v/>
      </c>
      <c r="L23" s="93" t="s">
        <v>305</v>
      </c>
      <c r="M23" s="373" t="s">
        <v>314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511"/>
      <c r="U23" s="512"/>
      <c r="V23" s="452"/>
    </row>
    <row r="24" spans="1:22" s="513" customFormat="1" ht="20.100000000000001" customHeight="1" x14ac:dyDescent="0.25">
      <c r="A24" s="361">
        <v>20</v>
      </c>
      <c r="B24" s="342"/>
      <c r="C24" s="350"/>
      <c r="D24" s="340"/>
      <c r="E24" s="328" t="str">
        <f t="shared" si="2"/>
        <v/>
      </c>
      <c r="F24" s="346"/>
      <c r="G24" s="340"/>
      <c r="H24" s="348"/>
      <c r="I24" s="345"/>
      <c r="J24" s="368" t="str">
        <f t="shared" ca="1" si="3"/>
        <v/>
      </c>
      <c r="K24" s="370" t="str">
        <f t="shared" ca="1" si="4"/>
        <v/>
      </c>
      <c r="L24" s="93" t="s">
        <v>305</v>
      </c>
      <c r="M24" s="373" t="s">
        <v>314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93"/>
      <c r="U24" s="93"/>
      <c r="V24" s="452"/>
    </row>
    <row r="25" spans="1:22" s="513" customFormat="1" ht="20.100000000000001" customHeight="1" x14ac:dyDescent="0.25">
      <c r="A25" s="361">
        <v>21</v>
      </c>
      <c r="B25" s="342"/>
      <c r="C25" s="350"/>
      <c r="D25" s="340"/>
      <c r="E25" s="327" t="str">
        <f t="shared" si="2"/>
        <v/>
      </c>
      <c r="F25" s="346"/>
      <c r="G25" s="340"/>
      <c r="H25" s="348"/>
      <c r="I25" s="345"/>
      <c r="J25" s="368" t="str">
        <f t="shared" ca="1" si="3"/>
        <v/>
      </c>
      <c r="K25" s="371" t="str">
        <f t="shared" ca="1" si="4"/>
        <v/>
      </c>
      <c r="L25" s="93" t="s">
        <v>305</v>
      </c>
      <c r="M25" s="373" t="s">
        <v>314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93"/>
      <c r="U25" s="93"/>
      <c r="V25" s="452"/>
    </row>
    <row r="26" spans="1:22" s="513" customFormat="1" ht="20.100000000000001" customHeight="1" x14ac:dyDescent="0.25">
      <c r="A26" s="361">
        <v>22</v>
      </c>
      <c r="B26" s="342"/>
      <c r="C26" s="350"/>
      <c r="D26" s="340"/>
      <c r="E26" s="327" t="str">
        <f t="shared" si="2"/>
        <v/>
      </c>
      <c r="F26" s="346"/>
      <c r="G26" s="340"/>
      <c r="H26" s="348"/>
      <c r="I26" s="345"/>
      <c r="J26" s="368" t="str">
        <f t="shared" ca="1" si="3"/>
        <v/>
      </c>
      <c r="K26" s="371" t="str">
        <f t="shared" ca="1" si="4"/>
        <v/>
      </c>
      <c r="L26" s="93" t="s">
        <v>305</v>
      </c>
      <c r="M26" s="373" t="s">
        <v>314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93"/>
      <c r="U26" s="93"/>
      <c r="V26" s="452"/>
    </row>
    <row r="27" spans="1:22" s="513" customFormat="1" ht="20.100000000000001" customHeight="1" x14ac:dyDescent="0.25">
      <c r="A27" s="361">
        <v>23</v>
      </c>
      <c r="B27" s="342"/>
      <c r="C27" s="350"/>
      <c r="D27" s="340"/>
      <c r="E27" s="328" t="str">
        <f t="shared" si="2"/>
        <v/>
      </c>
      <c r="F27" s="346"/>
      <c r="G27" s="340"/>
      <c r="H27" s="348"/>
      <c r="I27" s="345"/>
      <c r="J27" s="368" t="str">
        <f t="shared" ca="1" si="3"/>
        <v/>
      </c>
      <c r="K27" s="370" t="str">
        <f t="shared" ca="1" si="4"/>
        <v/>
      </c>
      <c r="L27" s="93" t="s">
        <v>305</v>
      </c>
      <c r="M27" s="373" t="s">
        <v>314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93"/>
      <c r="U27" s="93"/>
      <c r="V27" s="452"/>
    </row>
    <row r="28" spans="1:22" s="513" customFormat="1" ht="20.100000000000001" customHeight="1" x14ac:dyDescent="0.25">
      <c r="A28" s="361">
        <v>24</v>
      </c>
      <c r="B28" s="342"/>
      <c r="C28" s="350"/>
      <c r="D28" s="340"/>
      <c r="E28" s="327" t="str">
        <f t="shared" si="2"/>
        <v/>
      </c>
      <c r="F28" s="346"/>
      <c r="G28" s="340"/>
      <c r="H28" s="348"/>
      <c r="I28" s="345"/>
      <c r="J28" s="368" t="str">
        <f t="shared" ca="1" si="3"/>
        <v/>
      </c>
      <c r="K28" s="371" t="str">
        <f t="shared" ca="1" si="4"/>
        <v/>
      </c>
      <c r="L28" s="93" t="s">
        <v>305</v>
      </c>
      <c r="M28" s="373" t="s">
        <v>314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93"/>
      <c r="U28" s="93"/>
      <c r="V28" s="452"/>
    </row>
    <row r="29" spans="1:22" s="513" customFormat="1" ht="20.100000000000001" customHeight="1" x14ac:dyDescent="0.25">
      <c r="A29" s="361">
        <v>25</v>
      </c>
      <c r="B29" s="342"/>
      <c r="C29" s="350"/>
      <c r="D29" s="340"/>
      <c r="E29" s="327" t="str">
        <f t="shared" si="2"/>
        <v/>
      </c>
      <c r="F29" s="346"/>
      <c r="G29" s="340"/>
      <c r="H29" s="348"/>
      <c r="I29" s="345"/>
      <c r="J29" s="368" t="str">
        <f t="shared" ca="1" si="3"/>
        <v/>
      </c>
      <c r="K29" s="371" t="str">
        <f t="shared" ca="1" si="4"/>
        <v/>
      </c>
      <c r="L29" s="93" t="s">
        <v>305</v>
      </c>
      <c r="M29" s="373" t="s">
        <v>314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93"/>
      <c r="U29" s="93"/>
      <c r="V29" s="452"/>
    </row>
    <row r="30" spans="1:22" s="513" customFormat="1" ht="20.100000000000001" customHeight="1" x14ac:dyDescent="0.25">
      <c r="A30" s="361">
        <v>26</v>
      </c>
      <c r="B30" s="342"/>
      <c r="C30" s="350"/>
      <c r="D30" s="340"/>
      <c r="E30" s="328" t="str">
        <f t="shared" si="2"/>
        <v/>
      </c>
      <c r="F30" s="346"/>
      <c r="G30" s="340"/>
      <c r="H30" s="348"/>
      <c r="I30" s="345"/>
      <c r="J30" s="368" t="str">
        <f t="shared" ca="1" si="3"/>
        <v/>
      </c>
      <c r="K30" s="370" t="str">
        <f t="shared" ca="1" si="4"/>
        <v/>
      </c>
      <c r="L30" s="93" t="s">
        <v>305</v>
      </c>
      <c r="M30" s="373" t="s">
        <v>314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93"/>
      <c r="U30" s="93"/>
      <c r="V30" s="452"/>
    </row>
    <row r="31" spans="1:22" s="513" customFormat="1" ht="20.100000000000001" customHeight="1" x14ac:dyDescent="0.25">
      <c r="A31" s="361">
        <v>27</v>
      </c>
      <c r="B31" s="342"/>
      <c r="C31" s="350"/>
      <c r="D31" s="340"/>
      <c r="E31" s="327" t="str">
        <f t="shared" si="2"/>
        <v/>
      </c>
      <c r="F31" s="346"/>
      <c r="G31" s="340"/>
      <c r="H31" s="348"/>
      <c r="I31" s="345"/>
      <c r="J31" s="368" t="str">
        <f t="shared" ca="1" si="3"/>
        <v/>
      </c>
      <c r="K31" s="371" t="str">
        <f t="shared" ca="1" si="4"/>
        <v/>
      </c>
      <c r="L31" s="93" t="s">
        <v>305</v>
      </c>
      <c r="M31" s="373" t="s">
        <v>314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93"/>
      <c r="U31" s="93"/>
      <c r="V31" s="452"/>
    </row>
    <row r="32" spans="1:22" s="513" customFormat="1" ht="20.100000000000001" customHeight="1" x14ac:dyDescent="0.25">
      <c r="A32" s="361">
        <v>28</v>
      </c>
      <c r="B32" s="342"/>
      <c r="C32" s="350"/>
      <c r="D32" s="340"/>
      <c r="E32" s="327" t="str">
        <f t="shared" si="2"/>
        <v/>
      </c>
      <c r="F32" s="346"/>
      <c r="G32" s="340"/>
      <c r="H32" s="348"/>
      <c r="I32" s="345"/>
      <c r="J32" s="368" t="str">
        <f t="shared" ca="1" si="3"/>
        <v/>
      </c>
      <c r="K32" s="371" t="str">
        <f t="shared" ca="1" si="4"/>
        <v/>
      </c>
      <c r="L32" s="93" t="s">
        <v>305</v>
      </c>
      <c r="M32" s="373" t="s">
        <v>314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93"/>
      <c r="U32" s="93"/>
      <c r="V32" s="452"/>
    </row>
    <row r="33" spans="1:22" s="513" customFormat="1" ht="20.100000000000001" customHeight="1" x14ac:dyDescent="0.25">
      <c r="A33" s="361">
        <v>29</v>
      </c>
      <c r="B33" s="342"/>
      <c r="C33" s="350"/>
      <c r="D33" s="340"/>
      <c r="E33" s="328" t="str">
        <f t="shared" si="2"/>
        <v/>
      </c>
      <c r="F33" s="346"/>
      <c r="G33" s="340"/>
      <c r="H33" s="348"/>
      <c r="I33" s="345"/>
      <c r="J33" s="368" t="str">
        <f t="shared" ca="1" si="3"/>
        <v/>
      </c>
      <c r="K33" s="370" t="str">
        <f t="shared" ca="1" si="4"/>
        <v/>
      </c>
      <c r="L33" s="93" t="s">
        <v>305</v>
      </c>
      <c r="M33" s="373" t="s">
        <v>314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93"/>
      <c r="U33" s="93"/>
      <c r="V33" s="452"/>
    </row>
    <row r="34" spans="1:22" s="513" customFormat="1" ht="20.100000000000001" customHeight="1" x14ac:dyDescent="0.25">
      <c r="A34" s="361">
        <v>30</v>
      </c>
      <c r="B34" s="342"/>
      <c r="C34" s="350"/>
      <c r="D34" s="340"/>
      <c r="E34" s="327" t="str">
        <f t="shared" si="2"/>
        <v/>
      </c>
      <c r="F34" s="346"/>
      <c r="G34" s="340"/>
      <c r="H34" s="348"/>
      <c r="I34" s="345"/>
      <c r="J34" s="368" t="str">
        <f t="shared" ca="1" si="3"/>
        <v/>
      </c>
      <c r="K34" s="371" t="str">
        <f t="shared" ca="1" si="4"/>
        <v/>
      </c>
      <c r="L34" s="93" t="s">
        <v>305</v>
      </c>
      <c r="M34" s="373" t="s">
        <v>314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452"/>
      <c r="U34" s="452"/>
      <c r="V34" s="452"/>
    </row>
    <row r="35" spans="1:22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22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22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22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22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22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22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22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</sheetData>
  <sheetProtection formatCells="0" selectLockedCells="1"/>
  <autoFilter ref="A6:K6">
    <sortState ref="A7:M61">
      <sortCondition ref="C6"/>
    </sortState>
  </autoFilter>
  <sortState ref="A7:V36">
    <sortCondition ref="C7:C36"/>
  </sortState>
  <mergeCells count="6">
    <mergeCell ref="C1:H1"/>
    <mergeCell ref="C2:H2"/>
    <mergeCell ref="C3:H3"/>
    <mergeCell ref="C4:H4"/>
    <mergeCell ref="A5:C5"/>
    <mergeCell ref="D5:E5"/>
  </mergeCells>
  <conditionalFormatting sqref="F26:I26 B26:D26 E34 E7 A7:A34 J7:J34">
    <cfRule type="expression" dxfId="2650" priority="476">
      <formula>$E7="MC"</formula>
    </cfRule>
  </conditionalFormatting>
  <conditionalFormatting sqref="B9:D9 F9:I9">
    <cfRule type="expression" dxfId="2649" priority="493">
      <formula>$E9="MC"</formula>
    </cfRule>
  </conditionalFormatting>
  <conditionalFormatting sqref="B10:D10 F10:I10">
    <cfRule type="expression" dxfId="2648" priority="492">
      <formula>$E10="MC"</formula>
    </cfRule>
  </conditionalFormatting>
  <conditionalFormatting sqref="B11:C11 F11:I11">
    <cfRule type="expression" dxfId="2647" priority="491">
      <formula>$E11="MC"</formula>
    </cfRule>
  </conditionalFormatting>
  <conditionalFormatting sqref="B12:C12 F12:H12">
    <cfRule type="expression" dxfId="2646" priority="490">
      <formula>$E12="MC"</formula>
    </cfRule>
  </conditionalFormatting>
  <conditionalFormatting sqref="B13:C13 F13:H13">
    <cfRule type="expression" dxfId="2645" priority="489">
      <formula>$E13="MC"</formula>
    </cfRule>
  </conditionalFormatting>
  <conditionalFormatting sqref="B14:D14 F14:I14">
    <cfRule type="expression" dxfId="2644" priority="488">
      <formula>$E14="MC"</formula>
    </cfRule>
  </conditionalFormatting>
  <conditionalFormatting sqref="B15:D15 F15:I15">
    <cfRule type="expression" dxfId="2643" priority="487">
      <formula>$E15="MC"</formula>
    </cfRule>
  </conditionalFormatting>
  <conditionalFormatting sqref="B16:D16 F16:I16">
    <cfRule type="expression" dxfId="2642" priority="486">
      <formula>$E16="MC"</formula>
    </cfRule>
  </conditionalFormatting>
  <conditionalFormatting sqref="B17:D17 F17:I17">
    <cfRule type="expression" dxfId="2641" priority="485">
      <formula>$E17="MC"</formula>
    </cfRule>
  </conditionalFormatting>
  <conditionalFormatting sqref="B18:D18 F18:I18">
    <cfRule type="expression" dxfId="2640" priority="484">
      <formula>$E18="MC"</formula>
    </cfRule>
  </conditionalFormatting>
  <conditionalFormatting sqref="B19:D19 F19:I19">
    <cfRule type="expression" dxfId="2639" priority="483">
      <formula>$E19="MC"</formula>
    </cfRule>
  </conditionalFormatting>
  <conditionalFormatting sqref="B20:D20 F20:I20">
    <cfRule type="expression" dxfId="2638" priority="482">
      <formula>$E20="MC"</formula>
    </cfRule>
  </conditionalFormatting>
  <conditionalFormatting sqref="B21:D21 F21:I21">
    <cfRule type="expression" dxfId="2637" priority="481">
      <formula>$E21="MC"</formula>
    </cfRule>
  </conditionalFormatting>
  <conditionalFormatting sqref="B22:D22 F22:I22">
    <cfRule type="expression" dxfId="2636" priority="480">
      <formula>$E22="MC"</formula>
    </cfRule>
  </conditionalFormatting>
  <conditionalFormatting sqref="B23:D23 F23:I23">
    <cfRule type="expression" dxfId="2635" priority="479">
      <formula>$E23="MC"</formula>
    </cfRule>
  </conditionalFormatting>
  <conditionalFormatting sqref="B24:D24 F24:I24">
    <cfRule type="expression" dxfId="2634" priority="478">
      <formula>$E24="MC"</formula>
    </cfRule>
  </conditionalFormatting>
  <conditionalFormatting sqref="B25:D25 F25:I25">
    <cfRule type="expression" dxfId="2633" priority="477">
      <formula>$E25="MC"</formula>
    </cfRule>
  </conditionalFormatting>
  <conditionalFormatting sqref="B27:D27 F27:I27">
    <cfRule type="expression" dxfId="2632" priority="475">
      <formula>$E27="MC"</formula>
    </cfRule>
  </conditionalFormatting>
  <conditionalFormatting sqref="B28:D28 F28:I28">
    <cfRule type="expression" dxfId="2631" priority="474">
      <formula>$E28="MC"</formula>
    </cfRule>
  </conditionalFormatting>
  <conditionalFormatting sqref="B29:D29 F29:I29">
    <cfRule type="expression" dxfId="2630" priority="473">
      <formula>$E29="MC"</formula>
    </cfRule>
  </conditionalFormatting>
  <conditionalFormatting sqref="B30:D30 F30:I30">
    <cfRule type="expression" dxfId="2629" priority="472">
      <formula>$E30="MC"</formula>
    </cfRule>
  </conditionalFormatting>
  <conditionalFormatting sqref="B31:D31 F31:I31">
    <cfRule type="expression" dxfId="2628" priority="471">
      <formula>$E31="MC"</formula>
    </cfRule>
  </conditionalFormatting>
  <conditionalFormatting sqref="B32:D32 F32:I32">
    <cfRule type="expression" dxfId="2627" priority="470">
      <formula>$E32="MC"</formula>
    </cfRule>
  </conditionalFormatting>
  <conditionalFormatting sqref="B33:D33 F33:I33">
    <cfRule type="expression" dxfId="2626" priority="469">
      <formula>$E33="MC"</formula>
    </cfRule>
  </conditionalFormatting>
  <conditionalFormatting sqref="B34:D34 F34:I34">
    <cfRule type="expression" dxfId="2625" priority="468">
      <formula>$E34="MC"</formula>
    </cfRule>
  </conditionalFormatting>
  <conditionalFormatting sqref="B9:D9 F9:I9">
    <cfRule type="expression" dxfId="2624" priority="378">
      <formula>$E9="MC"</formula>
    </cfRule>
  </conditionalFormatting>
  <conditionalFormatting sqref="B9:D9 F9:I9">
    <cfRule type="expression" dxfId="2623" priority="404">
      <formula>$E9="MC"</formula>
    </cfRule>
  </conditionalFormatting>
  <conditionalFormatting sqref="B10:D10 F10:I10">
    <cfRule type="expression" dxfId="2622" priority="403">
      <formula>$E10="MC"</formula>
    </cfRule>
  </conditionalFormatting>
  <conditionalFormatting sqref="B9:D9 F9:I9">
    <cfRule type="expression" dxfId="2621" priority="396">
      <formula>$E9="MC"</formula>
    </cfRule>
  </conditionalFormatting>
  <conditionalFormatting sqref="B10:D10 F10:I10">
    <cfRule type="expression" dxfId="2620" priority="395">
      <formula>$E10="MC"</formula>
    </cfRule>
  </conditionalFormatting>
  <conditionalFormatting sqref="M7:M34">
    <cfRule type="cellIs" dxfId="2619" priority="371" operator="equal">
      <formula>3</formula>
    </cfRule>
    <cfRule type="cellIs" dxfId="2618" priority="372" operator="equal">
      <formula>2</formula>
    </cfRule>
    <cfRule type="cellIs" dxfId="2617" priority="373" operator="equal">
      <formula>1</formula>
    </cfRule>
  </conditionalFormatting>
  <conditionalFormatting sqref="B9:D9 F9:I9">
    <cfRule type="expression" dxfId="2616" priority="306">
      <formula>$E9="MC"</formula>
    </cfRule>
  </conditionalFormatting>
  <conditionalFormatting sqref="B10:D10 F10:I10">
    <cfRule type="expression" dxfId="2615" priority="305">
      <formula>$E10="MC"</formula>
    </cfRule>
  </conditionalFormatting>
  <conditionalFormatting sqref="B11:C11 F11:I11">
    <cfRule type="expression" dxfId="2614" priority="304">
      <formula>$E11="MC"</formula>
    </cfRule>
  </conditionalFormatting>
  <conditionalFormatting sqref="B9:D9 F9:I9">
    <cfRule type="expression" dxfId="2613" priority="269">
      <formula>$E9="MC"</formula>
    </cfRule>
  </conditionalFormatting>
  <conditionalFormatting sqref="B9:D9 F9:I9">
    <cfRule type="expression" dxfId="2612" priority="261">
      <formula>$E9="MC"</formula>
    </cfRule>
  </conditionalFormatting>
  <conditionalFormatting sqref="D11">
    <cfRule type="expression" dxfId="2611" priority="197">
      <formula>$E11="MC"</formula>
    </cfRule>
  </conditionalFormatting>
  <conditionalFormatting sqref="D11">
    <cfRule type="expression" dxfId="2610" priority="194">
      <formula>$E11="MC"</formula>
    </cfRule>
  </conditionalFormatting>
  <conditionalFormatting sqref="D11">
    <cfRule type="expression" dxfId="2609" priority="196">
      <formula>$E11="MC"</formula>
    </cfRule>
  </conditionalFormatting>
  <conditionalFormatting sqref="D11">
    <cfRule type="expression" dxfId="2608" priority="195">
      <formula>$E11="MC"</formula>
    </cfRule>
  </conditionalFormatting>
  <conditionalFormatting sqref="D11">
    <cfRule type="expression" dxfId="2607" priority="193">
      <formula>$E11="MC"</formula>
    </cfRule>
  </conditionalFormatting>
  <conditionalFormatting sqref="D11">
    <cfRule type="expression" dxfId="2606" priority="192">
      <formula>$E11="MC"</formula>
    </cfRule>
  </conditionalFormatting>
  <conditionalFormatting sqref="D11">
    <cfRule type="expression" dxfId="2605" priority="191">
      <formula>$E11="MC"</formula>
    </cfRule>
  </conditionalFormatting>
  <conditionalFormatting sqref="I12">
    <cfRule type="expression" dxfId="2604" priority="190">
      <formula>$E12="MC"</formula>
    </cfRule>
  </conditionalFormatting>
  <conditionalFormatting sqref="I12">
    <cfRule type="expression" dxfId="2603" priority="189">
      <formula>$E12="MC"</formula>
    </cfRule>
  </conditionalFormatting>
  <conditionalFormatting sqref="D12">
    <cfRule type="expression" dxfId="2602" priority="188">
      <formula>$E12="MC"</formula>
    </cfRule>
  </conditionalFormatting>
  <conditionalFormatting sqref="D12">
    <cfRule type="expression" dxfId="2601" priority="185">
      <formula>$E12="MC"</formula>
    </cfRule>
  </conditionalFormatting>
  <conditionalFormatting sqref="D12">
    <cfRule type="expression" dxfId="2600" priority="187">
      <formula>$E12="MC"</formula>
    </cfRule>
  </conditionalFormatting>
  <conditionalFormatting sqref="D12">
    <cfRule type="expression" dxfId="2599" priority="186">
      <formula>$E12="MC"</formula>
    </cfRule>
  </conditionalFormatting>
  <conditionalFormatting sqref="D12">
    <cfRule type="expression" dxfId="2598" priority="184">
      <formula>$E12="MC"</formula>
    </cfRule>
  </conditionalFormatting>
  <conditionalFormatting sqref="D12">
    <cfRule type="expression" dxfId="2597" priority="183">
      <formula>$E12="MC"</formula>
    </cfRule>
  </conditionalFormatting>
  <conditionalFormatting sqref="D12">
    <cfRule type="expression" dxfId="2596" priority="182">
      <formula>$E12="MC"</formula>
    </cfRule>
  </conditionalFormatting>
  <conditionalFormatting sqref="I13">
    <cfRule type="expression" dxfId="2595" priority="181">
      <formula>$E13="MC"</formula>
    </cfRule>
  </conditionalFormatting>
  <conditionalFormatting sqref="I13">
    <cfRule type="expression" dxfId="2594" priority="180">
      <formula>$E13="MC"</formula>
    </cfRule>
  </conditionalFormatting>
  <conditionalFormatting sqref="D13">
    <cfRule type="expression" dxfId="2593" priority="179">
      <formula>$E13="MC"</formula>
    </cfRule>
  </conditionalFormatting>
  <conditionalFormatting sqref="D13">
    <cfRule type="expression" dxfId="2592" priority="178">
      <formula>$E13="MC"</formula>
    </cfRule>
  </conditionalFormatting>
  <conditionalFormatting sqref="D13">
    <cfRule type="expression" dxfId="2591" priority="177">
      <formula>$E13="MC"</formula>
    </cfRule>
  </conditionalFormatting>
  <conditionalFormatting sqref="D13">
    <cfRule type="expression" dxfId="2590" priority="176">
      <formula>$E13="MC"</formula>
    </cfRule>
  </conditionalFormatting>
  <conditionalFormatting sqref="K46:K1048576 K1:K34">
    <cfRule type="cellIs" dxfId="2589" priority="174" operator="lessThan">
      <formula>18</formula>
    </cfRule>
  </conditionalFormatting>
  <conditionalFormatting sqref="I6">
    <cfRule type="expression" dxfId="2588" priority="110">
      <formula>$E6="MC"</formula>
    </cfRule>
  </conditionalFormatting>
  <conditionalFormatting sqref="B7:D7">
    <cfRule type="expression" dxfId="2587" priority="77">
      <formula>$E7="MC"</formula>
    </cfRule>
  </conditionalFormatting>
  <conditionalFormatting sqref="F7:H7">
    <cfRule type="expression" dxfId="2586" priority="76">
      <formula>$E7="MC"</formula>
    </cfRule>
  </conditionalFormatting>
  <conditionalFormatting sqref="E9 E12 E15 E18 E21 E24 E27 E30 E33">
    <cfRule type="expression" dxfId="2585" priority="21">
      <formula>$E9="MC"</formula>
    </cfRule>
  </conditionalFormatting>
  <conditionalFormatting sqref="E8 E10:E11 E13:E14 E16:E17 E19:E20 E22:E23 E25:E26 E28:E29 E31:E32">
    <cfRule type="expression" dxfId="2584" priority="20">
      <formula>$E8="MC"</formula>
    </cfRule>
  </conditionalFormatting>
  <conditionalFormatting sqref="M6">
    <cfRule type="cellIs" dxfId="2583" priority="8" operator="equal">
      <formula>3</formula>
    </cfRule>
    <cfRule type="cellIs" dxfId="2582" priority="9" operator="equal">
      <formula>2</formula>
    </cfRule>
    <cfRule type="cellIs" dxfId="2581" priority="10" operator="equal">
      <formula>1</formula>
    </cfRule>
  </conditionalFormatting>
  <conditionalFormatting sqref="T6">
    <cfRule type="expression" dxfId="2580" priority="7">
      <formula>FIND("RETIDO",T6)</formula>
    </cfRule>
  </conditionalFormatting>
  <conditionalFormatting sqref="I7">
    <cfRule type="expression" dxfId="2579" priority="5">
      <formula>$E7="MC"</formula>
    </cfRule>
  </conditionalFormatting>
  <dataValidations count="2">
    <dataValidation type="date" allowBlank="1" showInputMessage="1" showErrorMessage="1" errorTitle="Data Invalida" error="Você deve inserir uma data no formato XX/XX/XXXX" promptTitle="Insira uma Data" prompt="Favor inserir uma data valida no formato: XX/XX/XXXX" sqref="F7:F16">
      <formula1>1</formula1>
      <formula2>2958465</formula2>
    </dataValidation>
    <dataValidation type="list" allowBlank="1" showInputMessage="1" showErrorMessage="1" sqref="T7:T23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7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V43"/>
  <sheetViews>
    <sheetView view="pageBreakPreview" zoomScale="70" zoomScaleNormal="100" zoomScaleSheetLayoutView="70" workbookViewId="0">
      <pane xSplit="3" ySplit="5" topLeftCell="D6" activePane="bottomRight" state="frozen"/>
      <selection sqref="A1:XFD1048576"/>
      <selection pane="topRight" sqref="A1:XFD1048576"/>
      <selection pane="bottomLeft" sqref="A1:XFD1048576"/>
      <selection pane="bottomRight" activeCell="C10" sqref="C10"/>
    </sheetView>
  </sheetViews>
  <sheetFormatPr defaultRowHeight="17.25" x14ac:dyDescent="0.3"/>
  <cols>
    <col min="1" max="1" width="3.7109375" style="273" customWidth="1"/>
    <col min="2" max="2" width="7.7109375" style="273" customWidth="1"/>
    <col min="3" max="3" width="40.7109375" style="514" customWidth="1"/>
    <col min="4" max="4" width="3.7109375" style="258" customWidth="1"/>
    <col min="5" max="5" width="4.7109375" style="258" customWidth="1"/>
    <col min="6" max="6" width="13.140625" style="274" customWidth="1"/>
    <col min="7" max="7" width="14.7109375" style="273" customWidth="1"/>
    <col min="8" max="8" width="12.7109375" style="275" customWidth="1"/>
    <col min="9" max="9" width="20.7109375" style="514" customWidth="1"/>
    <col min="10" max="10" width="12.7109375" style="255" customWidth="1"/>
    <col min="11" max="11" width="7.85546875" style="291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1" width="9.140625" style="258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68" t="s">
        <v>0</v>
      </c>
      <c r="D1" s="568"/>
      <c r="E1" s="568"/>
      <c r="F1" s="568"/>
      <c r="G1" s="568"/>
      <c r="H1" s="568"/>
      <c r="I1" s="255"/>
      <c r="J1" s="255"/>
      <c r="K1" s="254"/>
      <c r="L1" s="19"/>
    </row>
    <row r="2" spans="1:22" s="273" customFormat="1" x14ac:dyDescent="0.25">
      <c r="A2" s="254"/>
      <c r="B2" s="254"/>
      <c r="C2" s="568" t="s">
        <v>1</v>
      </c>
      <c r="D2" s="568"/>
      <c r="E2" s="568"/>
      <c r="F2" s="568"/>
      <c r="G2" s="568"/>
      <c r="H2" s="568"/>
      <c r="I2" s="505"/>
      <c r="J2" s="505"/>
      <c r="K2" s="505"/>
      <c r="L2" s="19"/>
    </row>
    <row r="3" spans="1:22" s="273" customFormat="1" x14ac:dyDescent="0.25">
      <c r="A3" s="254"/>
      <c r="B3" s="254"/>
      <c r="C3" s="568" t="s">
        <v>2</v>
      </c>
      <c r="D3" s="568"/>
      <c r="E3" s="568"/>
      <c r="F3" s="568"/>
      <c r="G3" s="568"/>
      <c r="H3" s="568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68" t="s">
        <v>362</v>
      </c>
      <c r="D4" s="568"/>
      <c r="E4" s="568"/>
      <c r="F4" s="568"/>
      <c r="G4" s="568"/>
      <c r="H4" s="568"/>
      <c r="I4" s="505"/>
      <c r="J4" s="505"/>
      <c r="K4" s="505"/>
      <c r="L4" s="19"/>
      <c r="M4" s="256"/>
    </row>
    <row r="5" spans="1:22" ht="18" thickBot="1" x14ac:dyDescent="0.35">
      <c r="A5" s="569" t="s">
        <v>19</v>
      </c>
      <c r="B5" s="570"/>
      <c r="C5" s="570"/>
      <c r="D5" s="571" t="s">
        <v>44</v>
      </c>
      <c r="E5" s="572"/>
      <c r="F5" s="330"/>
      <c r="G5" s="509" t="s">
        <v>35</v>
      </c>
      <c r="H5" s="510">
        <f ca="1">TODAY()</f>
        <v>45931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  <c r="S5" s="19"/>
    </row>
    <row r="6" spans="1:22" x14ac:dyDescent="0.3">
      <c r="A6" s="332" t="s">
        <v>7</v>
      </c>
      <c r="B6" s="333" t="s">
        <v>8</v>
      </c>
      <c r="C6" s="334" t="s">
        <v>9</v>
      </c>
      <c r="D6" s="335" t="s">
        <v>10</v>
      </c>
      <c r="E6" s="335" t="s">
        <v>11</v>
      </c>
      <c r="F6" s="336" t="s">
        <v>12</v>
      </c>
      <c r="G6" s="333" t="s">
        <v>13</v>
      </c>
      <c r="H6" s="337" t="s">
        <v>14</v>
      </c>
      <c r="I6" s="339" t="s">
        <v>57</v>
      </c>
      <c r="J6" s="337" t="s">
        <v>28</v>
      </c>
      <c r="K6" s="339" t="s">
        <v>36</v>
      </c>
      <c r="L6" s="455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361">
        <v>1</v>
      </c>
      <c r="B7" s="342">
        <v>13512</v>
      </c>
      <c r="C7" s="341" t="s">
        <v>127</v>
      </c>
      <c r="D7" s="343" t="s">
        <v>17</v>
      </c>
      <c r="E7" s="327" t="str">
        <f>IF(ISNUMBER(FIND("TE",I7)),"TE",IF(ISNUMBER(FIND("MCC",I7)),"MCC",IF(ISNUMBER(FIND("MC",I7)),"MC","MA")))</f>
        <v>MA</v>
      </c>
      <c r="F7" s="344">
        <v>31434</v>
      </c>
      <c r="G7" s="352" t="s">
        <v>119</v>
      </c>
      <c r="H7" s="341" t="s">
        <v>120</v>
      </c>
      <c r="I7" s="375"/>
      <c r="J7" s="368" t="str">
        <f t="shared" ref="J7:J9" ca="1" si="0">IF(K7="","",IF(K7&gt;29,"DISP.IDADE",""))</f>
        <v>DISP.IDADE</v>
      </c>
      <c r="K7" s="329">
        <f t="shared" ref="K7:K9" ca="1" si="1">IF(F7="","",INT((TODAY()-F7)/365.25))</f>
        <v>39</v>
      </c>
      <c r="L7" s="456" t="s">
        <v>305</v>
      </c>
      <c r="M7" s="373" t="s">
        <v>314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>
        <v>36810921642</v>
      </c>
    </row>
    <row r="8" spans="1:22" s="513" customFormat="1" ht="18.75" customHeight="1" x14ac:dyDescent="0.25">
      <c r="A8" s="361">
        <v>2</v>
      </c>
      <c r="B8" s="342">
        <v>18908</v>
      </c>
      <c r="C8" s="350" t="s">
        <v>446</v>
      </c>
      <c r="D8" s="340" t="s">
        <v>16</v>
      </c>
      <c r="E8" s="327" t="str">
        <f t="shared" ref="E8:E32" si="2">IF(COUNTIF(I8,"*MC*")=1,"MC",IF(COUNTIF(I8,"*NCOM*")=1,"NCOM",IF(C8="","","MA")))</f>
        <v>MA</v>
      </c>
      <c r="F8" s="346">
        <v>26448</v>
      </c>
      <c r="G8" s="340"/>
      <c r="H8" s="348"/>
      <c r="I8" s="345"/>
      <c r="J8" s="368" t="str">
        <f t="shared" ca="1" si="0"/>
        <v>DISP.IDADE</v>
      </c>
      <c r="K8" s="329">
        <f t="shared" ca="1" si="1"/>
        <v>53</v>
      </c>
      <c r="L8" s="456" t="s">
        <v>305</v>
      </c>
      <c r="M8" s="373" t="s">
        <v>314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452"/>
    </row>
    <row r="9" spans="1:22" s="513" customFormat="1" ht="20.100000000000001" customHeight="1" x14ac:dyDescent="0.25">
      <c r="A9" s="361">
        <v>3</v>
      </c>
      <c r="B9" s="342">
        <v>18911</v>
      </c>
      <c r="C9" s="341" t="s">
        <v>429</v>
      </c>
      <c r="D9" s="343" t="s">
        <v>16</v>
      </c>
      <c r="E9" s="327" t="str">
        <f t="shared" si="2"/>
        <v>MA</v>
      </c>
      <c r="F9" s="344">
        <v>16697</v>
      </c>
      <c r="G9" s="352" t="s">
        <v>430</v>
      </c>
      <c r="H9" s="352"/>
      <c r="I9" s="345"/>
      <c r="J9" s="368" t="str">
        <f t="shared" ca="1" si="0"/>
        <v>DISP.IDADE</v>
      </c>
      <c r="K9" s="329">
        <f t="shared" ca="1" si="1"/>
        <v>80</v>
      </c>
      <c r="L9" s="456" t="s">
        <v>305</v>
      </c>
      <c r="M9" s="373" t="s">
        <v>314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2"/>
    </row>
    <row r="10" spans="1:22" s="513" customFormat="1" ht="20.100000000000001" customHeight="1" x14ac:dyDescent="0.25">
      <c r="A10" s="361">
        <v>4</v>
      </c>
      <c r="B10" s="342">
        <v>18970</v>
      </c>
      <c r="C10" s="350" t="s">
        <v>560</v>
      </c>
      <c r="D10" s="340" t="s">
        <v>16</v>
      </c>
      <c r="E10" s="328" t="str">
        <f t="shared" si="2"/>
        <v>MA</v>
      </c>
      <c r="F10" s="346">
        <v>25393</v>
      </c>
      <c r="G10" s="340"/>
      <c r="H10" s="348" t="s">
        <v>561</v>
      </c>
      <c r="I10" s="345"/>
      <c r="J10" s="368" t="str">
        <f t="shared" ref="J10:J32" ca="1" si="3">IF(K10="","",IF(K10&gt;29,"DISP.IDADE",""))</f>
        <v>DISP.IDADE</v>
      </c>
      <c r="K10" s="329">
        <f t="shared" ref="K10:K32" ca="1" si="4">IF(F10="","",INT((TODAY()-F10)/365.25))</f>
        <v>56</v>
      </c>
      <c r="L10" s="456" t="s">
        <v>305</v>
      </c>
      <c r="M10" s="373" t="s">
        <v>314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2">
        <v>19765619812</v>
      </c>
    </row>
    <row r="11" spans="1:22" s="513" customFormat="1" ht="20.100000000000001" customHeight="1" x14ac:dyDescent="0.25">
      <c r="A11" s="361">
        <v>5</v>
      </c>
      <c r="B11" s="342"/>
      <c r="C11" s="350"/>
      <c r="D11" s="340"/>
      <c r="E11" s="327" t="str">
        <f t="shared" si="2"/>
        <v/>
      </c>
      <c r="F11" s="346"/>
      <c r="G11" s="340"/>
      <c r="H11" s="348"/>
      <c r="I11" s="345"/>
      <c r="J11" s="368" t="str">
        <f t="shared" ca="1" si="3"/>
        <v/>
      </c>
      <c r="K11" s="329" t="str">
        <f t="shared" ca="1" si="4"/>
        <v/>
      </c>
      <c r="L11" s="456" t="s">
        <v>305</v>
      </c>
      <c r="M11" s="373" t="s">
        <v>314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/>
      <c r="U11" s="517"/>
      <c r="V11" s="452"/>
    </row>
    <row r="12" spans="1:22" s="513" customFormat="1" ht="20.100000000000001" customHeight="1" x14ac:dyDescent="0.25">
      <c r="A12" s="361">
        <v>6</v>
      </c>
      <c r="B12" s="342"/>
      <c r="C12" s="350"/>
      <c r="D12" s="340"/>
      <c r="E12" s="327" t="str">
        <f t="shared" si="2"/>
        <v/>
      </c>
      <c r="F12" s="346"/>
      <c r="G12" s="340"/>
      <c r="H12" s="348"/>
      <c r="I12" s="345"/>
      <c r="J12" s="368" t="str">
        <f t="shared" ca="1" si="3"/>
        <v/>
      </c>
      <c r="K12" s="329" t="str">
        <f t="shared" ca="1" si="4"/>
        <v/>
      </c>
      <c r="L12" s="456" t="s">
        <v>305</v>
      </c>
      <c r="M12" s="373" t="s">
        <v>314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2"/>
    </row>
    <row r="13" spans="1:22" s="513" customFormat="1" ht="20.100000000000001" customHeight="1" x14ac:dyDescent="0.25">
      <c r="A13" s="361">
        <v>7</v>
      </c>
      <c r="B13" s="342"/>
      <c r="C13" s="350"/>
      <c r="D13" s="340"/>
      <c r="E13" s="328" t="str">
        <f t="shared" si="2"/>
        <v/>
      </c>
      <c r="F13" s="346"/>
      <c r="G13" s="340"/>
      <c r="H13" s="348"/>
      <c r="I13" s="345"/>
      <c r="J13" s="368" t="str">
        <f t="shared" ca="1" si="3"/>
        <v/>
      </c>
      <c r="K13" s="329" t="str">
        <f t="shared" ca="1" si="4"/>
        <v/>
      </c>
      <c r="L13" s="456" t="s">
        <v>305</v>
      </c>
      <c r="M13" s="373" t="s">
        <v>314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2"/>
    </row>
    <row r="14" spans="1:22" s="513" customFormat="1" ht="20.100000000000001" customHeight="1" x14ac:dyDescent="0.25">
      <c r="A14" s="361">
        <v>8</v>
      </c>
      <c r="B14" s="342"/>
      <c r="C14" s="350"/>
      <c r="D14" s="340"/>
      <c r="E14" s="327" t="str">
        <f t="shared" si="2"/>
        <v/>
      </c>
      <c r="F14" s="346"/>
      <c r="G14" s="340"/>
      <c r="H14" s="348"/>
      <c r="I14" s="345"/>
      <c r="J14" s="368" t="str">
        <f t="shared" ca="1" si="3"/>
        <v/>
      </c>
      <c r="K14" s="329" t="str">
        <f t="shared" ca="1" si="4"/>
        <v/>
      </c>
      <c r="L14" s="456" t="s">
        <v>305</v>
      </c>
      <c r="M14" s="373" t="s">
        <v>314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52"/>
    </row>
    <row r="15" spans="1:22" s="513" customFormat="1" ht="20.100000000000001" customHeight="1" x14ac:dyDescent="0.25">
      <c r="A15" s="361">
        <v>9</v>
      </c>
      <c r="B15" s="342"/>
      <c r="C15" s="350"/>
      <c r="D15" s="340"/>
      <c r="E15" s="327" t="str">
        <f t="shared" si="2"/>
        <v/>
      </c>
      <c r="F15" s="346"/>
      <c r="G15" s="340"/>
      <c r="H15" s="348"/>
      <c r="I15" s="345"/>
      <c r="J15" s="368" t="str">
        <f t="shared" ca="1" si="3"/>
        <v/>
      </c>
      <c r="K15" s="329" t="str">
        <f t="shared" ca="1" si="4"/>
        <v/>
      </c>
      <c r="L15" s="456" t="s">
        <v>305</v>
      </c>
      <c r="M15" s="373" t="s">
        <v>314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452"/>
    </row>
    <row r="16" spans="1:22" s="513" customFormat="1" ht="20.100000000000001" customHeight="1" x14ac:dyDescent="0.25">
      <c r="A16" s="361">
        <v>10</v>
      </c>
      <c r="B16" s="342"/>
      <c r="C16" s="350"/>
      <c r="D16" s="340"/>
      <c r="E16" s="328" t="str">
        <f t="shared" si="2"/>
        <v/>
      </c>
      <c r="F16" s="346"/>
      <c r="G16" s="340"/>
      <c r="H16" s="348"/>
      <c r="I16" s="345"/>
      <c r="J16" s="368" t="str">
        <f t="shared" ca="1" si="3"/>
        <v/>
      </c>
      <c r="K16" s="329" t="str">
        <f t="shared" ca="1" si="4"/>
        <v/>
      </c>
      <c r="L16" s="456" t="s">
        <v>305</v>
      </c>
      <c r="M16" s="373" t="s">
        <v>314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52"/>
    </row>
    <row r="17" spans="1:22" s="513" customFormat="1" ht="20.100000000000001" customHeight="1" x14ac:dyDescent="0.25">
      <c r="A17" s="361">
        <v>11</v>
      </c>
      <c r="B17" s="357"/>
      <c r="C17" s="359"/>
      <c r="D17" s="357"/>
      <c r="E17" s="327" t="str">
        <f t="shared" si="2"/>
        <v/>
      </c>
      <c r="F17" s="358"/>
      <c r="G17" s="357"/>
      <c r="H17" s="356"/>
      <c r="I17" s="359"/>
      <c r="J17" s="368" t="str">
        <f t="shared" ca="1" si="3"/>
        <v/>
      </c>
      <c r="K17" s="329" t="str">
        <f t="shared" ca="1" si="4"/>
        <v/>
      </c>
      <c r="L17" s="456" t="s">
        <v>305</v>
      </c>
      <c r="M17" s="373" t="s">
        <v>314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452"/>
    </row>
    <row r="18" spans="1:22" s="513" customFormat="1" ht="20.100000000000001" customHeight="1" x14ac:dyDescent="0.25">
      <c r="A18" s="361">
        <v>12</v>
      </c>
      <c r="B18" s="342"/>
      <c r="C18" s="350"/>
      <c r="D18" s="340"/>
      <c r="E18" s="327" t="str">
        <f t="shared" si="2"/>
        <v/>
      </c>
      <c r="F18" s="346"/>
      <c r="G18" s="340"/>
      <c r="H18" s="348"/>
      <c r="I18" s="345"/>
      <c r="J18" s="368" t="str">
        <f t="shared" ca="1" si="3"/>
        <v/>
      </c>
      <c r="K18" s="329" t="str">
        <f t="shared" ca="1" si="4"/>
        <v/>
      </c>
      <c r="L18" s="456" t="s">
        <v>305</v>
      </c>
      <c r="M18" s="373" t="s">
        <v>314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/>
    </row>
    <row r="19" spans="1:22" s="513" customFormat="1" ht="20.100000000000001" customHeight="1" x14ac:dyDescent="0.25">
      <c r="A19" s="361">
        <v>13</v>
      </c>
      <c r="B19" s="342"/>
      <c r="C19" s="350"/>
      <c r="D19" s="340"/>
      <c r="E19" s="328" t="str">
        <f t="shared" si="2"/>
        <v/>
      </c>
      <c r="F19" s="346"/>
      <c r="G19" s="340"/>
      <c r="H19" s="348"/>
      <c r="I19" s="345"/>
      <c r="J19" s="368" t="str">
        <f t="shared" ca="1" si="3"/>
        <v/>
      </c>
      <c r="K19" s="329" t="str">
        <f t="shared" ca="1" si="4"/>
        <v/>
      </c>
      <c r="L19" s="456" t="s">
        <v>305</v>
      </c>
      <c r="M19" s="373" t="s">
        <v>314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/>
    </row>
    <row r="20" spans="1:22" s="513" customFormat="1" ht="20.100000000000001" customHeight="1" x14ac:dyDescent="0.25">
      <c r="A20" s="361">
        <v>14</v>
      </c>
      <c r="B20" s="342"/>
      <c r="C20" s="350"/>
      <c r="D20" s="340"/>
      <c r="E20" s="327" t="str">
        <f t="shared" si="2"/>
        <v/>
      </c>
      <c r="F20" s="346"/>
      <c r="G20" s="340"/>
      <c r="H20" s="348"/>
      <c r="I20" s="345"/>
      <c r="J20" s="368" t="str">
        <f t="shared" ca="1" si="3"/>
        <v/>
      </c>
      <c r="K20" s="329" t="str">
        <f t="shared" ca="1" si="4"/>
        <v/>
      </c>
      <c r="L20" s="456" t="s">
        <v>305</v>
      </c>
      <c r="M20" s="373" t="s">
        <v>314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6"/>
      <c r="U20" s="517"/>
      <c r="V20" s="452"/>
    </row>
    <row r="21" spans="1:22" s="513" customFormat="1" ht="20.100000000000001" customHeight="1" x14ac:dyDescent="0.25">
      <c r="A21" s="361">
        <v>15</v>
      </c>
      <c r="B21" s="342"/>
      <c r="C21" s="350"/>
      <c r="D21" s="340"/>
      <c r="E21" s="327" t="str">
        <f t="shared" si="2"/>
        <v/>
      </c>
      <c r="F21" s="346"/>
      <c r="G21" s="340"/>
      <c r="H21" s="348"/>
      <c r="I21" s="345"/>
      <c r="J21" s="368" t="str">
        <f t="shared" ca="1" si="3"/>
        <v/>
      </c>
      <c r="K21" s="329" t="str">
        <f t="shared" ca="1" si="4"/>
        <v/>
      </c>
      <c r="L21" s="456" t="s">
        <v>305</v>
      </c>
      <c r="M21" s="373" t="s">
        <v>314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516"/>
      <c r="U21" s="517"/>
      <c r="V21" s="452"/>
    </row>
    <row r="22" spans="1:22" s="513" customFormat="1" ht="20.100000000000001" customHeight="1" x14ac:dyDescent="0.25">
      <c r="A22" s="361">
        <v>16</v>
      </c>
      <c r="B22" s="342"/>
      <c r="C22" s="350"/>
      <c r="D22" s="340"/>
      <c r="E22" s="328" t="str">
        <f t="shared" si="2"/>
        <v/>
      </c>
      <c r="F22" s="346"/>
      <c r="G22" s="340"/>
      <c r="H22" s="348"/>
      <c r="I22" s="345"/>
      <c r="J22" s="368" t="str">
        <f t="shared" ca="1" si="3"/>
        <v/>
      </c>
      <c r="K22" s="329" t="str">
        <f t="shared" ca="1" si="4"/>
        <v/>
      </c>
      <c r="L22" s="456" t="s">
        <v>305</v>
      </c>
      <c r="M22" s="373" t="s">
        <v>314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93"/>
      <c r="U22" s="93"/>
      <c r="V22" s="452"/>
    </row>
    <row r="23" spans="1:22" s="513" customFormat="1" ht="20.100000000000001" customHeight="1" x14ac:dyDescent="0.25">
      <c r="A23" s="361">
        <v>17</v>
      </c>
      <c r="B23" s="342"/>
      <c r="C23" s="350"/>
      <c r="D23" s="340"/>
      <c r="E23" s="327" t="str">
        <f t="shared" si="2"/>
        <v/>
      </c>
      <c r="F23" s="346"/>
      <c r="G23" s="340"/>
      <c r="H23" s="348"/>
      <c r="I23" s="345"/>
      <c r="J23" s="368" t="str">
        <f t="shared" ca="1" si="3"/>
        <v/>
      </c>
      <c r="K23" s="329" t="str">
        <f t="shared" ca="1" si="4"/>
        <v/>
      </c>
      <c r="L23" s="456" t="s">
        <v>305</v>
      </c>
      <c r="M23" s="373" t="s">
        <v>314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93"/>
      <c r="U23" s="93"/>
      <c r="V23" s="452"/>
    </row>
    <row r="24" spans="1:22" s="513" customFormat="1" ht="20.100000000000001" customHeight="1" x14ac:dyDescent="0.25">
      <c r="A24" s="361">
        <v>18</v>
      </c>
      <c r="B24" s="342"/>
      <c r="C24" s="350"/>
      <c r="D24" s="340"/>
      <c r="E24" s="327" t="str">
        <f t="shared" si="2"/>
        <v/>
      </c>
      <c r="F24" s="346"/>
      <c r="G24" s="340"/>
      <c r="H24" s="348"/>
      <c r="I24" s="345"/>
      <c r="J24" s="368" t="str">
        <f t="shared" ca="1" si="3"/>
        <v/>
      </c>
      <c r="K24" s="329" t="str">
        <f t="shared" ca="1" si="4"/>
        <v/>
      </c>
      <c r="L24" s="456" t="s">
        <v>305</v>
      </c>
      <c r="M24" s="373" t="s">
        <v>314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93"/>
      <c r="U24" s="93"/>
      <c r="V24" s="452"/>
    </row>
    <row r="25" spans="1:22" s="513" customFormat="1" ht="20.100000000000001" customHeight="1" x14ac:dyDescent="0.25">
      <c r="A25" s="361">
        <v>19</v>
      </c>
      <c r="B25" s="342"/>
      <c r="C25" s="350"/>
      <c r="D25" s="340"/>
      <c r="E25" s="328" t="str">
        <f t="shared" si="2"/>
        <v/>
      </c>
      <c r="F25" s="346"/>
      <c r="G25" s="340"/>
      <c r="H25" s="348"/>
      <c r="I25" s="345"/>
      <c r="J25" s="368" t="str">
        <f t="shared" ca="1" si="3"/>
        <v/>
      </c>
      <c r="K25" s="329" t="str">
        <f t="shared" ca="1" si="4"/>
        <v/>
      </c>
      <c r="L25" s="456" t="s">
        <v>305</v>
      </c>
      <c r="M25" s="373" t="s">
        <v>314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452"/>
      <c r="U25" s="452"/>
      <c r="V25" s="452"/>
    </row>
    <row r="26" spans="1:22" s="513" customFormat="1" ht="20.100000000000001" customHeight="1" x14ac:dyDescent="0.25">
      <c r="A26" s="361">
        <v>20</v>
      </c>
      <c r="B26" s="342"/>
      <c r="C26" s="350"/>
      <c r="D26" s="340"/>
      <c r="E26" s="327" t="str">
        <f t="shared" si="2"/>
        <v/>
      </c>
      <c r="F26" s="346"/>
      <c r="G26" s="340"/>
      <c r="H26" s="348"/>
      <c r="I26" s="345"/>
      <c r="J26" s="368" t="str">
        <f t="shared" ca="1" si="3"/>
        <v/>
      </c>
      <c r="K26" s="329" t="str">
        <f t="shared" ca="1" si="4"/>
        <v/>
      </c>
      <c r="L26" s="456" t="s">
        <v>305</v>
      </c>
      <c r="M26" s="373" t="s">
        <v>314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452"/>
      <c r="U26" s="452"/>
      <c r="V26" s="452"/>
    </row>
    <row r="27" spans="1:22" s="513" customFormat="1" ht="20.100000000000001" customHeight="1" x14ac:dyDescent="0.25">
      <c r="A27" s="361">
        <v>21</v>
      </c>
      <c r="B27" s="342"/>
      <c r="C27" s="350"/>
      <c r="D27" s="340"/>
      <c r="E27" s="327" t="str">
        <f t="shared" si="2"/>
        <v/>
      </c>
      <c r="F27" s="346"/>
      <c r="G27" s="340"/>
      <c r="H27" s="348"/>
      <c r="I27" s="345"/>
      <c r="J27" s="368" t="str">
        <f t="shared" ca="1" si="3"/>
        <v/>
      </c>
      <c r="K27" s="329" t="str">
        <f t="shared" ca="1" si="4"/>
        <v/>
      </c>
      <c r="L27" s="456" t="s">
        <v>305</v>
      </c>
      <c r="M27" s="373" t="s">
        <v>314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452"/>
      <c r="U27" s="452"/>
      <c r="V27" s="452"/>
    </row>
    <row r="28" spans="1:22" s="513" customFormat="1" ht="20.100000000000001" customHeight="1" x14ac:dyDescent="0.25">
      <c r="A28" s="361">
        <v>22</v>
      </c>
      <c r="B28" s="342"/>
      <c r="C28" s="350"/>
      <c r="D28" s="340"/>
      <c r="E28" s="328" t="str">
        <f t="shared" si="2"/>
        <v/>
      </c>
      <c r="F28" s="346"/>
      <c r="G28" s="340"/>
      <c r="H28" s="348"/>
      <c r="I28" s="345"/>
      <c r="J28" s="368" t="str">
        <f t="shared" ca="1" si="3"/>
        <v/>
      </c>
      <c r="K28" s="329" t="str">
        <f t="shared" ca="1" si="4"/>
        <v/>
      </c>
      <c r="L28" s="456" t="s">
        <v>305</v>
      </c>
      <c r="M28" s="373" t="s">
        <v>314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452"/>
      <c r="U28" s="452"/>
      <c r="V28" s="452"/>
    </row>
    <row r="29" spans="1:22" s="513" customFormat="1" ht="20.100000000000001" customHeight="1" x14ac:dyDescent="0.25">
      <c r="A29" s="361">
        <v>23</v>
      </c>
      <c r="B29" s="342"/>
      <c r="C29" s="350"/>
      <c r="D29" s="340"/>
      <c r="E29" s="327" t="str">
        <f t="shared" si="2"/>
        <v/>
      </c>
      <c r="F29" s="346"/>
      <c r="G29" s="340"/>
      <c r="H29" s="348"/>
      <c r="I29" s="345"/>
      <c r="J29" s="368" t="str">
        <f t="shared" ca="1" si="3"/>
        <v/>
      </c>
      <c r="K29" s="329" t="str">
        <f t="shared" ca="1" si="4"/>
        <v/>
      </c>
      <c r="L29" s="456" t="s">
        <v>305</v>
      </c>
      <c r="M29" s="373" t="s">
        <v>314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452"/>
      <c r="U29" s="452"/>
      <c r="V29" s="452"/>
    </row>
    <row r="30" spans="1:22" s="513" customFormat="1" ht="20.100000000000001" customHeight="1" x14ac:dyDescent="0.25">
      <c r="A30" s="361">
        <v>24</v>
      </c>
      <c r="B30" s="342"/>
      <c r="C30" s="350"/>
      <c r="D30" s="340"/>
      <c r="E30" s="327" t="str">
        <f t="shared" si="2"/>
        <v/>
      </c>
      <c r="F30" s="346"/>
      <c r="G30" s="340"/>
      <c r="H30" s="348"/>
      <c r="I30" s="345"/>
      <c r="J30" s="368" t="str">
        <f t="shared" ca="1" si="3"/>
        <v/>
      </c>
      <c r="K30" s="329" t="str">
        <f t="shared" ca="1" si="4"/>
        <v/>
      </c>
      <c r="L30" s="456" t="s">
        <v>305</v>
      </c>
      <c r="M30" s="373" t="s">
        <v>314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452"/>
      <c r="U30" s="452"/>
      <c r="V30" s="452"/>
    </row>
    <row r="31" spans="1:22" s="513" customFormat="1" ht="20.100000000000001" customHeight="1" x14ac:dyDescent="0.25">
      <c r="A31" s="361">
        <v>25</v>
      </c>
      <c r="B31" s="342"/>
      <c r="C31" s="350"/>
      <c r="D31" s="340"/>
      <c r="E31" s="328" t="str">
        <f t="shared" si="2"/>
        <v/>
      </c>
      <c r="F31" s="346"/>
      <c r="G31" s="340"/>
      <c r="H31" s="348"/>
      <c r="I31" s="345"/>
      <c r="J31" s="368" t="str">
        <f t="shared" ca="1" si="3"/>
        <v/>
      </c>
      <c r="K31" s="329" t="str">
        <f t="shared" ca="1" si="4"/>
        <v/>
      </c>
      <c r="L31" s="456" t="s">
        <v>305</v>
      </c>
      <c r="M31" s="373" t="s">
        <v>314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452"/>
      <c r="U31" s="452"/>
      <c r="V31" s="452"/>
    </row>
    <row r="32" spans="1:22" s="513" customFormat="1" ht="20.100000000000001" customHeight="1" x14ac:dyDescent="0.25">
      <c r="A32" s="361">
        <v>26</v>
      </c>
      <c r="B32" s="342"/>
      <c r="C32" s="350"/>
      <c r="D32" s="340"/>
      <c r="E32" s="327" t="str">
        <f t="shared" si="2"/>
        <v/>
      </c>
      <c r="F32" s="346"/>
      <c r="G32" s="340"/>
      <c r="H32" s="348"/>
      <c r="I32" s="345"/>
      <c r="J32" s="368" t="str">
        <f t="shared" ca="1" si="3"/>
        <v/>
      </c>
      <c r="K32" s="329" t="str">
        <f t="shared" ca="1" si="4"/>
        <v/>
      </c>
      <c r="L32" s="456" t="s">
        <v>305</v>
      </c>
      <c r="M32" s="373" t="s">
        <v>314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452"/>
      <c r="U32" s="452"/>
      <c r="V32" s="452"/>
    </row>
    <row r="33" spans="1:11" x14ac:dyDescent="0.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1:11" x14ac:dyDescent="0.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1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1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11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11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11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11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11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11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11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</sheetData>
  <sheetProtection formatCells="0" selectLockedCells="1"/>
  <autoFilter ref="A6:K6">
    <sortState ref="A7:M61">
      <sortCondition ref="C6"/>
    </sortState>
  </autoFilter>
  <sortState ref="A7:V33">
    <sortCondition ref="C7:C33"/>
  </sortState>
  <mergeCells count="6">
    <mergeCell ref="C1:H1"/>
    <mergeCell ref="C2:H2"/>
    <mergeCell ref="C3:H3"/>
    <mergeCell ref="C4:H4"/>
    <mergeCell ref="A5:C5"/>
    <mergeCell ref="D5:E5"/>
  </mergeCells>
  <conditionalFormatting sqref="E32 E7 A7:A32 J7:J32">
    <cfRule type="expression" dxfId="2578" priority="770">
      <formula>$E7="MC"</formula>
    </cfRule>
  </conditionalFormatting>
  <conditionalFormatting sqref="B10:D10 F10:I10">
    <cfRule type="expression" dxfId="2577" priority="767">
      <formula>$E10="MC"</formula>
    </cfRule>
  </conditionalFormatting>
  <conditionalFormatting sqref="B11:D11 F11:I11">
    <cfRule type="expression" dxfId="2576" priority="766">
      <formula>$E11="MC"</formula>
    </cfRule>
  </conditionalFormatting>
  <conditionalFormatting sqref="B12:D12 F12:I12">
    <cfRule type="expression" dxfId="2575" priority="765">
      <formula>$E12="MC"</formula>
    </cfRule>
  </conditionalFormatting>
  <conditionalFormatting sqref="B13:D13 F13:I13">
    <cfRule type="expression" dxfId="2574" priority="764">
      <formula>$E13="MC"</formula>
    </cfRule>
  </conditionalFormatting>
  <conditionalFormatting sqref="B14:D14 F14:I14">
    <cfRule type="expression" dxfId="2573" priority="763">
      <formula>$E14="MC"</formula>
    </cfRule>
  </conditionalFormatting>
  <conditionalFormatting sqref="B15:D15 F15:I15">
    <cfRule type="expression" dxfId="2572" priority="762">
      <formula>$E15="MC"</formula>
    </cfRule>
  </conditionalFormatting>
  <conditionalFormatting sqref="B16:D16 F16:I16">
    <cfRule type="expression" dxfId="2571" priority="761">
      <formula>$E16="MC"</formula>
    </cfRule>
  </conditionalFormatting>
  <conditionalFormatting sqref="B17:D17 F17:I17">
    <cfRule type="expression" dxfId="2570" priority="760">
      <formula>$E17="MC"</formula>
    </cfRule>
  </conditionalFormatting>
  <conditionalFormatting sqref="B18:D18 F18:I18">
    <cfRule type="expression" dxfId="2569" priority="759">
      <formula>$E18="MC"</formula>
    </cfRule>
  </conditionalFormatting>
  <conditionalFormatting sqref="B19:D19 F19:I19">
    <cfRule type="expression" dxfId="2568" priority="758">
      <formula>$E19="MC"</formula>
    </cfRule>
  </conditionalFormatting>
  <conditionalFormatting sqref="B20:D20 F20:I20">
    <cfRule type="expression" dxfId="2567" priority="757">
      <formula>$E20="MC"</formula>
    </cfRule>
  </conditionalFormatting>
  <conditionalFormatting sqref="B21:D21 F21:I21">
    <cfRule type="expression" dxfId="2566" priority="756">
      <formula>$E21="MC"</formula>
    </cfRule>
  </conditionalFormatting>
  <conditionalFormatting sqref="B22:D22 F22:I22">
    <cfRule type="expression" dxfId="2565" priority="755">
      <formula>$E22="MC"</formula>
    </cfRule>
  </conditionalFormatting>
  <conditionalFormatting sqref="B23:D23 F23:I23">
    <cfRule type="expression" dxfId="2564" priority="754">
      <formula>$E23="MC"</formula>
    </cfRule>
  </conditionalFormatting>
  <conditionalFormatting sqref="B24:D24 F24:I24">
    <cfRule type="expression" dxfId="2563" priority="753">
      <formula>$E24="MC"</formula>
    </cfRule>
  </conditionalFormatting>
  <conditionalFormatting sqref="B25:D25 F25:I25">
    <cfRule type="expression" dxfId="2562" priority="752">
      <formula>$E25="MC"</formula>
    </cfRule>
  </conditionalFormatting>
  <conditionalFormatting sqref="B26:D26 F26:I26">
    <cfRule type="expression" dxfId="2561" priority="751">
      <formula>$E26="MC"</formula>
    </cfRule>
  </conditionalFormatting>
  <conditionalFormatting sqref="B27:D27 F27:I27">
    <cfRule type="expression" dxfId="2560" priority="750">
      <formula>$E27="MC"</formula>
    </cfRule>
  </conditionalFormatting>
  <conditionalFormatting sqref="B28:D28 F28:I28">
    <cfRule type="expression" dxfId="2559" priority="749">
      <formula>$E28="MC"</formula>
    </cfRule>
  </conditionalFormatting>
  <conditionalFormatting sqref="B29:D29 F29:I29">
    <cfRule type="expression" dxfId="2558" priority="748">
      <formula>$E29="MC"</formula>
    </cfRule>
  </conditionalFormatting>
  <conditionalFormatting sqref="B30:D30 F30:I30">
    <cfRule type="expression" dxfId="2557" priority="747">
      <formula>$E30="MC"</formula>
    </cfRule>
  </conditionalFormatting>
  <conditionalFormatting sqref="B31:D31 F31:I31">
    <cfRule type="expression" dxfId="2556" priority="746">
      <formula>$E31="MC"</formula>
    </cfRule>
  </conditionalFormatting>
  <conditionalFormatting sqref="B32:D32 F32:I32">
    <cfRule type="expression" dxfId="2555" priority="745">
      <formula>$E32="MC"</formula>
    </cfRule>
  </conditionalFormatting>
  <conditionalFormatting sqref="M4:M5 M7:M32">
    <cfRule type="cellIs" dxfId="2554" priority="713" operator="equal">
      <formula>3</formula>
    </cfRule>
    <cfRule type="cellIs" dxfId="2553" priority="714" operator="equal">
      <formula>2</formula>
    </cfRule>
    <cfRule type="cellIs" dxfId="2552" priority="715" operator="equal">
      <formula>1</formula>
    </cfRule>
  </conditionalFormatting>
  <conditionalFormatting sqref="K44:K1048576 K1:K32">
    <cfRule type="cellIs" dxfId="2551" priority="277" operator="lessThan">
      <formula>18</formula>
    </cfRule>
  </conditionalFormatting>
  <conditionalFormatting sqref="I6">
    <cfRule type="expression" dxfId="2550" priority="188">
      <formula>$E6="MC"</formula>
    </cfRule>
  </conditionalFormatting>
  <conditionalFormatting sqref="B9:D9 F9:I9">
    <cfRule type="expression" dxfId="2549" priority="111">
      <formula>$E9="MC"</formula>
    </cfRule>
  </conditionalFormatting>
  <conditionalFormatting sqref="I8">
    <cfRule type="expression" dxfId="2548" priority="91">
      <formula>$E8="MC"</formula>
    </cfRule>
  </conditionalFormatting>
  <conditionalFormatting sqref="B8:D8 F8:H8">
    <cfRule type="expression" dxfId="2547" priority="89">
      <formula>$E8="MC"</formula>
    </cfRule>
  </conditionalFormatting>
  <conditionalFormatting sqref="E10 E13 E16 E19 E22 E25 E28 E31">
    <cfRule type="expression" dxfId="2546" priority="30">
      <formula>$E10="MC"</formula>
    </cfRule>
  </conditionalFormatting>
  <conditionalFormatting sqref="E8:E9 E11:E12 E14:E15 E17:E18 E20:E21 E23:E24 E26:E27 E29:E30">
    <cfRule type="expression" dxfId="2545" priority="29">
      <formula>$E8="MC"</formula>
    </cfRule>
  </conditionalFormatting>
  <conditionalFormatting sqref="B7:D7">
    <cfRule type="expression" dxfId="2544" priority="26">
      <formula>$E7="MC"</formula>
    </cfRule>
  </conditionalFormatting>
  <conditionalFormatting sqref="F7:I7">
    <cfRule type="expression" dxfId="2543" priority="25">
      <formula>$E7="MC"</formula>
    </cfRule>
  </conditionalFormatting>
  <conditionalFormatting sqref="M6">
    <cfRule type="cellIs" dxfId="2542" priority="3" operator="equal">
      <formula>3</formula>
    </cfRule>
    <cfRule type="cellIs" dxfId="2541" priority="4" operator="equal">
      <formula>2</formula>
    </cfRule>
    <cfRule type="cellIs" dxfId="2540" priority="5" operator="equal">
      <formula>1</formula>
    </cfRule>
  </conditionalFormatting>
  <conditionalFormatting sqref="T6">
    <cfRule type="expression" dxfId="2539" priority="2">
      <formula>FIND("RETIDO",T6)</formula>
    </cfRule>
  </conditionalFormatting>
  <dataValidations count="3">
    <dataValidation type="date" allowBlank="1" showInputMessage="1" showErrorMessage="1" errorTitle="Data Invalida" error="Você deve inserir uma data no formato XX/XX/XXXX" promptTitle="Insira uma Data" prompt="Favor inserir uma data valida no formato: XX/XX/XXXX" sqref="F7">
      <formula1>1</formula1>
      <formula2>2958465</formula2>
    </dataValidation>
    <dataValidation type="date" allowBlank="1" showInputMessage="1" showErrorMessage="1" errorTitle="Data Invalida" error="Você deve inserir uma data no formato XX/XX/XXXX" promptTitle="Insira uma data" prompt="Favor inserir uma data válida no formato: XX/XX/XXXX" sqref="F8:F14">
      <formula1>1</formula1>
      <formula2>2958465</formula2>
    </dataValidation>
    <dataValidation type="list" allowBlank="1" showInputMessage="1" showErrorMessage="1" sqref="T7:T21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7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V47"/>
  <sheetViews>
    <sheetView view="pageBreakPreview" zoomScale="70" zoomScaleNormal="70" zoomScaleSheetLayoutView="70" workbookViewId="0">
      <pane xSplit="3" ySplit="5" topLeftCell="D6" activePane="bottomRight" state="frozen"/>
      <selection sqref="A1:XFD1048576"/>
      <selection pane="topRight" sqref="A1:XFD1048576"/>
      <selection pane="bottomLeft" sqref="A1:XFD1048576"/>
      <selection pane="bottomRight" activeCell="C10" sqref="C10"/>
    </sheetView>
  </sheetViews>
  <sheetFormatPr defaultRowHeight="17.25" x14ac:dyDescent="0.3"/>
  <cols>
    <col min="1" max="1" width="3.7109375" style="273" customWidth="1"/>
    <col min="2" max="2" width="7.7109375" style="273" customWidth="1"/>
    <col min="3" max="3" width="40.7109375" style="514" customWidth="1"/>
    <col min="4" max="4" width="3.7109375" style="258" customWidth="1"/>
    <col min="5" max="5" width="4.7109375" style="258" customWidth="1"/>
    <col min="6" max="6" width="14" style="274" bestFit="1" customWidth="1"/>
    <col min="7" max="7" width="14.7109375" style="273" customWidth="1"/>
    <col min="8" max="8" width="12.7109375" style="275" customWidth="1"/>
    <col min="9" max="9" width="20.7109375" style="514" customWidth="1"/>
    <col min="10" max="10" width="12.7109375" style="275" customWidth="1"/>
    <col min="11" max="11" width="7.85546875" style="276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1" width="9.140625" style="258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68" t="s">
        <v>0</v>
      </c>
      <c r="D1" s="568"/>
      <c r="E1" s="568"/>
      <c r="F1" s="568"/>
      <c r="G1" s="568"/>
      <c r="H1" s="568"/>
      <c r="I1" s="255"/>
      <c r="J1" s="255"/>
      <c r="K1" s="254"/>
      <c r="L1" s="19"/>
    </row>
    <row r="2" spans="1:22" s="273" customFormat="1" x14ac:dyDescent="0.25">
      <c r="A2" s="254"/>
      <c r="B2" s="254"/>
      <c r="C2" s="568" t="s">
        <v>1</v>
      </c>
      <c r="D2" s="568"/>
      <c r="E2" s="568"/>
      <c r="F2" s="568"/>
      <c r="G2" s="568"/>
      <c r="H2" s="568"/>
      <c r="I2" s="505"/>
      <c r="J2" s="505"/>
      <c r="K2" s="505"/>
      <c r="L2" s="19"/>
    </row>
    <row r="3" spans="1:22" s="273" customFormat="1" x14ac:dyDescent="0.25">
      <c r="A3" s="254"/>
      <c r="B3" s="254"/>
      <c r="C3" s="568" t="s">
        <v>2</v>
      </c>
      <c r="D3" s="568"/>
      <c r="E3" s="568"/>
      <c r="F3" s="568"/>
      <c r="G3" s="568"/>
      <c r="H3" s="568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68" t="s">
        <v>362</v>
      </c>
      <c r="D4" s="568"/>
      <c r="E4" s="568"/>
      <c r="F4" s="568"/>
      <c r="G4" s="568"/>
      <c r="H4" s="568"/>
      <c r="I4" s="505"/>
      <c r="J4" s="505"/>
      <c r="K4" s="505"/>
      <c r="L4" s="19"/>
      <c r="M4" s="256"/>
    </row>
    <row r="5" spans="1:22" ht="18" thickBot="1" x14ac:dyDescent="0.35">
      <c r="A5" s="569" t="s">
        <v>20</v>
      </c>
      <c r="B5" s="570"/>
      <c r="C5" s="570"/>
      <c r="D5" s="571" t="s">
        <v>44</v>
      </c>
      <c r="E5" s="572"/>
      <c r="F5" s="330"/>
      <c r="G5" s="509" t="s">
        <v>35</v>
      </c>
      <c r="H5" s="510">
        <f ca="1">TODAY()</f>
        <v>45931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  <c r="S5" s="19"/>
    </row>
    <row r="6" spans="1:22" x14ac:dyDescent="0.3">
      <c r="A6" s="332" t="s">
        <v>7</v>
      </c>
      <c r="B6" s="333" t="s">
        <v>8</v>
      </c>
      <c r="C6" s="334" t="s">
        <v>9</v>
      </c>
      <c r="D6" s="335" t="s">
        <v>10</v>
      </c>
      <c r="E6" s="335" t="s">
        <v>11</v>
      </c>
      <c r="F6" s="336" t="s">
        <v>12</v>
      </c>
      <c r="G6" s="333" t="s">
        <v>13</v>
      </c>
      <c r="H6" s="337" t="s">
        <v>14</v>
      </c>
      <c r="I6" s="338" t="s">
        <v>57</v>
      </c>
      <c r="J6" s="337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361">
        <v>1</v>
      </c>
      <c r="B7" s="342">
        <v>18767</v>
      </c>
      <c r="C7" s="350" t="s">
        <v>269</v>
      </c>
      <c r="D7" s="343" t="s">
        <v>17</v>
      </c>
      <c r="E7" s="327" t="str">
        <f t="shared" ref="E7:E12" si="0">IF(ISNUMBER(FIND("TE",I7)),"TE",IF(ISNUMBER(FIND("MCC",I7)),"MCC",IF(ISNUMBER(FIND("MC",I7)),"MC","MA")))</f>
        <v>MA</v>
      </c>
      <c r="F7" s="344">
        <v>24673</v>
      </c>
      <c r="G7" s="352"/>
      <c r="H7" s="341" t="s">
        <v>356</v>
      </c>
      <c r="I7" s="345"/>
      <c r="J7" s="368" t="str">
        <f t="shared" ref="J7" ca="1" si="1">IF(K7="","",IF(K7&gt;29,"DISP.IDADE",""))</f>
        <v>DISP.IDADE</v>
      </c>
      <c r="K7" s="329">
        <f t="shared" ref="K7" ca="1" si="2">IF(F7="","",INT((TODAY()-F7)/365.25))</f>
        <v>58</v>
      </c>
      <c r="L7" s="93" t="s">
        <v>305</v>
      </c>
      <c r="M7" s="373" t="s">
        <v>314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>
        <v>3717075799</v>
      </c>
    </row>
    <row r="8" spans="1:22" s="513" customFormat="1" ht="20.100000000000001" customHeight="1" x14ac:dyDescent="0.25">
      <c r="A8" s="361">
        <v>2</v>
      </c>
      <c r="B8" s="342">
        <v>18837</v>
      </c>
      <c r="C8" s="341" t="s">
        <v>299</v>
      </c>
      <c r="D8" s="343" t="s">
        <v>17</v>
      </c>
      <c r="E8" s="327" t="str">
        <f t="shared" si="0"/>
        <v>MA</v>
      </c>
      <c r="F8" s="344">
        <v>40045</v>
      </c>
      <c r="G8" s="343" t="s">
        <v>300</v>
      </c>
      <c r="H8" s="376"/>
      <c r="I8" s="375"/>
      <c r="J8" s="368" t="str">
        <f t="shared" ref="J8:J36" ca="1" si="3">IF(K8="","",IF(K8&gt;29,"DISP.IDADE",""))</f>
        <v/>
      </c>
      <c r="K8" s="329">
        <f t="shared" ref="K8:K36" ca="1" si="4">IF(F8="","",INT((TODAY()-F8)/365.25))</f>
        <v>16</v>
      </c>
      <c r="L8" s="93" t="s">
        <v>305</v>
      </c>
      <c r="M8" s="373" t="s">
        <v>314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452">
        <v>38253371896</v>
      </c>
    </row>
    <row r="9" spans="1:22" s="513" customFormat="1" ht="20.100000000000001" customHeight="1" x14ac:dyDescent="0.25">
      <c r="A9" s="361">
        <v>3</v>
      </c>
      <c r="B9" s="342">
        <v>17989</v>
      </c>
      <c r="C9" s="350" t="s">
        <v>69</v>
      </c>
      <c r="D9" s="340" t="s">
        <v>16</v>
      </c>
      <c r="E9" s="327" t="str">
        <f t="shared" si="0"/>
        <v>MC</v>
      </c>
      <c r="F9" s="346">
        <v>24447</v>
      </c>
      <c r="G9" s="347" t="s">
        <v>74</v>
      </c>
      <c r="H9" s="350" t="s">
        <v>70</v>
      </c>
      <c r="I9" s="375" t="s">
        <v>516</v>
      </c>
      <c r="J9" s="368" t="str">
        <f t="shared" ca="1" si="3"/>
        <v>DISP.IDADE</v>
      </c>
      <c r="K9" s="329">
        <f t="shared" ca="1" si="4"/>
        <v>58</v>
      </c>
      <c r="L9" s="93" t="s">
        <v>305</v>
      </c>
      <c r="M9" s="373" t="s">
        <v>314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 t="s">
        <v>386</v>
      </c>
      <c r="U9" s="517" t="s">
        <v>567</v>
      </c>
      <c r="V9" s="452">
        <v>48456511353</v>
      </c>
    </row>
    <row r="10" spans="1:22" s="513" customFormat="1" ht="20.100000000000001" customHeight="1" x14ac:dyDescent="0.25">
      <c r="A10" s="361">
        <v>4</v>
      </c>
      <c r="B10" s="342">
        <v>18839</v>
      </c>
      <c r="C10" s="350" t="s">
        <v>304</v>
      </c>
      <c r="D10" s="343" t="s">
        <v>17</v>
      </c>
      <c r="E10" s="327" t="str">
        <f t="shared" si="0"/>
        <v>MA</v>
      </c>
      <c r="F10" s="346">
        <v>26939</v>
      </c>
      <c r="G10" s="352"/>
      <c r="H10" s="348">
        <v>26885705</v>
      </c>
      <c r="I10" s="345"/>
      <c r="J10" s="368" t="str">
        <f t="shared" ca="1" si="3"/>
        <v>DISP.IDADE</v>
      </c>
      <c r="K10" s="329">
        <f t="shared" ca="1" si="4"/>
        <v>51</v>
      </c>
      <c r="L10" s="93" t="s">
        <v>305</v>
      </c>
      <c r="M10" s="373" t="s">
        <v>314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2">
        <v>16960997810</v>
      </c>
    </row>
    <row r="11" spans="1:22" s="513" customFormat="1" ht="20.100000000000001" customHeight="1" x14ac:dyDescent="0.25">
      <c r="A11" s="361">
        <v>5</v>
      </c>
      <c r="B11" s="342">
        <v>18357</v>
      </c>
      <c r="C11" s="350" t="s">
        <v>114</v>
      </c>
      <c r="D11" s="340" t="s">
        <v>16</v>
      </c>
      <c r="E11" s="327" t="str">
        <f t="shared" si="0"/>
        <v>MC</v>
      </c>
      <c r="F11" s="346">
        <v>23056</v>
      </c>
      <c r="G11" s="360"/>
      <c r="H11" s="350" t="s">
        <v>115</v>
      </c>
      <c r="I11" s="375" t="s">
        <v>463</v>
      </c>
      <c r="J11" s="368" t="str">
        <f t="shared" ca="1" si="3"/>
        <v>DISP.IDADE</v>
      </c>
      <c r="K11" s="329">
        <f t="shared" ca="1" si="4"/>
        <v>62</v>
      </c>
      <c r="L11" s="93" t="s">
        <v>305</v>
      </c>
      <c r="M11" s="373" t="s">
        <v>314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 t="s">
        <v>386</v>
      </c>
      <c r="U11" s="517" t="s">
        <v>567</v>
      </c>
      <c r="V11" s="452">
        <v>55503535472</v>
      </c>
    </row>
    <row r="12" spans="1:22" s="513" customFormat="1" ht="20.100000000000001" customHeight="1" x14ac:dyDescent="0.25">
      <c r="A12" s="361">
        <v>6</v>
      </c>
      <c r="B12" s="342">
        <v>18747</v>
      </c>
      <c r="C12" s="350" t="s">
        <v>261</v>
      </c>
      <c r="D12" s="343" t="s">
        <v>16</v>
      </c>
      <c r="E12" s="327" t="str">
        <f t="shared" si="0"/>
        <v>MA</v>
      </c>
      <c r="F12" s="346">
        <v>21869</v>
      </c>
      <c r="G12" s="360"/>
      <c r="H12" s="350">
        <v>131542312</v>
      </c>
      <c r="I12" s="345"/>
      <c r="J12" s="368" t="str">
        <f t="shared" ca="1" si="3"/>
        <v>DISP.IDADE</v>
      </c>
      <c r="K12" s="329">
        <f t="shared" ca="1" si="4"/>
        <v>65</v>
      </c>
      <c r="L12" s="93" t="s">
        <v>305</v>
      </c>
      <c r="M12" s="373" t="s">
        <v>314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2">
        <v>4469768812</v>
      </c>
    </row>
    <row r="13" spans="1:22" s="513" customFormat="1" ht="20.100000000000001" customHeight="1" x14ac:dyDescent="0.25">
      <c r="A13" s="361">
        <v>7</v>
      </c>
      <c r="B13" s="342">
        <v>18906</v>
      </c>
      <c r="C13" s="350" t="s">
        <v>452</v>
      </c>
      <c r="D13" s="340" t="s">
        <v>16</v>
      </c>
      <c r="E13" s="327" t="str">
        <f t="shared" ref="E13:E36" si="5">IF(COUNTIF(I13,"*MC*")=1,"MC",IF(COUNTIF(I13,"*NCOM*")=1,"NCOM",IF(C13="","","MA")))</f>
        <v>MA</v>
      </c>
      <c r="F13" s="346">
        <v>40161</v>
      </c>
      <c r="G13" s="340" t="s">
        <v>453</v>
      </c>
      <c r="H13" s="348"/>
      <c r="I13" s="345"/>
      <c r="J13" s="368" t="str">
        <f t="shared" ca="1" si="3"/>
        <v/>
      </c>
      <c r="K13" s="329">
        <f t="shared" ca="1" si="4"/>
        <v>15</v>
      </c>
      <c r="L13" s="93" t="s">
        <v>305</v>
      </c>
      <c r="M13" s="373" t="s">
        <v>314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2"/>
    </row>
    <row r="14" spans="1:22" s="513" customFormat="1" ht="20.100000000000001" customHeight="1" x14ac:dyDescent="0.25">
      <c r="A14" s="361">
        <v>8</v>
      </c>
      <c r="B14" s="342"/>
      <c r="C14" s="350"/>
      <c r="D14" s="340"/>
      <c r="E14" s="327" t="str">
        <f t="shared" si="5"/>
        <v/>
      </c>
      <c r="F14" s="346"/>
      <c r="G14" s="340"/>
      <c r="H14" s="348"/>
      <c r="I14" s="345"/>
      <c r="J14" s="368" t="str">
        <f t="shared" ca="1" si="3"/>
        <v/>
      </c>
      <c r="K14" s="329" t="str">
        <f t="shared" ca="1" si="4"/>
        <v/>
      </c>
      <c r="L14" s="93" t="s">
        <v>305</v>
      </c>
      <c r="M14" s="373" t="s">
        <v>314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52"/>
    </row>
    <row r="15" spans="1:22" s="513" customFormat="1" ht="20.100000000000001" customHeight="1" x14ac:dyDescent="0.25">
      <c r="A15" s="361">
        <v>9</v>
      </c>
      <c r="B15" s="342"/>
      <c r="C15" s="350"/>
      <c r="D15" s="340"/>
      <c r="E15" s="328" t="str">
        <f t="shared" si="5"/>
        <v/>
      </c>
      <c r="F15" s="346"/>
      <c r="G15" s="340"/>
      <c r="H15" s="348"/>
      <c r="I15" s="345"/>
      <c r="J15" s="368" t="str">
        <f t="shared" ca="1" si="3"/>
        <v/>
      </c>
      <c r="K15" s="329" t="str">
        <f t="shared" ca="1" si="4"/>
        <v/>
      </c>
      <c r="L15" s="93" t="s">
        <v>305</v>
      </c>
      <c r="M15" s="373" t="s">
        <v>314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452"/>
    </row>
    <row r="16" spans="1:22" s="513" customFormat="1" ht="20.100000000000001" customHeight="1" x14ac:dyDescent="0.25">
      <c r="A16" s="361">
        <v>10</v>
      </c>
      <c r="B16" s="342"/>
      <c r="C16" s="350"/>
      <c r="D16" s="340"/>
      <c r="E16" s="327" t="str">
        <f t="shared" si="5"/>
        <v/>
      </c>
      <c r="F16" s="346"/>
      <c r="G16" s="340"/>
      <c r="H16" s="348"/>
      <c r="I16" s="345"/>
      <c r="J16" s="368" t="str">
        <f t="shared" ca="1" si="3"/>
        <v/>
      </c>
      <c r="K16" s="329" t="str">
        <f t="shared" ca="1" si="4"/>
        <v/>
      </c>
      <c r="L16" s="93" t="s">
        <v>305</v>
      </c>
      <c r="M16" s="373" t="s">
        <v>314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52"/>
    </row>
    <row r="17" spans="1:22" s="513" customFormat="1" ht="20.100000000000001" customHeight="1" x14ac:dyDescent="0.25">
      <c r="A17" s="361">
        <v>11</v>
      </c>
      <c r="B17" s="342"/>
      <c r="C17" s="350"/>
      <c r="D17" s="340"/>
      <c r="E17" s="327" t="str">
        <f t="shared" si="5"/>
        <v/>
      </c>
      <c r="F17" s="346"/>
      <c r="G17" s="340"/>
      <c r="H17" s="348"/>
      <c r="I17" s="345"/>
      <c r="J17" s="368" t="str">
        <f t="shared" ca="1" si="3"/>
        <v/>
      </c>
      <c r="K17" s="329" t="str">
        <f t="shared" ca="1" si="4"/>
        <v/>
      </c>
      <c r="L17" s="93" t="s">
        <v>305</v>
      </c>
      <c r="M17" s="373" t="s">
        <v>314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452"/>
    </row>
    <row r="18" spans="1:22" s="513" customFormat="1" ht="20.100000000000001" customHeight="1" x14ac:dyDescent="0.25">
      <c r="A18" s="361">
        <v>12</v>
      </c>
      <c r="B18" s="342"/>
      <c r="C18" s="350"/>
      <c r="D18" s="340"/>
      <c r="E18" s="328" t="str">
        <f t="shared" si="5"/>
        <v/>
      </c>
      <c r="F18" s="346"/>
      <c r="G18" s="340"/>
      <c r="H18" s="348"/>
      <c r="I18" s="345"/>
      <c r="J18" s="368" t="str">
        <f t="shared" ca="1" si="3"/>
        <v/>
      </c>
      <c r="K18" s="329" t="str">
        <f t="shared" ca="1" si="4"/>
        <v/>
      </c>
      <c r="L18" s="93" t="s">
        <v>305</v>
      </c>
      <c r="M18" s="373" t="s">
        <v>314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/>
    </row>
    <row r="19" spans="1:22" s="513" customFormat="1" ht="20.100000000000001" customHeight="1" x14ac:dyDescent="0.25">
      <c r="A19" s="361">
        <v>13</v>
      </c>
      <c r="B19" s="342"/>
      <c r="C19" s="350"/>
      <c r="D19" s="340"/>
      <c r="E19" s="327" t="str">
        <f t="shared" si="5"/>
        <v/>
      </c>
      <c r="F19" s="346"/>
      <c r="G19" s="340"/>
      <c r="H19" s="348"/>
      <c r="I19" s="345"/>
      <c r="J19" s="368" t="str">
        <f t="shared" ca="1" si="3"/>
        <v/>
      </c>
      <c r="K19" s="329" t="str">
        <f t="shared" ca="1" si="4"/>
        <v/>
      </c>
      <c r="L19" s="93" t="s">
        <v>305</v>
      </c>
      <c r="M19" s="373" t="s">
        <v>314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/>
    </row>
    <row r="20" spans="1:22" s="513" customFormat="1" ht="20.100000000000001" customHeight="1" x14ac:dyDescent="0.25">
      <c r="A20" s="361">
        <v>14</v>
      </c>
      <c r="B20" s="342"/>
      <c r="C20" s="350"/>
      <c r="D20" s="340"/>
      <c r="E20" s="327" t="str">
        <f t="shared" si="5"/>
        <v/>
      </c>
      <c r="F20" s="346"/>
      <c r="G20" s="340"/>
      <c r="H20" s="348"/>
      <c r="I20" s="345"/>
      <c r="J20" s="368" t="str">
        <f t="shared" ca="1" si="3"/>
        <v/>
      </c>
      <c r="K20" s="329" t="str">
        <f t="shared" ca="1" si="4"/>
        <v/>
      </c>
      <c r="L20" s="93" t="s">
        <v>305</v>
      </c>
      <c r="M20" s="373" t="s">
        <v>314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6"/>
      <c r="U20" s="517"/>
      <c r="V20" s="452"/>
    </row>
    <row r="21" spans="1:22" s="513" customFormat="1" ht="20.100000000000001" customHeight="1" x14ac:dyDescent="0.25">
      <c r="A21" s="361">
        <v>15</v>
      </c>
      <c r="B21" s="342"/>
      <c r="C21" s="350"/>
      <c r="D21" s="340"/>
      <c r="E21" s="328" t="str">
        <f t="shared" si="5"/>
        <v/>
      </c>
      <c r="F21" s="346"/>
      <c r="G21" s="340"/>
      <c r="H21" s="348"/>
      <c r="I21" s="345"/>
      <c r="J21" s="368" t="str">
        <f t="shared" ca="1" si="3"/>
        <v/>
      </c>
      <c r="K21" s="329" t="str">
        <f t="shared" ca="1" si="4"/>
        <v/>
      </c>
      <c r="L21" s="93" t="s">
        <v>305</v>
      </c>
      <c r="M21" s="373" t="s">
        <v>314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93"/>
      <c r="U21" s="93"/>
      <c r="V21" s="452"/>
    </row>
    <row r="22" spans="1:22" s="513" customFormat="1" ht="20.100000000000001" customHeight="1" x14ac:dyDescent="0.25">
      <c r="A22" s="361">
        <v>16</v>
      </c>
      <c r="B22" s="342"/>
      <c r="C22" s="350"/>
      <c r="D22" s="340"/>
      <c r="E22" s="327" t="str">
        <f t="shared" si="5"/>
        <v/>
      </c>
      <c r="F22" s="346"/>
      <c r="G22" s="340"/>
      <c r="H22" s="348"/>
      <c r="I22" s="345"/>
      <c r="J22" s="368" t="str">
        <f t="shared" ca="1" si="3"/>
        <v/>
      </c>
      <c r="K22" s="329" t="str">
        <f t="shared" ca="1" si="4"/>
        <v/>
      </c>
      <c r="L22" s="93" t="s">
        <v>305</v>
      </c>
      <c r="M22" s="373" t="s">
        <v>314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93"/>
      <c r="U22" s="93"/>
      <c r="V22" s="452"/>
    </row>
    <row r="23" spans="1:22" s="513" customFormat="1" ht="20.100000000000001" customHeight="1" x14ac:dyDescent="0.25">
      <c r="A23" s="361">
        <v>17</v>
      </c>
      <c r="B23" s="342"/>
      <c r="C23" s="350"/>
      <c r="D23" s="340"/>
      <c r="E23" s="327" t="str">
        <f t="shared" si="5"/>
        <v/>
      </c>
      <c r="F23" s="346"/>
      <c r="G23" s="340"/>
      <c r="H23" s="348"/>
      <c r="I23" s="345"/>
      <c r="J23" s="368" t="str">
        <f t="shared" ca="1" si="3"/>
        <v/>
      </c>
      <c r="K23" s="329" t="str">
        <f t="shared" ca="1" si="4"/>
        <v/>
      </c>
      <c r="L23" s="93" t="s">
        <v>305</v>
      </c>
      <c r="M23" s="373" t="s">
        <v>314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93"/>
      <c r="U23" s="93"/>
      <c r="V23" s="452"/>
    </row>
    <row r="24" spans="1:22" s="513" customFormat="1" ht="20.100000000000001" customHeight="1" x14ac:dyDescent="0.25">
      <c r="A24" s="361">
        <v>18</v>
      </c>
      <c r="B24" s="342"/>
      <c r="C24" s="350"/>
      <c r="D24" s="340"/>
      <c r="E24" s="328" t="str">
        <f t="shared" si="5"/>
        <v/>
      </c>
      <c r="F24" s="346"/>
      <c r="G24" s="340"/>
      <c r="H24" s="348"/>
      <c r="I24" s="345"/>
      <c r="J24" s="368" t="str">
        <f t="shared" ca="1" si="3"/>
        <v/>
      </c>
      <c r="K24" s="329" t="str">
        <f t="shared" ca="1" si="4"/>
        <v/>
      </c>
      <c r="L24" s="93" t="s">
        <v>305</v>
      </c>
      <c r="M24" s="373" t="s">
        <v>314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93"/>
      <c r="U24" s="93"/>
      <c r="V24" s="452"/>
    </row>
    <row r="25" spans="1:22" s="513" customFormat="1" ht="20.100000000000001" customHeight="1" x14ac:dyDescent="0.25">
      <c r="A25" s="361">
        <v>19</v>
      </c>
      <c r="B25" s="342"/>
      <c r="C25" s="350"/>
      <c r="D25" s="340"/>
      <c r="E25" s="327" t="str">
        <f t="shared" si="5"/>
        <v/>
      </c>
      <c r="F25" s="346"/>
      <c r="G25" s="340"/>
      <c r="H25" s="348"/>
      <c r="I25" s="345"/>
      <c r="J25" s="368" t="str">
        <f t="shared" ca="1" si="3"/>
        <v/>
      </c>
      <c r="K25" s="329" t="str">
        <f t="shared" ca="1" si="4"/>
        <v/>
      </c>
      <c r="L25" s="93" t="s">
        <v>305</v>
      </c>
      <c r="M25" s="373" t="s">
        <v>314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452"/>
      <c r="U25" s="452"/>
      <c r="V25" s="452"/>
    </row>
    <row r="26" spans="1:22" s="513" customFormat="1" ht="20.100000000000001" customHeight="1" x14ac:dyDescent="0.25">
      <c r="A26" s="361">
        <v>20</v>
      </c>
      <c r="B26" s="342"/>
      <c r="C26" s="350"/>
      <c r="D26" s="340"/>
      <c r="E26" s="327" t="str">
        <f t="shared" si="5"/>
        <v/>
      </c>
      <c r="F26" s="346"/>
      <c r="G26" s="340"/>
      <c r="H26" s="348"/>
      <c r="I26" s="345"/>
      <c r="J26" s="368" t="str">
        <f t="shared" ca="1" si="3"/>
        <v/>
      </c>
      <c r="K26" s="329" t="str">
        <f t="shared" ca="1" si="4"/>
        <v/>
      </c>
      <c r="L26" s="93" t="s">
        <v>305</v>
      </c>
      <c r="M26" s="373" t="s">
        <v>314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452"/>
      <c r="U26" s="452"/>
      <c r="V26" s="452"/>
    </row>
    <row r="27" spans="1:22" s="513" customFormat="1" ht="20.100000000000001" customHeight="1" x14ac:dyDescent="0.25">
      <c r="A27" s="361">
        <v>21</v>
      </c>
      <c r="B27" s="342"/>
      <c r="C27" s="350"/>
      <c r="D27" s="340"/>
      <c r="E27" s="328" t="str">
        <f t="shared" si="5"/>
        <v/>
      </c>
      <c r="F27" s="346"/>
      <c r="G27" s="340"/>
      <c r="H27" s="348"/>
      <c r="I27" s="345"/>
      <c r="J27" s="368" t="str">
        <f t="shared" ca="1" si="3"/>
        <v/>
      </c>
      <c r="K27" s="329" t="str">
        <f t="shared" ca="1" si="4"/>
        <v/>
      </c>
      <c r="L27" s="93" t="s">
        <v>305</v>
      </c>
      <c r="M27" s="373" t="s">
        <v>314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452"/>
      <c r="U27" s="452"/>
      <c r="V27" s="452"/>
    </row>
    <row r="28" spans="1:22" s="513" customFormat="1" ht="20.100000000000001" customHeight="1" x14ac:dyDescent="0.25">
      <c r="A28" s="361">
        <v>22</v>
      </c>
      <c r="B28" s="342"/>
      <c r="C28" s="350"/>
      <c r="D28" s="340"/>
      <c r="E28" s="327" t="str">
        <f t="shared" si="5"/>
        <v/>
      </c>
      <c r="F28" s="346"/>
      <c r="G28" s="340"/>
      <c r="H28" s="348"/>
      <c r="I28" s="345"/>
      <c r="J28" s="368" t="str">
        <f t="shared" ca="1" si="3"/>
        <v/>
      </c>
      <c r="K28" s="329" t="str">
        <f t="shared" ca="1" si="4"/>
        <v/>
      </c>
      <c r="L28" s="93" t="s">
        <v>305</v>
      </c>
      <c r="M28" s="373" t="s">
        <v>314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452"/>
      <c r="U28" s="452"/>
      <c r="V28" s="452"/>
    </row>
    <row r="29" spans="1:22" s="513" customFormat="1" ht="20.100000000000001" customHeight="1" x14ac:dyDescent="0.25">
      <c r="A29" s="361">
        <v>23</v>
      </c>
      <c r="B29" s="342"/>
      <c r="C29" s="350"/>
      <c r="D29" s="340"/>
      <c r="E29" s="327" t="str">
        <f t="shared" si="5"/>
        <v/>
      </c>
      <c r="F29" s="346"/>
      <c r="G29" s="340"/>
      <c r="H29" s="348"/>
      <c r="I29" s="345"/>
      <c r="J29" s="368" t="str">
        <f t="shared" ca="1" si="3"/>
        <v/>
      </c>
      <c r="K29" s="329" t="str">
        <f t="shared" ca="1" si="4"/>
        <v/>
      </c>
      <c r="L29" s="93" t="s">
        <v>305</v>
      </c>
      <c r="M29" s="373" t="s">
        <v>314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452"/>
      <c r="U29" s="452"/>
      <c r="V29" s="452"/>
    </row>
    <row r="30" spans="1:22" s="513" customFormat="1" ht="20.100000000000001" customHeight="1" x14ac:dyDescent="0.25">
      <c r="A30" s="361">
        <v>24</v>
      </c>
      <c r="B30" s="342"/>
      <c r="C30" s="350"/>
      <c r="D30" s="340"/>
      <c r="E30" s="328" t="str">
        <f t="shared" si="5"/>
        <v/>
      </c>
      <c r="F30" s="346"/>
      <c r="G30" s="340"/>
      <c r="H30" s="348"/>
      <c r="I30" s="345"/>
      <c r="J30" s="368" t="str">
        <f t="shared" ca="1" si="3"/>
        <v/>
      </c>
      <c r="K30" s="329" t="str">
        <f t="shared" ca="1" si="4"/>
        <v/>
      </c>
      <c r="L30" s="93" t="s">
        <v>305</v>
      </c>
      <c r="M30" s="373" t="s">
        <v>314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452"/>
      <c r="U30" s="452"/>
      <c r="V30" s="452"/>
    </row>
    <row r="31" spans="1:22" s="513" customFormat="1" ht="20.100000000000001" customHeight="1" x14ac:dyDescent="0.25">
      <c r="A31" s="361">
        <v>25</v>
      </c>
      <c r="B31" s="342"/>
      <c r="C31" s="350"/>
      <c r="D31" s="340"/>
      <c r="E31" s="327" t="str">
        <f t="shared" si="5"/>
        <v/>
      </c>
      <c r="F31" s="346"/>
      <c r="G31" s="340"/>
      <c r="H31" s="348"/>
      <c r="I31" s="345"/>
      <c r="J31" s="368" t="str">
        <f t="shared" ca="1" si="3"/>
        <v/>
      </c>
      <c r="K31" s="329" t="str">
        <f t="shared" ca="1" si="4"/>
        <v/>
      </c>
      <c r="L31" s="93" t="s">
        <v>305</v>
      </c>
      <c r="M31" s="373" t="s">
        <v>314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452"/>
      <c r="U31" s="452"/>
      <c r="V31" s="452"/>
    </row>
    <row r="32" spans="1:22" s="513" customFormat="1" ht="20.100000000000001" customHeight="1" x14ac:dyDescent="0.25">
      <c r="A32" s="361">
        <v>26</v>
      </c>
      <c r="B32" s="342"/>
      <c r="C32" s="350"/>
      <c r="D32" s="340"/>
      <c r="E32" s="327" t="str">
        <f t="shared" si="5"/>
        <v/>
      </c>
      <c r="F32" s="346"/>
      <c r="G32" s="340"/>
      <c r="H32" s="348"/>
      <c r="I32" s="345"/>
      <c r="J32" s="368" t="str">
        <f t="shared" ca="1" si="3"/>
        <v/>
      </c>
      <c r="K32" s="329" t="str">
        <f t="shared" ca="1" si="4"/>
        <v/>
      </c>
      <c r="L32" s="93" t="s">
        <v>305</v>
      </c>
      <c r="M32" s="373" t="s">
        <v>314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452"/>
      <c r="U32" s="452"/>
      <c r="V32" s="452"/>
    </row>
    <row r="33" spans="1:22" s="513" customFormat="1" ht="20.100000000000001" customHeight="1" x14ac:dyDescent="0.25">
      <c r="A33" s="361">
        <v>27</v>
      </c>
      <c r="B33" s="342"/>
      <c r="C33" s="350"/>
      <c r="D33" s="340"/>
      <c r="E33" s="328" t="str">
        <f t="shared" si="5"/>
        <v/>
      </c>
      <c r="F33" s="346"/>
      <c r="G33" s="340"/>
      <c r="H33" s="348"/>
      <c r="I33" s="345"/>
      <c r="J33" s="368" t="str">
        <f t="shared" ca="1" si="3"/>
        <v/>
      </c>
      <c r="K33" s="329" t="str">
        <f t="shared" ca="1" si="4"/>
        <v/>
      </c>
      <c r="L33" s="93" t="s">
        <v>305</v>
      </c>
      <c r="M33" s="373" t="s">
        <v>314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452"/>
      <c r="U33" s="452"/>
      <c r="V33" s="452"/>
    </row>
    <row r="34" spans="1:22" s="513" customFormat="1" ht="20.100000000000001" customHeight="1" x14ac:dyDescent="0.25">
      <c r="A34" s="361">
        <v>28</v>
      </c>
      <c r="B34" s="342"/>
      <c r="C34" s="350"/>
      <c r="D34" s="340"/>
      <c r="E34" s="327" t="str">
        <f t="shared" si="5"/>
        <v/>
      </c>
      <c r="F34" s="346"/>
      <c r="G34" s="340"/>
      <c r="H34" s="348"/>
      <c r="I34" s="345"/>
      <c r="J34" s="368" t="str">
        <f t="shared" ca="1" si="3"/>
        <v/>
      </c>
      <c r="K34" s="329" t="str">
        <f t="shared" ca="1" si="4"/>
        <v/>
      </c>
      <c r="L34" s="93" t="s">
        <v>305</v>
      </c>
      <c r="M34" s="373" t="s">
        <v>314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452"/>
      <c r="U34" s="452"/>
      <c r="V34" s="452"/>
    </row>
    <row r="35" spans="1:22" s="513" customFormat="1" ht="20.100000000000001" customHeight="1" x14ac:dyDescent="0.25">
      <c r="A35" s="361">
        <v>29</v>
      </c>
      <c r="B35" s="342"/>
      <c r="C35" s="350"/>
      <c r="D35" s="340"/>
      <c r="E35" s="327" t="str">
        <f t="shared" si="5"/>
        <v/>
      </c>
      <c r="F35" s="346"/>
      <c r="G35" s="340"/>
      <c r="H35" s="348"/>
      <c r="I35" s="345"/>
      <c r="J35" s="368" t="str">
        <f t="shared" ca="1" si="3"/>
        <v/>
      </c>
      <c r="K35" s="329" t="str">
        <f t="shared" ca="1" si="4"/>
        <v/>
      </c>
      <c r="L35" s="93" t="s">
        <v>305</v>
      </c>
      <c r="M35" s="373" t="s">
        <v>314</v>
      </c>
      <c r="N35" s="452" t="s">
        <v>26</v>
      </c>
      <c r="O35" s="452" t="s">
        <v>26</v>
      </c>
      <c r="P35" s="452" t="s">
        <v>26</v>
      </c>
      <c r="Q35" s="452" t="s">
        <v>26</v>
      </c>
      <c r="R35" s="452" t="s">
        <v>26</v>
      </c>
      <c r="S35" s="452" t="s">
        <v>26</v>
      </c>
      <c r="T35" s="452"/>
      <c r="U35" s="452"/>
      <c r="V35" s="452"/>
    </row>
    <row r="36" spans="1:22" s="513" customFormat="1" ht="20.100000000000001" customHeight="1" x14ac:dyDescent="0.25">
      <c r="A36" s="361">
        <v>30</v>
      </c>
      <c r="B36" s="342"/>
      <c r="C36" s="350"/>
      <c r="D36" s="340"/>
      <c r="E36" s="328" t="str">
        <f t="shared" si="5"/>
        <v/>
      </c>
      <c r="F36" s="346"/>
      <c r="G36" s="340"/>
      <c r="H36" s="348"/>
      <c r="I36" s="345"/>
      <c r="J36" s="368" t="str">
        <f t="shared" ca="1" si="3"/>
        <v/>
      </c>
      <c r="K36" s="329" t="str">
        <f t="shared" ca="1" si="4"/>
        <v/>
      </c>
      <c r="L36" s="93" t="s">
        <v>305</v>
      </c>
      <c r="M36" s="373" t="s">
        <v>314</v>
      </c>
      <c r="N36" s="452" t="s">
        <v>26</v>
      </c>
      <c r="O36" s="452" t="s">
        <v>26</v>
      </c>
      <c r="P36" s="452" t="s">
        <v>26</v>
      </c>
      <c r="Q36" s="452" t="s">
        <v>26</v>
      </c>
      <c r="R36" s="452" t="s">
        <v>26</v>
      </c>
      <c r="S36" s="452" t="s">
        <v>26</v>
      </c>
      <c r="T36" s="452"/>
      <c r="U36" s="452"/>
      <c r="V36" s="452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22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22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22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22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22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22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22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spans="1:22" x14ac:dyDescent="0.3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</row>
  </sheetData>
  <sheetProtection formatCells="0" selectLockedCells="1"/>
  <autoFilter ref="A6:K6">
    <sortState ref="A7:M60">
      <sortCondition ref="C6"/>
    </sortState>
  </autoFilter>
  <sortState ref="A7:V36">
    <sortCondition ref="C7:C36"/>
  </sortState>
  <mergeCells count="6">
    <mergeCell ref="C1:H1"/>
    <mergeCell ref="C2:H2"/>
    <mergeCell ref="C3:H3"/>
    <mergeCell ref="C4:H4"/>
    <mergeCell ref="A5:C5"/>
    <mergeCell ref="D5:E5"/>
  </mergeCells>
  <conditionalFormatting sqref="A6:H6 J6:K6 I7:I8 E7:E9 J7:J36">
    <cfRule type="expression" dxfId="2538" priority="1475">
      <formula>$E6="MC"</formula>
    </cfRule>
  </conditionalFormatting>
  <conditionalFormatting sqref="B15:D15 F15:I15">
    <cfRule type="expression" dxfId="2537" priority="1459">
      <formula>$E15="MC"</formula>
    </cfRule>
  </conditionalFormatting>
  <conditionalFormatting sqref="B36:D36 F36:I36">
    <cfRule type="expression" dxfId="2536" priority="1438">
      <formula>$E36="MC"</formula>
    </cfRule>
  </conditionalFormatting>
  <conditionalFormatting sqref="B13:D13 F13:I13">
    <cfRule type="expression" dxfId="2535" priority="1461">
      <formula>$E13="MC"</formula>
    </cfRule>
  </conditionalFormatting>
  <conditionalFormatting sqref="B14:D14 F14:I14">
    <cfRule type="expression" dxfId="2534" priority="1460">
      <formula>$E14="MC"</formula>
    </cfRule>
  </conditionalFormatting>
  <conditionalFormatting sqref="B16:D16 F16:I16">
    <cfRule type="expression" dxfId="2533" priority="1458">
      <formula>$E16="MC"</formula>
    </cfRule>
  </conditionalFormatting>
  <conditionalFormatting sqref="B17:D17 F17:I17">
    <cfRule type="expression" dxfId="2532" priority="1457">
      <formula>$E17="MC"</formula>
    </cfRule>
  </conditionalFormatting>
  <conditionalFormatting sqref="B18:D18 F18:I18">
    <cfRule type="expression" dxfId="2531" priority="1456">
      <formula>$E18="MC"</formula>
    </cfRule>
  </conditionalFormatting>
  <conditionalFormatting sqref="B19:D19 F19:I19">
    <cfRule type="expression" dxfId="2530" priority="1455">
      <formula>$E19="MC"</formula>
    </cfRule>
  </conditionalFormatting>
  <conditionalFormatting sqref="B20:D20 F20:I20">
    <cfRule type="expression" dxfId="2529" priority="1454">
      <formula>$E20="MC"</formula>
    </cfRule>
  </conditionalFormatting>
  <conditionalFormatting sqref="B21:D21 F21:I21">
    <cfRule type="expression" dxfId="2528" priority="1453">
      <formula>$E21="MC"</formula>
    </cfRule>
  </conditionalFormatting>
  <conditionalFormatting sqref="B22:D22 F22:I22">
    <cfRule type="expression" dxfId="2527" priority="1452">
      <formula>$E22="MC"</formula>
    </cfRule>
  </conditionalFormatting>
  <conditionalFormatting sqref="B23:D23 F23:I23">
    <cfRule type="expression" dxfId="2526" priority="1451">
      <formula>$E23="MC"</formula>
    </cfRule>
  </conditionalFormatting>
  <conditionalFormatting sqref="B24:D24 F24:I24">
    <cfRule type="expression" dxfId="2525" priority="1450">
      <formula>$E24="MC"</formula>
    </cfRule>
  </conditionalFormatting>
  <conditionalFormatting sqref="B25:D25 F25:I25">
    <cfRule type="expression" dxfId="2524" priority="1449">
      <formula>$E25="MC"</formula>
    </cfRule>
  </conditionalFormatting>
  <conditionalFormatting sqref="B26:D26 F26:I26">
    <cfRule type="expression" dxfId="2523" priority="1448">
      <formula>$E26="MC"</formula>
    </cfRule>
  </conditionalFormatting>
  <conditionalFormatting sqref="B27:D27 F27:I27">
    <cfRule type="expression" dxfId="2522" priority="1447">
      <formula>$E27="MC"</formula>
    </cfRule>
  </conditionalFormatting>
  <conditionalFormatting sqref="B28:D28 F28:I28">
    <cfRule type="expression" dxfId="2521" priority="1446">
      <formula>$E28="MC"</formula>
    </cfRule>
  </conditionalFormatting>
  <conditionalFormatting sqref="B29:D29 F29:I29">
    <cfRule type="expression" dxfId="2520" priority="1445">
      <formula>$E29="MC"</formula>
    </cfRule>
  </conditionalFormatting>
  <conditionalFormatting sqref="B30:D30 F30:I30">
    <cfRule type="expression" dxfId="2519" priority="1444">
      <formula>$E30="MC"</formula>
    </cfRule>
  </conditionalFormatting>
  <conditionalFormatting sqref="B31:D31 F31:I31">
    <cfRule type="expression" dxfId="2518" priority="1443">
      <formula>$E31="MC"</formula>
    </cfRule>
  </conditionalFormatting>
  <conditionalFormatting sqref="B32:D32 F32:I32">
    <cfRule type="expression" dxfId="2517" priority="1442">
      <formula>$E32="MC"</formula>
    </cfRule>
  </conditionalFormatting>
  <conditionalFormatting sqref="B33:D33 F33:I33">
    <cfRule type="expression" dxfId="2516" priority="1441">
      <formula>$E33="MC"</formula>
    </cfRule>
  </conditionalFormatting>
  <conditionalFormatting sqref="B34:D34 F34:I34">
    <cfRule type="expression" dxfId="2515" priority="1440">
      <formula>$E34="MC"</formula>
    </cfRule>
  </conditionalFormatting>
  <conditionalFormatting sqref="B35:D35 F35:I35">
    <cfRule type="expression" dxfId="2514" priority="1439">
      <formula>$E35="MC"</formula>
    </cfRule>
  </conditionalFormatting>
  <conditionalFormatting sqref="M4:M5 M7:M36">
    <cfRule type="cellIs" dxfId="2513" priority="1425" operator="equal">
      <formula>3</formula>
    </cfRule>
    <cfRule type="cellIs" dxfId="2512" priority="1426" operator="equal">
      <formula>2</formula>
    </cfRule>
    <cfRule type="cellIs" dxfId="2511" priority="1427" operator="equal">
      <formula>1</formula>
    </cfRule>
  </conditionalFormatting>
  <conditionalFormatting sqref="K48:K1048576 K1:K36">
    <cfRule type="cellIs" dxfId="2510" priority="1072" operator="lessThan">
      <formula>18</formula>
    </cfRule>
  </conditionalFormatting>
  <conditionalFormatting sqref="I6">
    <cfRule type="expression" dxfId="2509" priority="340">
      <formula>$E6="MC"</formula>
    </cfRule>
  </conditionalFormatting>
  <conditionalFormatting sqref="A5">
    <cfRule type="expression" dxfId="2508" priority="41366">
      <formula>$D5="MC"</formula>
    </cfRule>
  </conditionalFormatting>
  <conditionalFormatting sqref="E15 E18 E21 E24 E27 E30 E33 E36">
    <cfRule type="expression" dxfId="2507" priority="89">
      <formula>$E15="MC"</formula>
    </cfRule>
  </conditionalFormatting>
  <conditionalFormatting sqref="H9">
    <cfRule type="expression" dxfId="2506" priority="125">
      <formula>$E9="MC"</formula>
    </cfRule>
  </conditionalFormatting>
  <conditionalFormatting sqref="H9">
    <cfRule type="expression" dxfId="2505" priority="124">
      <formula>$E9="MC"</formula>
    </cfRule>
  </conditionalFormatting>
  <conditionalFormatting sqref="B9:D9 F9:G9">
    <cfRule type="expression" dxfId="2504" priority="123">
      <formula>$E9="MC"</formula>
    </cfRule>
  </conditionalFormatting>
  <conditionalFormatting sqref="B9:D9 F9:G9">
    <cfRule type="expression" dxfId="2503" priority="122">
      <formula>$E9="MC"</formula>
    </cfRule>
  </conditionalFormatting>
  <conditionalFormatting sqref="B7:D7">
    <cfRule type="expression" dxfId="2502" priority="65">
      <formula>$E7="MC"</formula>
    </cfRule>
  </conditionalFormatting>
  <conditionalFormatting sqref="E13:E14 E16:E17 E19:E20 E22:E23 E25:E26 E28:E29 E31:E32 E34:E35">
    <cfRule type="expression" dxfId="2501" priority="88">
      <formula>$E13="MC"</formula>
    </cfRule>
  </conditionalFormatting>
  <conditionalFormatting sqref="F8:H8">
    <cfRule type="expression" dxfId="2500" priority="77">
      <formula>$E8="MC"</formula>
    </cfRule>
  </conditionalFormatting>
  <conditionalFormatting sqref="B8:D8">
    <cfRule type="expression" dxfId="2499" priority="70">
      <formula>$E8="MC"</formula>
    </cfRule>
  </conditionalFormatting>
  <conditionalFormatting sqref="F7:H7">
    <cfRule type="expression" dxfId="2498" priority="61">
      <formula>$E7="MC"</formula>
    </cfRule>
  </conditionalFormatting>
  <conditionalFormatting sqref="A8 A10 A12 A14 A16 A18 A20 A22 A24 A26 A28 A30 A32 A34 A36">
    <cfRule type="expression" dxfId="2497" priority="58">
      <formula>$E8="MC"</formula>
    </cfRule>
  </conditionalFormatting>
  <conditionalFormatting sqref="A7 A9 A11 A13 A15 A17 A19 A21 A23 A25 A27 A29 A31 A33 A35">
    <cfRule type="expression" dxfId="2496" priority="59">
      <formula>#REF!="MC"</formula>
    </cfRule>
  </conditionalFormatting>
  <conditionalFormatting sqref="M6">
    <cfRule type="cellIs" dxfId="2495" priority="38" operator="equal">
      <formula>3</formula>
    </cfRule>
    <cfRule type="cellIs" dxfId="2494" priority="39" operator="equal">
      <formula>2</formula>
    </cfRule>
    <cfRule type="cellIs" dxfId="2493" priority="40" operator="equal">
      <formula>1</formula>
    </cfRule>
  </conditionalFormatting>
  <conditionalFormatting sqref="T6">
    <cfRule type="expression" dxfId="2492" priority="37">
      <formula>FIND("RETIDO",T6)</formula>
    </cfRule>
  </conditionalFormatting>
  <conditionalFormatting sqref="F10:H10">
    <cfRule type="expression" dxfId="2491" priority="35">
      <formula>$E10="MC"</formula>
    </cfRule>
  </conditionalFormatting>
  <conditionalFormatting sqref="B10:C10">
    <cfRule type="expression" dxfId="2490" priority="36">
      <formula>$E10="MC"</formula>
    </cfRule>
  </conditionalFormatting>
  <conditionalFormatting sqref="D10">
    <cfRule type="expression" dxfId="2489" priority="33">
      <formula>$E10="MC"</formula>
    </cfRule>
  </conditionalFormatting>
  <conditionalFormatting sqref="E10">
    <cfRule type="expression" dxfId="2488" priority="32">
      <formula>$E10="MC"</formula>
    </cfRule>
  </conditionalFormatting>
  <conditionalFormatting sqref="G12">
    <cfRule type="expression" dxfId="2487" priority="26">
      <formula>$E12="MC"</formula>
    </cfRule>
  </conditionalFormatting>
  <conditionalFormatting sqref="H11">
    <cfRule type="expression" dxfId="2486" priority="25">
      <formula>$E11="MC"</formula>
    </cfRule>
  </conditionalFormatting>
  <conditionalFormatting sqref="F11:H11">
    <cfRule type="expression" dxfId="2485" priority="22">
      <formula>$E11="MC"</formula>
    </cfRule>
  </conditionalFormatting>
  <conditionalFormatting sqref="F11:H11">
    <cfRule type="expression" dxfId="2484" priority="21">
      <formula>$E11="MC"</formula>
    </cfRule>
  </conditionalFormatting>
  <conditionalFormatting sqref="F11:G11">
    <cfRule type="expression" dxfId="2483" priority="24">
      <formula>$E11="MC"</formula>
    </cfRule>
  </conditionalFormatting>
  <conditionalFormatting sqref="F11:H11">
    <cfRule type="expression" dxfId="2482" priority="23">
      <formula>$E11="MC"</formula>
    </cfRule>
  </conditionalFormatting>
  <conditionalFormatting sqref="F11:H11">
    <cfRule type="expression" dxfId="2481" priority="20">
      <formula>$E11="MC"</formula>
    </cfRule>
  </conditionalFormatting>
  <conditionalFormatting sqref="F11:H11">
    <cfRule type="expression" dxfId="2480" priority="17">
      <formula>$E11="MC"</formula>
    </cfRule>
  </conditionalFormatting>
  <conditionalFormatting sqref="F11:H11">
    <cfRule type="expression" dxfId="2479" priority="18">
      <formula>$E11="MC"</formula>
    </cfRule>
  </conditionalFormatting>
  <conditionalFormatting sqref="F11:H11">
    <cfRule type="expression" dxfId="2478" priority="19">
      <formula>$E11="MC"</formula>
    </cfRule>
  </conditionalFormatting>
  <conditionalFormatting sqref="F12">
    <cfRule type="expression" dxfId="2477" priority="16">
      <formula>$E12="MC"</formula>
    </cfRule>
  </conditionalFormatting>
  <conditionalFormatting sqref="H12">
    <cfRule type="expression" dxfId="2476" priority="15">
      <formula>$E12="MC"</formula>
    </cfRule>
  </conditionalFormatting>
  <conditionalFormatting sqref="B12:C12">
    <cfRule type="expression" dxfId="2475" priority="13">
      <formula>$E12="MC"</formula>
    </cfRule>
  </conditionalFormatting>
  <conditionalFormatting sqref="D11:D12">
    <cfRule type="expression" dxfId="2474" priority="10">
      <formula>$E11="MC"</formula>
    </cfRule>
  </conditionalFormatting>
  <conditionalFormatting sqref="E11:E12">
    <cfRule type="expression" dxfId="2473" priority="9">
      <formula>$E11="MC"</formula>
    </cfRule>
  </conditionalFormatting>
  <conditionalFormatting sqref="B11:C11">
    <cfRule type="expression" dxfId="2472" priority="5">
      <formula>$E11="MC"</formula>
    </cfRule>
  </conditionalFormatting>
  <conditionalFormatting sqref="I9">
    <cfRule type="expression" dxfId="2471" priority="1">
      <formula>$E9="MC"</formula>
    </cfRule>
  </conditionalFormatting>
  <dataValidations count="3">
    <dataValidation type="date" allowBlank="1" showInputMessage="1" showErrorMessage="1" errorTitle="Data inválida" error="Você deve inserir uma data no formato XX/XX/XXXX" promptTitle="Insira uma Data:" prompt="Favor inserir uma data válida no formato: XX/XX/XXXX" sqref="F9 F13:F36">
      <formula1>1</formula1>
      <formula2>2958465</formula2>
    </dataValidation>
    <dataValidation type="date" allowBlank="1" showInputMessage="1" showErrorMessage="1" errorTitle="Data Invalida" error="Você deve inserir uma data no formato XX/XX/XXXX" promptTitle="Insira uma data" prompt="Favor inserir uma data válida no formato: XX/XX/XXXX" sqref="F10:F12 F7:F8">
      <formula1>1</formula1>
      <formula2>2958465</formula2>
    </dataValidation>
    <dataValidation type="list" allowBlank="1" showInputMessage="1" showErrorMessage="1" sqref="T7:T20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7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V47"/>
  <sheetViews>
    <sheetView view="pageBreakPreview" zoomScale="70" zoomScaleNormal="100" zoomScaleSheetLayoutView="70" workbookViewId="0">
      <pane xSplit="3" ySplit="5" topLeftCell="D6" activePane="bottomRight" state="frozen"/>
      <selection sqref="A1:XFD1048576"/>
      <selection pane="topRight" sqref="A1:XFD1048576"/>
      <selection pane="bottomLeft" sqref="A1:XFD1048576"/>
      <selection pane="bottomRight" activeCell="A17" sqref="A17:XFD17"/>
    </sheetView>
  </sheetViews>
  <sheetFormatPr defaultRowHeight="17.25" x14ac:dyDescent="0.3"/>
  <cols>
    <col min="1" max="1" width="3.7109375" style="273" customWidth="1"/>
    <col min="2" max="2" width="7.7109375" style="273" customWidth="1"/>
    <col min="3" max="3" width="40.7109375" style="514" customWidth="1"/>
    <col min="4" max="4" width="3.7109375" style="258" customWidth="1"/>
    <col min="5" max="5" width="4.7109375" style="258" customWidth="1"/>
    <col min="6" max="6" width="14" style="274" bestFit="1" customWidth="1"/>
    <col min="7" max="7" width="14.7109375" style="273" customWidth="1"/>
    <col min="8" max="8" width="12.7109375" style="275" customWidth="1"/>
    <col min="9" max="9" width="20.7109375" style="514" customWidth="1"/>
    <col min="10" max="10" width="12.7109375" style="255" customWidth="1"/>
    <col min="11" max="11" width="7.85546875" style="291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1" width="9.140625" style="258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68" t="s">
        <v>0</v>
      </c>
      <c r="D1" s="568"/>
      <c r="E1" s="568"/>
      <c r="F1" s="568"/>
      <c r="G1" s="568"/>
      <c r="H1" s="568"/>
      <c r="I1" s="255"/>
      <c r="J1" s="255"/>
      <c r="K1" s="254"/>
      <c r="L1" s="19"/>
    </row>
    <row r="2" spans="1:22" s="273" customFormat="1" x14ac:dyDescent="0.25">
      <c r="A2" s="254"/>
      <c r="B2" s="254"/>
      <c r="C2" s="568" t="s">
        <v>1</v>
      </c>
      <c r="D2" s="568"/>
      <c r="E2" s="568"/>
      <c r="F2" s="568"/>
      <c r="G2" s="568"/>
      <c r="H2" s="568"/>
      <c r="I2" s="505"/>
      <c r="J2" s="505"/>
      <c r="K2" s="505"/>
      <c r="L2" s="19"/>
    </row>
    <row r="3" spans="1:22" s="273" customFormat="1" x14ac:dyDescent="0.25">
      <c r="A3" s="254"/>
      <c r="B3" s="254"/>
      <c r="C3" s="568" t="s">
        <v>2</v>
      </c>
      <c r="D3" s="568"/>
      <c r="E3" s="568"/>
      <c r="F3" s="568"/>
      <c r="G3" s="568"/>
      <c r="H3" s="568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68" t="s">
        <v>362</v>
      </c>
      <c r="D4" s="568"/>
      <c r="E4" s="568"/>
      <c r="F4" s="568"/>
      <c r="G4" s="568"/>
      <c r="H4" s="568"/>
      <c r="I4" s="505"/>
      <c r="J4" s="505"/>
      <c r="K4" s="505"/>
      <c r="L4" s="19"/>
      <c r="M4" s="256"/>
    </row>
    <row r="5" spans="1:22" ht="18" thickBot="1" x14ac:dyDescent="0.35">
      <c r="A5" s="569" t="s">
        <v>21</v>
      </c>
      <c r="B5" s="570"/>
      <c r="C5" s="570"/>
      <c r="D5" s="571" t="s">
        <v>44</v>
      </c>
      <c r="E5" s="572"/>
      <c r="F5" s="330"/>
      <c r="G5" s="509" t="s">
        <v>35</v>
      </c>
      <c r="H5" s="510">
        <f ca="1">TODAY()</f>
        <v>45931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  <c r="S5" s="19"/>
      <c r="T5" s="19"/>
      <c r="U5" s="19"/>
    </row>
    <row r="6" spans="1:22" x14ac:dyDescent="0.3">
      <c r="A6" s="332" t="s">
        <v>7</v>
      </c>
      <c r="B6" s="333" t="s">
        <v>8</v>
      </c>
      <c r="C6" s="334" t="s">
        <v>9</v>
      </c>
      <c r="D6" s="335" t="s">
        <v>10</v>
      </c>
      <c r="E6" s="335" t="s">
        <v>11</v>
      </c>
      <c r="F6" s="336" t="s">
        <v>12</v>
      </c>
      <c r="G6" s="333" t="s">
        <v>13</v>
      </c>
      <c r="H6" s="337" t="s">
        <v>14</v>
      </c>
      <c r="I6" s="338" t="s">
        <v>57</v>
      </c>
      <c r="J6" s="337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361">
        <v>1</v>
      </c>
      <c r="B7" s="342">
        <v>18844</v>
      </c>
      <c r="C7" s="350" t="s">
        <v>294</v>
      </c>
      <c r="D7" s="340" t="s">
        <v>16</v>
      </c>
      <c r="E7" s="327" t="str">
        <f>IF(ISNUMBER(FIND("TE",I7)),"TE",IF(ISNUMBER(FIND("MCC",I7)),"MCC",IF(ISNUMBER(FIND("MC",I7)),"MC","MA")))</f>
        <v>MA</v>
      </c>
      <c r="F7" s="346">
        <v>27676</v>
      </c>
      <c r="G7" s="347"/>
      <c r="H7" s="348" t="s">
        <v>334</v>
      </c>
      <c r="I7" s="345"/>
      <c r="J7" s="368" t="str">
        <f t="shared" ref="J7" ca="1" si="0">IF(K7="","",IF(K7&gt;29,"DISP.IDADE",""))</f>
        <v>DISP.IDADE</v>
      </c>
      <c r="K7" s="329">
        <f t="shared" ref="K7" ca="1" si="1">IF(F7="","",INT((TODAY()-F7)/365.25))</f>
        <v>49</v>
      </c>
      <c r="L7" s="93" t="s">
        <v>305</v>
      </c>
      <c r="M7" s="373" t="s">
        <v>314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>
        <v>14981407858</v>
      </c>
    </row>
    <row r="8" spans="1:22" s="513" customFormat="1" ht="20.100000000000001" customHeight="1" x14ac:dyDescent="0.25">
      <c r="A8" s="361">
        <v>2</v>
      </c>
      <c r="B8" s="259">
        <v>18903</v>
      </c>
      <c r="C8" s="271" t="s">
        <v>445</v>
      </c>
      <c r="D8" s="266" t="s">
        <v>17</v>
      </c>
      <c r="E8" s="266" t="str">
        <f>IF(COUNTIF(I8,"*MC*")=1,"MC",IF(COUNTIF(I8,"*NCOM*")=1,"NCOM",IF(C8="","","MA")))</f>
        <v>MA</v>
      </c>
      <c r="F8" s="269">
        <v>29004</v>
      </c>
      <c r="G8" s="266"/>
      <c r="H8" s="271"/>
      <c r="I8" s="271"/>
      <c r="J8" s="368" t="str">
        <f t="shared" ref="J8:J36" ca="1" si="2">IF(K8="","",IF(K8&gt;29,"DISP.IDADE",""))</f>
        <v>DISP.IDADE</v>
      </c>
      <c r="K8" s="329">
        <f t="shared" ref="K8:K36" ca="1" si="3">IF(F8="","",INT((TODAY()-F8)/365.25))</f>
        <v>46</v>
      </c>
      <c r="L8" s="93" t="s">
        <v>305</v>
      </c>
      <c r="M8" s="373" t="s">
        <v>314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266"/>
    </row>
    <row r="9" spans="1:22" s="513" customFormat="1" ht="20.100000000000001" customHeight="1" x14ac:dyDescent="0.25">
      <c r="A9" s="361">
        <v>3</v>
      </c>
      <c r="B9" s="342">
        <v>15909</v>
      </c>
      <c r="C9" s="350" t="s">
        <v>280</v>
      </c>
      <c r="D9" s="340" t="s">
        <v>16</v>
      </c>
      <c r="E9" s="327" t="str">
        <f>IF(ISNUMBER(FIND("TE",I9)),"TE",IF(ISNUMBER(FIND("MCC",I9)),"MCC",IF(ISNUMBER(FIND("MC",I9)),"MC","MA")))</f>
        <v>MC</v>
      </c>
      <c r="F9" s="346">
        <v>30299</v>
      </c>
      <c r="G9" s="340" t="s">
        <v>281</v>
      </c>
      <c r="H9" s="348" t="s">
        <v>357</v>
      </c>
      <c r="I9" s="375" t="s">
        <v>584</v>
      </c>
      <c r="J9" s="368" t="str">
        <f t="shared" ca="1" si="2"/>
        <v>DISP.IDADE</v>
      </c>
      <c r="K9" s="329">
        <f t="shared" ca="1" si="3"/>
        <v>42</v>
      </c>
      <c r="L9" s="93" t="s">
        <v>305</v>
      </c>
      <c r="M9" s="373" t="s">
        <v>314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2">
        <v>595488651</v>
      </c>
    </row>
    <row r="10" spans="1:22" s="513" customFormat="1" ht="20.100000000000001" customHeight="1" x14ac:dyDescent="0.25">
      <c r="A10" s="361">
        <v>4</v>
      </c>
      <c r="B10" s="342">
        <v>18910</v>
      </c>
      <c r="C10" s="350" t="s">
        <v>454</v>
      </c>
      <c r="D10" s="340" t="s">
        <v>17</v>
      </c>
      <c r="E10" s="328" t="str">
        <f>IF(COUNTIF(I10,"*MC*")=1,"MC",IF(COUNTIF(I10,"*NCOM*")=1,"NCOM",IF(C10="","","MA")))</f>
        <v>MA</v>
      </c>
      <c r="F10" s="346">
        <v>40311</v>
      </c>
      <c r="G10" s="340">
        <v>1111887470</v>
      </c>
      <c r="H10" s="348"/>
      <c r="I10" s="345"/>
      <c r="J10" s="368" t="str">
        <f t="shared" ca="1" si="2"/>
        <v/>
      </c>
      <c r="K10" s="329">
        <f t="shared" ca="1" si="3"/>
        <v>15</v>
      </c>
      <c r="L10" s="93" t="s">
        <v>305</v>
      </c>
      <c r="M10" s="373" t="s">
        <v>314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2"/>
    </row>
    <row r="11" spans="1:22" s="513" customFormat="1" ht="20.100000000000001" customHeight="1" x14ac:dyDescent="0.25">
      <c r="A11" s="361">
        <v>5</v>
      </c>
      <c r="B11" s="342">
        <v>15109</v>
      </c>
      <c r="C11" s="340" t="s">
        <v>53</v>
      </c>
      <c r="D11" s="340" t="s">
        <v>17</v>
      </c>
      <c r="E11" s="327" t="str">
        <f>IF(ISNUMBER(FIND("TE",I11)),"TE",IF(ISNUMBER(FIND("MCC",I11)),"MCC",IF(ISNUMBER(FIND("MC",I11)),"MC","MA")))</f>
        <v>MC</v>
      </c>
      <c r="F11" s="346">
        <v>20529</v>
      </c>
      <c r="G11" s="347" t="s">
        <v>54</v>
      </c>
      <c r="H11" s="350" t="s">
        <v>55</v>
      </c>
      <c r="I11" s="375" t="s">
        <v>456</v>
      </c>
      <c r="J11" s="368" t="str">
        <f t="shared" ca="1" si="2"/>
        <v>DISP.IDADE</v>
      </c>
      <c r="K11" s="329">
        <f t="shared" ca="1" si="3"/>
        <v>69</v>
      </c>
      <c r="L11" s="93" t="s">
        <v>305</v>
      </c>
      <c r="M11" s="373" t="s">
        <v>314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 t="s">
        <v>386</v>
      </c>
      <c r="U11" s="517" t="s">
        <v>387</v>
      </c>
      <c r="V11" s="452" t="s">
        <v>337</v>
      </c>
    </row>
    <row r="12" spans="1:22" s="513" customFormat="1" ht="20.100000000000001" customHeight="1" x14ac:dyDescent="0.25">
      <c r="A12" s="361">
        <v>6</v>
      </c>
      <c r="B12" s="342">
        <v>16431</v>
      </c>
      <c r="C12" s="350" t="s">
        <v>214</v>
      </c>
      <c r="D12" s="343" t="s">
        <v>17</v>
      </c>
      <c r="E12" s="327" t="str">
        <f>IF(ISNUMBER(FIND("TE",I12)),"TE",IF(ISNUMBER(FIND("MCC",I12)),"MCC",IF(ISNUMBER(FIND("MC",I12)),"MC","MA")))</f>
        <v>MA</v>
      </c>
      <c r="F12" s="344">
        <v>25052</v>
      </c>
      <c r="G12" s="352"/>
      <c r="H12" s="341" t="s">
        <v>215</v>
      </c>
      <c r="I12" s="345"/>
      <c r="J12" s="368" t="str">
        <f t="shared" ca="1" si="2"/>
        <v>DISP.IDADE</v>
      </c>
      <c r="K12" s="329">
        <f t="shared" ca="1" si="3"/>
        <v>57</v>
      </c>
      <c r="L12" s="93" t="s">
        <v>305</v>
      </c>
      <c r="M12" s="373" t="s">
        <v>314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2">
        <v>27383355865</v>
      </c>
    </row>
    <row r="13" spans="1:22" s="513" customFormat="1" ht="20.100000000000001" customHeight="1" x14ac:dyDescent="0.25">
      <c r="A13" s="361">
        <v>7</v>
      </c>
      <c r="B13" s="342">
        <v>16682</v>
      </c>
      <c r="C13" s="350" t="s">
        <v>252</v>
      </c>
      <c r="D13" s="340" t="s">
        <v>16</v>
      </c>
      <c r="E13" s="327" t="str">
        <f>IF(ISNUMBER(FIND("TE",I13)),"TE",IF(ISNUMBER(FIND("MCC",I13)),"MCC",IF(ISNUMBER(FIND("MC",I13)),"MC","MA")))</f>
        <v>MA</v>
      </c>
      <c r="F13" s="346">
        <v>19436</v>
      </c>
      <c r="G13" s="347" t="s">
        <v>253</v>
      </c>
      <c r="H13" s="350">
        <v>19716916</v>
      </c>
      <c r="I13" s="345"/>
      <c r="J13" s="368" t="str">
        <f t="shared" ca="1" si="2"/>
        <v>DISP.IDADE</v>
      </c>
      <c r="K13" s="329">
        <f t="shared" ca="1" si="3"/>
        <v>72</v>
      </c>
      <c r="L13" s="93" t="s">
        <v>305</v>
      </c>
      <c r="M13" s="373" t="s">
        <v>314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2">
        <v>21589931890</v>
      </c>
    </row>
    <row r="14" spans="1:22" s="513" customFormat="1" ht="20.100000000000001" customHeight="1" x14ac:dyDescent="0.25">
      <c r="A14" s="361">
        <v>8</v>
      </c>
      <c r="B14" s="342">
        <v>18899</v>
      </c>
      <c r="C14" s="350" t="s">
        <v>405</v>
      </c>
      <c r="D14" s="340" t="s">
        <v>16</v>
      </c>
      <c r="E14" s="328" t="str">
        <f>IF(COUNTIF(I14,"*MC*")=1,"MC",IF(COUNTIF(I14,"*NCOM*")=1,"NCOM",IF(C14="","","MA")))</f>
        <v>MA</v>
      </c>
      <c r="F14" s="346">
        <v>17179</v>
      </c>
      <c r="G14" s="340"/>
      <c r="H14" s="348" t="s">
        <v>406</v>
      </c>
      <c r="I14" s="345"/>
      <c r="J14" s="368" t="str">
        <f t="shared" ca="1" si="2"/>
        <v>DISP.IDADE</v>
      </c>
      <c r="K14" s="329">
        <f t="shared" ca="1" si="3"/>
        <v>78</v>
      </c>
      <c r="L14" s="93" t="s">
        <v>305</v>
      </c>
      <c r="M14" s="373" t="s">
        <v>314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49" t="s">
        <v>407</v>
      </c>
    </row>
    <row r="15" spans="1:22" s="513" customFormat="1" ht="20.100000000000001" customHeight="1" x14ac:dyDescent="0.25">
      <c r="A15" s="361">
        <v>9</v>
      </c>
      <c r="B15" s="342">
        <v>18539</v>
      </c>
      <c r="C15" s="350" t="s">
        <v>234</v>
      </c>
      <c r="D15" s="340" t="s">
        <v>16</v>
      </c>
      <c r="E15" s="327" t="str">
        <f>IF(ISNUMBER(FIND("TE",I15)),"TE",IF(ISNUMBER(FIND("MCC",I15)),"MCC",IF(ISNUMBER(FIND("MC",I15)),"MC","MA")))</f>
        <v>MA</v>
      </c>
      <c r="F15" s="346">
        <v>17784</v>
      </c>
      <c r="G15" s="352"/>
      <c r="H15" s="348" t="s">
        <v>235</v>
      </c>
      <c r="I15" s="345"/>
      <c r="J15" s="368" t="str">
        <f t="shared" ca="1" si="2"/>
        <v>DISP.IDADE</v>
      </c>
      <c r="K15" s="329">
        <f t="shared" ca="1" si="3"/>
        <v>77</v>
      </c>
      <c r="L15" s="93" t="s">
        <v>305</v>
      </c>
      <c r="M15" s="373" t="s">
        <v>314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452">
        <v>8950632802</v>
      </c>
    </row>
    <row r="16" spans="1:22" s="513" customFormat="1" ht="20.100000000000001" customHeight="1" x14ac:dyDescent="0.25">
      <c r="A16" s="361">
        <v>10</v>
      </c>
      <c r="B16" s="342">
        <v>18923</v>
      </c>
      <c r="C16" s="350" t="s">
        <v>420</v>
      </c>
      <c r="D16" s="340" t="s">
        <v>16</v>
      </c>
      <c r="E16" s="327" t="str">
        <f>IF(COUNTIF(I16,"*MC*")=1,"MC",IF(COUNTIF(I16,"*NCOM*")=1,"NCOM",IF(C16="","","MA")))</f>
        <v>MC</v>
      </c>
      <c r="F16" s="346">
        <v>29923</v>
      </c>
      <c r="G16" s="340"/>
      <c r="H16" s="348">
        <v>372470282</v>
      </c>
      <c r="I16" s="345" t="s">
        <v>584</v>
      </c>
      <c r="J16" s="368" t="str">
        <f t="shared" ca="1" si="2"/>
        <v>DISP.IDADE</v>
      </c>
      <c r="K16" s="329">
        <f t="shared" ca="1" si="3"/>
        <v>43</v>
      </c>
      <c r="L16" s="93" t="s">
        <v>305</v>
      </c>
      <c r="M16" s="373" t="s">
        <v>314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52"/>
    </row>
    <row r="17" spans="1:22" s="513" customFormat="1" ht="20.100000000000001" customHeight="1" x14ac:dyDescent="0.25">
      <c r="A17" s="361">
        <v>11</v>
      </c>
      <c r="B17" s="342">
        <v>10330</v>
      </c>
      <c r="C17" s="350" t="s">
        <v>432</v>
      </c>
      <c r="D17" s="340" t="s">
        <v>16</v>
      </c>
      <c r="E17" s="327" t="str">
        <f>IF(COUNTIF(I17,"*MC*")=1,"MC",IF(COUNTIF(I17,"*NCOM*")=1,"NCOM",IF(C17="","","MA")))</f>
        <v>MA</v>
      </c>
      <c r="F17" s="346">
        <v>37324</v>
      </c>
      <c r="G17" s="340"/>
      <c r="H17" s="348" t="s">
        <v>433</v>
      </c>
      <c r="I17" s="345"/>
      <c r="J17" s="368" t="str">
        <f t="shared" ca="1" si="2"/>
        <v/>
      </c>
      <c r="K17" s="329">
        <f t="shared" ca="1" si="3"/>
        <v>23</v>
      </c>
      <c r="L17" s="93" t="s">
        <v>305</v>
      </c>
      <c r="M17" s="373" t="s">
        <v>314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452"/>
    </row>
    <row r="18" spans="1:22" s="513" customFormat="1" ht="20.100000000000001" customHeight="1" x14ac:dyDescent="0.25">
      <c r="A18" s="361">
        <v>12</v>
      </c>
      <c r="B18" s="342">
        <v>18745</v>
      </c>
      <c r="C18" s="341" t="s">
        <v>262</v>
      </c>
      <c r="D18" s="343" t="s">
        <v>16</v>
      </c>
      <c r="E18" s="327" t="str">
        <f>IF(ISNUMBER(FIND("TE",I18)),"TE",IF(ISNUMBER(FIND("MCC",I18)),"MCC",IF(ISNUMBER(FIND("MC",I18)),"MC","MA")))</f>
        <v>MA</v>
      </c>
      <c r="F18" s="344">
        <v>20637</v>
      </c>
      <c r="G18" s="352"/>
      <c r="H18" s="341" t="s">
        <v>263</v>
      </c>
      <c r="I18" s="345"/>
      <c r="J18" s="368" t="str">
        <f t="shared" ca="1" si="2"/>
        <v>DISP.IDADE</v>
      </c>
      <c r="K18" s="329">
        <f t="shared" ca="1" si="3"/>
        <v>69</v>
      </c>
      <c r="L18" s="93" t="s">
        <v>305</v>
      </c>
      <c r="M18" s="373" t="s">
        <v>314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/>
    </row>
    <row r="19" spans="1:22" s="513" customFormat="1" ht="20.100000000000001" customHeight="1" x14ac:dyDescent="0.25">
      <c r="A19" s="361">
        <v>13</v>
      </c>
      <c r="B19" s="342">
        <v>18947</v>
      </c>
      <c r="C19" s="341" t="s">
        <v>492</v>
      </c>
      <c r="D19" s="343" t="s">
        <v>16</v>
      </c>
      <c r="E19" s="327" t="str">
        <f t="shared" ref="E19:E36" si="4">IF(COUNTIF(I19,"*MC*")=1,"MC",IF(COUNTIF(I19,"*NCOM*")=1,"NCOM",IF(C19="","","MA")))</f>
        <v>MA</v>
      </c>
      <c r="F19" s="344">
        <v>24739</v>
      </c>
      <c r="G19" s="352"/>
      <c r="H19" s="341" t="s">
        <v>493</v>
      </c>
      <c r="I19" s="345"/>
      <c r="J19" s="368" t="str">
        <f t="shared" ca="1" si="2"/>
        <v>DISP.IDADE</v>
      </c>
      <c r="K19" s="329">
        <f t="shared" ca="1" si="3"/>
        <v>58</v>
      </c>
      <c r="L19" s="93" t="s">
        <v>305</v>
      </c>
      <c r="M19" s="373" t="s">
        <v>314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>
        <v>42970539500</v>
      </c>
    </row>
    <row r="20" spans="1:22" s="513" customFormat="1" ht="20.100000000000001" customHeight="1" x14ac:dyDescent="0.25">
      <c r="A20" s="361">
        <v>14</v>
      </c>
      <c r="B20" s="342"/>
      <c r="C20" s="350"/>
      <c r="D20" s="340"/>
      <c r="E20" s="327" t="str">
        <f t="shared" si="4"/>
        <v/>
      </c>
      <c r="F20" s="346"/>
      <c r="G20" s="340"/>
      <c r="H20" s="348"/>
      <c r="I20" s="345"/>
      <c r="J20" s="368" t="str">
        <f t="shared" ca="1" si="2"/>
        <v/>
      </c>
      <c r="K20" s="329" t="str">
        <f t="shared" ca="1" si="3"/>
        <v/>
      </c>
      <c r="L20" s="93" t="s">
        <v>305</v>
      </c>
      <c r="M20" s="373" t="s">
        <v>314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93"/>
      <c r="U20" s="93"/>
      <c r="V20" s="452"/>
    </row>
    <row r="21" spans="1:22" s="513" customFormat="1" ht="20.100000000000001" customHeight="1" x14ac:dyDescent="0.25">
      <c r="A21" s="361">
        <v>15</v>
      </c>
      <c r="B21" s="342"/>
      <c r="C21" s="350"/>
      <c r="D21" s="340"/>
      <c r="E21" s="327" t="str">
        <f t="shared" si="4"/>
        <v/>
      </c>
      <c r="F21" s="346"/>
      <c r="G21" s="340"/>
      <c r="H21" s="348"/>
      <c r="I21" s="345"/>
      <c r="J21" s="368" t="str">
        <f t="shared" ca="1" si="2"/>
        <v/>
      </c>
      <c r="K21" s="329" t="str">
        <f t="shared" ca="1" si="3"/>
        <v/>
      </c>
      <c r="L21" s="93" t="s">
        <v>305</v>
      </c>
      <c r="M21" s="373" t="s">
        <v>314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93"/>
      <c r="U21" s="93"/>
      <c r="V21" s="452"/>
    </row>
    <row r="22" spans="1:22" s="513" customFormat="1" ht="20.100000000000001" customHeight="1" x14ac:dyDescent="0.25">
      <c r="A22" s="361">
        <v>16</v>
      </c>
      <c r="B22" s="342"/>
      <c r="C22" s="350"/>
      <c r="D22" s="340"/>
      <c r="E22" s="328" t="str">
        <f t="shared" si="4"/>
        <v/>
      </c>
      <c r="F22" s="346"/>
      <c r="G22" s="340"/>
      <c r="H22" s="348"/>
      <c r="I22" s="345"/>
      <c r="J22" s="368" t="str">
        <f t="shared" ca="1" si="2"/>
        <v/>
      </c>
      <c r="K22" s="329" t="str">
        <f t="shared" ca="1" si="3"/>
        <v/>
      </c>
      <c r="L22" s="93" t="s">
        <v>305</v>
      </c>
      <c r="M22" s="373" t="s">
        <v>314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452"/>
      <c r="U22" s="452"/>
      <c r="V22" s="452"/>
    </row>
    <row r="23" spans="1:22" s="513" customFormat="1" ht="20.100000000000001" customHeight="1" x14ac:dyDescent="0.25">
      <c r="A23" s="361">
        <v>17</v>
      </c>
      <c r="B23" s="342"/>
      <c r="C23" s="350"/>
      <c r="D23" s="340"/>
      <c r="E23" s="327" t="str">
        <f t="shared" si="4"/>
        <v/>
      </c>
      <c r="F23" s="346"/>
      <c r="G23" s="340"/>
      <c r="H23" s="348"/>
      <c r="I23" s="345"/>
      <c r="J23" s="368" t="str">
        <f t="shared" ca="1" si="2"/>
        <v/>
      </c>
      <c r="K23" s="329" t="str">
        <f t="shared" ca="1" si="3"/>
        <v/>
      </c>
      <c r="L23" s="93" t="s">
        <v>305</v>
      </c>
      <c r="M23" s="373" t="s">
        <v>314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452"/>
      <c r="U23" s="452"/>
      <c r="V23" s="452"/>
    </row>
    <row r="24" spans="1:22" s="513" customFormat="1" ht="20.100000000000001" customHeight="1" x14ac:dyDescent="0.25">
      <c r="A24" s="361">
        <v>18</v>
      </c>
      <c r="B24" s="342"/>
      <c r="C24" s="350"/>
      <c r="D24" s="340"/>
      <c r="E24" s="327" t="str">
        <f t="shared" si="4"/>
        <v/>
      </c>
      <c r="F24" s="346"/>
      <c r="G24" s="340"/>
      <c r="H24" s="348"/>
      <c r="I24" s="345"/>
      <c r="J24" s="368" t="str">
        <f t="shared" ca="1" si="2"/>
        <v/>
      </c>
      <c r="K24" s="329" t="str">
        <f t="shared" ca="1" si="3"/>
        <v/>
      </c>
      <c r="L24" s="93" t="s">
        <v>305</v>
      </c>
      <c r="M24" s="373" t="s">
        <v>314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452"/>
      <c r="U24" s="452"/>
      <c r="V24" s="452"/>
    </row>
    <row r="25" spans="1:22" s="513" customFormat="1" ht="20.100000000000001" customHeight="1" x14ac:dyDescent="0.25">
      <c r="A25" s="361">
        <v>19</v>
      </c>
      <c r="B25" s="342"/>
      <c r="C25" s="350"/>
      <c r="D25" s="340"/>
      <c r="E25" s="328" t="str">
        <f t="shared" si="4"/>
        <v/>
      </c>
      <c r="F25" s="346"/>
      <c r="G25" s="340"/>
      <c r="H25" s="348"/>
      <c r="I25" s="345"/>
      <c r="J25" s="368" t="str">
        <f t="shared" ca="1" si="2"/>
        <v/>
      </c>
      <c r="K25" s="329" t="str">
        <f t="shared" ca="1" si="3"/>
        <v/>
      </c>
      <c r="L25" s="93" t="s">
        <v>305</v>
      </c>
      <c r="M25" s="373" t="s">
        <v>314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452"/>
      <c r="U25" s="452"/>
      <c r="V25" s="452"/>
    </row>
    <row r="26" spans="1:22" s="513" customFormat="1" ht="20.100000000000001" customHeight="1" x14ac:dyDescent="0.25">
      <c r="A26" s="361">
        <v>20</v>
      </c>
      <c r="B26" s="342"/>
      <c r="C26" s="350"/>
      <c r="D26" s="340"/>
      <c r="E26" s="327" t="str">
        <f t="shared" si="4"/>
        <v/>
      </c>
      <c r="F26" s="346"/>
      <c r="G26" s="340"/>
      <c r="H26" s="348"/>
      <c r="I26" s="345"/>
      <c r="J26" s="368" t="str">
        <f t="shared" ca="1" si="2"/>
        <v/>
      </c>
      <c r="K26" s="329" t="str">
        <f t="shared" ca="1" si="3"/>
        <v/>
      </c>
      <c r="L26" s="93" t="s">
        <v>305</v>
      </c>
      <c r="M26" s="373" t="s">
        <v>314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452"/>
      <c r="U26" s="452"/>
      <c r="V26" s="452"/>
    </row>
    <row r="27" spans="1:22" s="513" customFormat="1" ht="20.100000000000001" customHeight="1" x14ac:dyDescent="0.25">
      <c r="A27" s="361">
        <v>21</v>
      </c>
      <c r="B27" s="342"/>
      <c r="C27" s="350"/>
      <c r="D27" s="340"/>
      <c r="E27" s="327" t="str">
        <f t="shared" si="4"/>
        <v/>
      </c>
      <c r="F27" s="346"/>
      <c r="G27" s="340"/>
      <c r="H27" s="348"/>
      <c r="I27" s="345"/>
      <c r="J27" s="368" t="str">
        <f t="shared" ca="1" si="2"/>
        <v/>
      </c>
      <c r="K27" s="329" t="str">
        <f t="shared" ca="1" si="3"/>
        <v/>
      </c>
      <c r="L27" s="93" t="s">
        <v>305</v>
      </c>
      <c r="M27" s="373" t="s">
        <v>314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452"/>
      <c r="U27" s="452"/>
      <c r="V27" s="452"/>
    </row>
    <row r="28" spans="1:22" s="513" customFormat="1" ht="20.100000000000001" customHeight="1" x14ac:dyDescent="0.25">
      <c r="A28" s="361">
        <v>22</v>
      </c>
      <c r="B28" s="342"/>
      <c r="C28" s="350"/>
      <c r="D28" s="340"/>
      <c r="E28" s="328" t="str">
        <f t="shared" si="4"/>
        <v/>
      </c>
      <c r="F28" s="346"/>
      <c r="G28" s="340"/>
      <c r="H28" s="348"/>
      <c r="I28" s="345"/>
      <c r="J28" s="368" t="str">
        <f t="shared" ca="1" si="2"/>
        <v/>
      </c>
      <c r="K28" s="329" t="str">
        <f t="shared" ca="1" si="3"/>
        <v/>
      </c>
      <c r="L28" s="93" t="s">
        <v>305</v>
      </c>
      <c r="M28" s="373" t="s">
        <v>314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452"/>
      <c r="U28" s="452"/>
      <c r="V28" s="452"/>
    </row>
    <row r="29" spans="1:22" s="513" customFormat="1" ht="20.100000000000001" customHeight="1" x14ac:dyDescent="0.25">
      <c r="A29" s="361">
        <v>23</v>
      </c>
      <c r="B29" s="342"/>
      <c r="C29" s="350"/>
      <c r="D29" s="340"/>
      <c r="E29" s="327" t="str">
        <f t="shared" si="4"/>
        <v/>
      </c>
      <c r="F29" s="346"/>
      <c r="G29" s="340"/>
      <c r="H29" s="348"/>
      <c r="I29" s="345"/>
      <c r="J29" s="368" t="str">
        <f t="shared" ca="1" si="2"/>
        <v/>
      </c>
      <c r="K29" s="329" t="str">
        <f t="shared" ca="1" si="3"/>
        <v/>
      </c>
      <c r="L29" s="93" t="s">
        <v>305</v>
      </c>
      <c r="M29" s="373" t="s">
        <v>314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452"/>
      <c r="U29" s="452"/>
      <c r="V29" s="452"/>
    </row>
    <row r="30" spans="1:22" s="513" customFormat="1" ht="20.100000000000001" customHeight="1" x14ac:dyDescent="0.25">
      <c r="A30" s="361">
        <v>24</v>
      </c>
      <c r="B30" s="342"/>
      <c r="C30" s="350"/>
      <c r="D30" s="340"/>
      <c r="E30" s="327" t="str">
        <f t="shared" si="4"/>
        <v/>
      </c>
      <c r="F30" s="346"/>
      <c r="G30" s="340"/>
      <c r="H30" s="348"/>
      <c r="I30" s="345"/>
      <c r="J30" s="368" t="str">
        <f t="shared" ca="1" si="2"/>
        <v/>
      </c>
      <c r="K30" s="329" t="str">
        <f t="shared" ca="1" si="3"/>
        <v/>
      </c>
      <c r="L30" s="93" t="s">
        <v>305</v>
      </c>
      <c r="M30" s="373" t="s">
        <v>314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452"/>
      <c r="U30" s="452"/>
      <c r="V30" s="452"/>
    </row>
    <row r="31" spans="1:22" s="513" customFormat="1" ht="20.100000000000001" customHeight="1" x14ac:dyDescent="0.25">
      <c r="A31" s="361">
        <v>25</v>
      </c>
      <c r="B31" s="342"/>
      <c r="C31" s="350"/>
      <c r="D31" s="340"/>
      <c r="E31" s="328" t="str">
        <f t="shared" si="4"/>
        <v/>
      </c>
      <c r="F31" s="346"/>
      <c r="G31" s="340"/>
      <c r="H31" s="348"/>
      <c r="I31" s="345"/>
      <c r="J31" s="368" t="str">
        <f t="shared" ca="1" si="2"/>
        <v/>
      </c>
      <c r="K31" s="329" t="str">
        <f t="shared" ca="1" si="3"/>
        <v/>
      </c>
      <c r="L31" s="93" t="s">
        <v>305</v>
      </c>
      <c r="M31" s="373" t="s">
        <v>314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452"/>
      <c r="U31" s="452"/>
      <c r="V31" s="452"/>
    </row>
    <row r="32" spans="1:22" s="513" customFormat="1" ht="20.100000000000001" customHeight="1" x14ac:dyDescent="0.25">
      <c r="A32" s="361">
        <v>26</v>
      </c>
      <c r="B32" s="342"/>
      <c r="C32" s="350"/>
      <c r="D32" s="340"/>
      <c r="E32" s="327" t="str">
        <f t="shared" si="4"/>
        <v/>
      </c>
      <c r="F32" s="346"/>
      <c r="G32" s="340"/>
      <c r="H32" s="348"/>
      <c r="I32" s="345"/>
      <c r="J32" s="368" t="str">
        <f t="shared" ca="1" si="2"/>
        <v/>
      </c>
      <c r="K32" s="329" t="str">
        <f t="shared" ca="1" si="3"/>
        <v/>
      </c>
      <c r="L32" s="93" t="s">
        <v>305</v>
      </c>
      <c r="M32" s="373" t="s">
        <v>314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452"/>
      <c r="U32" s="452"/>
      <c r="V32" s="452"/>
    </row>
    <row r="33" spans="1:22" s="513" customFormat="1" ht="20.100000000000001" customHeight="1" x14ac:dyDescent="0.25">
      <c r="A33" s="361">
        <v>27</v>
      </c>
      <c r="B33" s="342"/>
      <c r="C33" s="350"/>
      <c r="D33" s="340"/>
      <c r="E33" s="327" t="str">
        <f t="shared" si="4"/>
        <v/>
      </c>
      <c r="F33" s="346"/>
      <c r="G33" s="340"/>
      <c r="H33" s="348"/>
      <c r="I33" s="345"/>
      <c r="J33" s="368" t="str">
        <f t="shared" ca="1" si="2"/>
        <v/>
      </c>
      <c r="K33" s="329" t="str">
        <f t="shared" ca="1" si="3"/>
        <v/>
      </c>
      <c r="L33" s="93" t="s">
        <v>305</v>
      </c>
      <c r="M33" s="373" t="s">
        <v>314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452"/>
      <c r="U33" s="452"/>
      <c r="V33" s="452"/>
    </row>
    <row r="34" spans="1:22" s="513" customFormat="1" ht="20.100000000000001" customHeight="1" x14ac:dyDescent="0.25">
      <c r="A34" s="361">
        <v>28</v>
      </c>
      <c r="B34" s="342"/>
      <c r="C34" s="350"/>
      <c r="D34" s="340"/>
      <c r="E34" s="328" t="str">
        <f t="shared" si="4"/>
        <v/>
      </c>
      <c r="F34" s="346"/>
      <c r="G34" s="340"/>
      <c r="H34" s="348"/>
      <c r="I34" s="345"/>
      <c r="J34" s="368" t="str">
        <f t="shared" ca="1" si="2"/>
        <v/>
      </c>
      <c r="K34" s="329" t="str">
        <f t="shared" ca="1" si="3"/>
        <v/>
      </c>
      <c r="L34" s="93" t="s">
        <v>305</v>
      </c>
      <c r="M34" s="373" t="s">
        <v>314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452"/>
      <c r="U34" s="452"/>
      <c r="V34" s="452"/>
    </row>
    <row r="35" spans="1:22" s="513" customFormat="1" ht="20.100000000000001" customHeight="1" x14ac:dyDescent="0.25">
      <c r="A35" s="361">
        <v>29</v>
      </c>
      <c r="B35" s="342"/>
      <c r="C35" s="350"/>
      <c r="D35" s="340"/>
      <c r="E35" s="327" t="str">
        <f t="shared" si="4"/>
        <v/>
      </c>
      <c r="F35" s="346"/>
      <c r="G35" s="340"/>
      <c r="H35" s="348"/>
      <c r="I35" s="345"/>
      <c r="J35" s="368" t="str">
        <f t="shared" ca="1" si="2"/>
        <v/>
      </c>
      <c r="K35" s="329" t="str">
        <f t="shared" ca="1" si="3"/>
        <v/>
      </c>
      <c r="L35" s="93" t="s">
        <v>305</v>
      </c>
      <c r="M35" s="373" t="s">
        <v>314</v>
      </c>
      <c r="N35" s="452" t="s">
        <v>26</v>
      </c>
      <c r="O35" s="452" t="s">
        <v>26</v>
      </c>
      <c r="P35" s="452" t="s">
        <v>26</v>
      </c>
      <c r="Q35" s="452" t="s">
        <v>26</v>
      </c>
      <c r="R35" s="452" t="s">
        <v>26</v>
      </c>
      <c r="S35" s="452" t="s">
        <v>26</v>
      </c>
      <c r="T35" s="452"/>
      <c r="U35" s="452"/>
      <c r="V35" s="452"/>
    </row>
    <row r="36" spans="1:22" s="513" customFormat="1" ht="20.100000000000001" customHeight="1" x14ac:dyDescent="0.25">
      <c r="A36" s="361">
        <v>30</v>
      </c>
      <c r="B36" s="342"/>
      <c r="C36" s="350"/>
      <c r="D36" s="340"/>
      <c r="E36" s="327" t="str">
        <f t="shared" si="4"/>
        <v/>
      </c>
      <c r="F36" s="346"/>
      <c r="G36" s="340"/>
      <c r="H36" s="348"/>
      <c r="I36" s="345"/>
      <c r="J36" s="368" t="str">
        <f t="shared" ca="1" si="2"/>
        <v/>
      </c>
      <c r="K36" s="329" t="str">
        <f t="shared" ca="1" si="3"/>
        <v/>
      </c>
      <c r="L36" s="93" t="s">
        <v>305</v>
      </c>
      <c r="M36" s="373" t="s">
        <v>314</v>
      </c>
      <c r="N36" s="452" t="s">
        <v>26</v>
      </c>
      <c r="O36" s="452" t="s">
        <v>26</v>
      </c>
      <c r="P36" s="452" t="s">
        <v>26</v>
      </c>
      <c r="Q36" s="452" t="s">
        <v>26</v>
      </c>
      <c r="R36" s="452" t="s">
        <v>26</v>
      </c>
      <c r="S36" s="452" t="s">
        <v>26</v>
      </c>
      <c r="T36" s="452"/>
      <c r="U36" s="452"/>
      <c r="V36" s="452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22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22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22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22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22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22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22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spans="1:22" x14ac:dyDescent="0.3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</row>
  </sheetData>
  <sheetProtection formatCells="0" selectLockedCells="1"/>
  <autoFilter ref="A6:J36">
    <sortState ref="A7:J59">
      <sortCondition ref="C6"/>
    </sortState>
  </autoFilter>
  <sortState ref="B7:V18">
    <sortCondition ref="C7:C18"/>
  </sortState>
  <mergeCells count="6">
    <mergeCell ref="C1:H1"/>
    <mergeCell ref="C2:H2"/>
    <mergeCell ref="C3:H3"/>
    <mergeCell ref="C4:H4"/>
    <mergeCell ref="A5:C5"/>
    <mergeCell ref="D5:E5"/>
  </mergeCells>
  <conditionalFormatting sqref="A6:H6 J6:K6 E7:E8 I13:I16 I20:I36 A7:A17 A20:A36 J7:J36">
    <cfRule type="expression" dxfId="2470" priority="1854">
      <formula>$E6="MC"</formula>
    </cfRule>
  </conditionalFormatting>
  <conditionalFormatting sqref="B23:D23 F23:H23">
    <cfRule type="expression" dxfId="2469" priority="1825">
      <formula>$E23="MC"</formula>
    </cfRule>
  </conditionalFormatting>
  <conditionalFormatting sqref="B24:D24 F24:H24">
    <cfRule type="expression" dxfId="2468" priority="1824">
      <formula>$E24="MC"</formula>
    </cfRule>
  </conditionalFormatting>
  <conditionalFormatting sqref="B28:D28 F28:H28">
    <cfRule type="expression" dxfId="2467" priority="1820">
      <formula>$E28="MC"</formula>
    </cfRule>
  </conditionalFormatting>
  <conditionalFormatting sqref="B29:D29 F29:H29">
    <cfRule type="expression" dxfId="2466" priority="1819">
      <formula>$E29="MC"</formula>
    </cfRule>
  </conditionalFormatting>
  <conditionalFormatting sqref="B30:D30 F30:H30">
    <cfRule type="expression" dxfId="2465" priority="1818">
      <formula>$E30="MC"</formula>
    </cfRule>
  </conditionalFormatting>
  <conditionalFormatting sqref="B31:D31 F31:H31">
    <cfRule type="expression" dxfId="2464" priority="1817">
      <formula>$E31="MC"</formula>
    </cfRule>
  </conditionalFormatting>
  <conditionalFormatting sqref="B13:D13 F13:H13">
    <cfRule type="expression" dxfId="2463" priority="1835">
      <formula>$E13="MC"</formula>
    </cfRule>
  </conditionalFormatting>
  <conditionalFormatting sqref="B14:D14 F14:H14">
    <cfRule type="expression" dxfId="2462" priority="1834">
      <formula>$E14="MC"</formula>
    </cfRule>
  </conditionalFormatting>
  <conditionalFormatting sqref="B15:D15 F15:H15">
    <cfRule type="expression" dxfId="2461" priority="1833">
      <formula>$E15="MC"</formula>
    </cfRule>
  </conditionalFormatting>
  <conditionalFormatting sqref="B16:D16 F16:H16">
    <cfRule type="expression" dxfId="2460" priority="1832">
      <formula>$E16="MC"</formula>
    </cfRule>
  </conditionalFormatting>
  <conditionalFormatting sqref="B25:D25 F25:H25">
    <cfRule type="expression" dxfId="2459" priority="1823">
      <formula>$E25="MC"</formula>
    </cfRule>
  </conditionalFormatting>
  <conditionalFormatting sqref="B20:D20 F20:H20">
    <cfRule type="expression" dxfId="2458" priority="1828">
      <formula>$E20="MC"</formula>
    </cfRule>
  </conditionalFormatting>
  <conditionalFormatting sqref="B21:D21 F21:H21">
    <cfRule type="expression" dxfId="2457" priority="1827">
      <formula>$E21="MC"</formula>
    </cfRule>
  </conditionalFormatting>
  <conditionalFormatting sqref="B22:D22 F22:H22">
    <cfRule type="expression" dxfId="2456" priority="1826">
      <formula>$E22="MC"</formula>
    </cfRule>
  </conditionalFormatting>
  <conditionalFormatting sqref="B26:D26 F26:H26">
    <cfRule type="expression" dxfId="2455" priority="1822">
      <formula>$E26="MC"</formula>
    </cfRule>
  </conditionalFormatting>
  <conditionalFormatting sqref="B27:D27 F27:H27">
    <cfRule type="expression" dxfId="2454" priority="1821">
      <formula>$E27="MC"</formula>
    </cfRule>
  </conditionalFormatting>
  <conditionalFormatting sqref="B32:D32 F32:H32">
    <cfRule type="expression" dxfId="2453" priority="1816">
      <formula>$E32="MC"</formula>
    </cfRule>
  </conditionalFormatting>
  <conditionalFormatting sqref="B33:D33 F33:H33">
    <cfRule type="expression" dxfId="2452" priority="1815">
      <formula>$E33="MC"</formula>
    </cfRule>
  </conditionalFormatting>
  <conditionalFormatting sqref="B34:D34 F34:H34">
    <cfRule type="expression" dxfId="2451" priority="1814">
      <formula>$E34="MC"</formula>
    </cfRule>
  </conditionalFormatting>
  <conditionalFormatting sqref="B35:D35 F35:H35">
    <cfRule type="expression" dxfId="2450" priority="1813">
      <formula>$E35="MC"</formula>
    </cfRule>
  </conditionalFormatting>
  <conditionalFormatting sqref="B36:D36 F36:H36">
    <cfRule type="expression" dxfId="2449" priority="1812">
      <formula>$E36="MC"</formula>
    </cfRule>
  </conditionalFormatting>
  <conditionalFormatting sqref="M4:M5 M7:M36">
    <cfRule type="cellIs" dxfId="2448" priority="1793" operator="equal">
      <formula>3</formula>
    </cfRule>
    <cfRule type="cellIs" dxfId="2447" priority="1794" operator="equal">
      <formula>2</formula>
    </cfRule>
    <cfRule type="cellIs" dxfId="2446" priority="1795" operator="equal">
      <formula>1</formula>
    </cfRule>
  </conditionalFormatting>
  <conditionalFormatting sqref="K48:K1048576 K1:K36">
    <cfRule type="cellIs" dxfId="2445" priority="1579" operator="lessThan">
      <formula>18</formula>
    </cfRule>
  </conditionalFormatting>
  <conditionalFormatting sqref="I6">
    <cfRule type="expression" dxfId="2444" priority="729">
      <formula>$E6="MC"</formula>
    </cfRule>
  </conditionalFormatting>
  <conditionalFormatting sqref="A5">
    <cfRule type="expression" dxfId="2443" priority="41478">
      <formula>$D5="MC"</formula>
    </cfRule>
  </conditionalFormatting>
  <conditionalFormatting sqref="G8">
    <cfRule type="expression" dxfId="2442" priority="172">
      <formula>$E8="MC"</formula>
    </cfRule>
  </conditionalFormatting>
  <conditionalFormatting sqref="H8">
    <cfRule type="expression" dxfId="2441" priority="170">
      <formula>$E8="MC"</formula>
    </cfRule>
  </conditionalFormatting>
  <conditionalFormatting sqref="B8:D8">
    <cfRule type="expression" dxfId="2440" priority="169">
      <formula>$E8="MC"</formula>
    </cfRule>
  </conditionalFormatting>
  <conditionalFormatting sqref="F8">
    <cfRule type="expression" dxfId="2439" priority="171">
      <formula>$E8="MC"</formula>
    </cfRule>
  </conditionalFormatting>
  <conditionalFormatting sqref="E13 E16 E22 E25 E28 E31 E34">
    <cfRule type="expression" dxfId="2438" priority="117">
      <formula>$E13="MC"</formula>
    </cfRule>
  </conditionalFormatting>
  <conditionalFormatting sqref="E14:E15 E20:E21 E23:E24 E26:E27 E29:E30 E32:E33 E35:E36">
    <cfRule type="expression" dxfId="2437" priority="116">
      <formula>$E14="MC"</formula>
    </cfRule>
  </conditionalFormatting>
  <conditionalFormatting sqref="F7:H7">
    <cfRule type="expression" dxfId="2436" priority="105">
      <formula>$E7="MC"</formula>
    </cfRule>
  </conditionalFormatting>
  <conditionalFormatting sqref="B7:D7">
    <cfRule type="expression" dxfId="2435" priority="104">
      <formula>$E7="MC"</formula>
    </cfRule>
  </conditionalFormatting>
  <conditionalFormatting sqref="M6">
    <cfRule type="cellIs" dxfId="2434" priority="72" operator="equal">
      <formula>3</formula>
    </cfRule>
    <cfRule type="cellIs" dxfId="2433" priority="73" operator="equal">
      <formula>2</formula>
    </cfRule>
    <cfRule type="cellIs" dxfId="2432" priority="74" operator="equal">
      <formula>1</formula>
    </cfRule>
  </conditionalFormatting>
  <conditionalFormatting sqref="T6">
    <cfRule type="expression" dxfId="2431" priority="68">
      <formula>FIND("RETIDO",T6)</formula>
    </cfRule>
  </conditionalFormatting>
  <conditionalFormatting sqref="E9:E12">
    <cfRule type="expression" dxfId="2430" priority="56">
      <formula>$E9="MC"</formula>
    </cfRule>
  </conditionalFormatting>
  <conditionalFormatting sqref="B11:D11 F11:H11">
    <cfRule type="expression" dxfId="2429" priority="55">
      <formula>$E11="MC"</formula>
    </cfRule>
  </conditionalFormatting>
  <conditionalFormatting sqref="B12:D12 F12:H12">
    <cfRule type="expression" dxfId="2428" priority="54">
      <formula>$E12="MC"</formula>
    </cfRule>
  </conditionalFormatting>
  <conditionalFormatting sqref="C9:D9">
    <cfRule type="expression" dxfId="2427" priority="44">
      <formula>$E9="MC"</formula>
    </cfRule>
  </conditionalFormatting>
  <conditionalFormatting sqref="G10">
    <cfRule type="expression" dxfId="2426" priority="49">
      <formula>$E10="MC"</formula>
    </cfRule>
  </conditionalFormatting>
  <conditionalFormatting sqref="F10">
    <cfRule type="expression" dxfId="2425" priority="48">
      <formula>$E10="MC"</formula>
    </cfRule>
  </conditionalFormatting>
  <conditionalFormatting sqref="H10">
    <cfRule type="expression" dxfId="2424" priority="47">
      <formula>$E10="MC"</formula>
    </cfRule>
  </conditionalFormatting>
  <conditionalFormatting sqref="B10:D10">
    <cfRule type="expression" dxfId="2423" priority="46">
      <formula>$E10="MC"</formula>
    </cfRule>
  </conditionalFormatting>
  <conditionalFormatting sqref="B9">
    <cfRule type="expression" dxfId="2422" priority="45">
      <formula>$E9="MC"</formula>
    </cfRule>
  </conditionalFormatting>
  <conditionalFormatting sqref="H9">
    <cfRule type="expression" dxfId="2421" priority="43">
      <formula>$E9="MC"</formula>
    </cfRule>
  </conditionalFormatting>
  <conditionalFormatting sqref="F9:G9">
    <cfRule type="expression" dxfId="2420" priority="42">
      <formula>$E9="MC"</formula>
    </cfRule>
  </conditionalFormatting>
  <conditionalFormatting sqref="I7">
    <cfRule type="expression" dxfId="2419" priority="39">
      <formula>$E7="MC"</formula>
    </cfRule>
  </conditionalFormatting>
  <conditionalFormatting sqref="I8">
    <cfRule type="expression" dxfId="2418" priority="38">
      <formula>$E8="MC"</formula>
    </cfRule>
  </conditionalFormatting>
  <conditionalFormatting sqref="E18">
    <cfRule type="expression" dxfId="2417" priority="16">
      <formula>$E18="MC"</formula>
    </cfRule>
  </conditionalFormatting>
  <conditionalFormatting sqref="B18:D18 F18:H18">
    <cfRule type="expression" dxfId="2416" priority="11">
      <formula>$E18="MC"</formula>
    </cfRule>
  </conditionalFormatting>
  <conditionalFormatting sqref="E19">
    <cfRule type="expression" dxfId="2415" priority="9">
      <formula>$E19="MC"</formula>
    </cfRule>
  </conditionalFormatting>
  <conditionalFormatting sqref="B19:D19 F19:H19">
    <cfRule type="expression" dxfId="2414" priority="4">
      <formula>$E19="MC"</formula>
    </cfRule>
  </conditionalFormatting>
  <dataValidations count="4">
    <dataValidation type="date" allowBlank="1" showInputMessage="1" showErrorMessage="1" errorTitle="Data Invalida" error="Favor inserir uma data válida no formato: XX/XX/XXXX" promptTitle="Insira uma Data" prompt="_x000a_Favor inserir uma data válida no formato: XX/XX/XXXX" sqref="F8 F13:F16 F18:F36">
      <formula1>1</formula1>
      <formula2>2958465</formula2>
    </dataValidation>
    <dataValidation type="date" allowBlank="1" showInputMessage="1" showErrorMessage="1" errorTitle="Data inválida" error="Você deve inserir uma data no formato XX/XX/XXXX" promptTitle="Insira uma Data:" prompt="Favor inserir uma data válida no formato: XX/XX/XXXX" sqref="F11:F12 F7">
      <formula1>1</formula1>
      <formula2>2958465</formula2>
    </dataValidation>
    <dataValidation type="date" allowBlank="1" showInputMessage="1" showErrorMessage="1" errorTitle="Data Invalida" error="Você deve inserir uma data no formato XX/XX/XXXX" promptTitle="Insira uma data" prompt="Favor inserir uma data válida no formato: XX/XX/XXXX" sqref="F9:F10">
      <formula1>1</formula1>
      <formula2>2958465</formula2>
    </dataValidation>
    <dataValidation type="list" allowBlank="1" showInputMessage="1" showErrorMessage="1" sqref="T7:T19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74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" id="{F12D7118-6C05-4B93-84C9-E0A710817F11}">
            <xm:f>'[LISTA PILOTO - EJA - 1º SEM - 2025.xlsx]2ª'!#REF!="MC"</xm:f>
            <x14:dxf>
              <font>
                <b/>
                <i val="0"/>
                <color rgb="FFFF0000"/>
              </font>
            </x14:dxf>
          </x14:cfRule>
          <xm:sqref>A18</xm:sqref>
        </x14:conditionalFormatting>
        <x14:conditionalFormatting xmlns:xm="http://schemas.microsoft.com/office/excel/2006/main">
          <x14:cfRule type="expression" priority="10" id="{483991E0-4E82-4E92-A407-C0C7E7D474F9}">
            <xm:f>'[LISTA PILOTO - EJA - 1º SEM - 2025.xlsx]2ª'!#REF!="MC"</xm:f>
            <x14:dxf>
              <font>
                <b/>
                <i val="0"/>
                <color rgb="FFFF0000"/>
              </font>
            </x14:dxf>
          </x14:cfRule>
          <xm:sqref>A19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CC33"/>
  </sheetPr>
  <dimension ref="A1:V45"/>
  <sheetViews>
    <sheetView view="pageBreakPreview" zoomScale="70" zoomScaleNormal="100" zoomScaleSheetLayoutView="70" workbookViewId="0">
      <pane xSplit="3" ySplit="5" topLeftCell="D6" activePane="bottomRight" state="frozen"/>
      <selection sqref="A1:XFD1048576"/>
      <selection pane="topRight" sqref="A1:XFD1048576"/>
      <selection pane="bottomLeft" sqref="A1:XFD1048576"/>
      <selection pane="bottomRight" activeCell="A11" sqref="A11:XFD11"/>
    </sheetView>
  </sheetViews>
  <sheetFormatPr defaultRowHeight="17.25" x14ac:dyDescent="0.3"/>
  <cols>
    <col min="1" max="1" width="3.7109375" style="273" customWidth="1"/>
    <col min="2" max="2" width="7.7109375" style="273" customWidth="1"/>
    <col min="3" max="3" width="40.7109375" style="514" customWidth="1"/>
    <col min="4" max="4" width="3.7109375" style="258" customWidth="1"/>
    <col min="5" max="5" width="4.7109375" style="258" customWidth="1"/>
    <col min="6" max="6" width="14.7109375" style="274" customWidth="1"/>
    <col min="7" max="7" width="14.7109375" style="273" customWidth="1"/>
    <col min="8" max="8" width="12.7109375" style="275" customWidth="1"/>
    <col min="9" max="9" width="23.28515625" style="514" customWidth="1"/>
    <col min="10" max="10" width="16.28515625" style="255" customWidth="1"/>
    <col min="11" max="11" width="7.85546875" style="291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0" width="9.140625" style="258"/>
    <col min="21" max="21" width="12.140625" style="258" customWidth="1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68" t="s">
        <v>0</v>
      </c>
      <c r="D1" s="568"/>
      <c r="E1" s="568"/>
      <c r="F1" s="568"/>
      <c r="G1" s="568"/>
      <c r="H1" s="568"/>
      <c r="I1" s="255"/>
      <c r="J1" s="255"/>
      <c r="K1" s="254"/>
      <c r="L1" s="19"/>
    </row>
    <row r="2" spans="1:22" s="273" customFormat="1" x14ac:dyDescent="0.25">
      <c r="A2" s="254"/>
      <c r="B2" s="254"/>
      <c r="C2" s="568" t="s">
        <v>1</v>
      </c>
      <c r="D2" s="568"/>
      <c r="E2" s="568"/>
      <c r="F2" s="568"/>
      <c r="G2" s="568"/>
      <c r="H2" s="568"/>
      <c r="I2" s="505"/>
      <c r="J2" s="505"/>
      <c r="K2" s="505"/>
      <c r="L2" s="19"/>
    </row>
    <row r="3" spans="1:22" s="273" customFormat="1" x14ac:dyDescent="0.25">
      <c r="A3" s="254"/>
      <c r="B3" s="254"/>
      <c r="C3" s="568" t="s">
        <v>2</v>
      </c>
      <c r="D3" s="568"/>
      <c r="E3" s="568"/>
      <c r="F3" s="568"/>
      <c r="G3" s="568"/>
      <c r="H3" s="568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68" t="s">
        <v>362</v>
      </c>
      <c r="D4" s="568"/>
      <c r="E4" s="568"/>
      <c r="F4" s="568"/>
      <c r="G4" s="568"/>
      <c r="H4" s="568"/>
      <c r="I4" s="505"/>
      <c r="J4" s="505"/>
      <c r="K4" s="505"/>
      <c r="L4" s="19"/>
      <c r="M4" s="256"/>
    </row>
    <row r="5" spans="1:22" ht="18" thickBot="1" x14ac:dyDescent="0.35">
      <c r="A5" s="569" t="s">
        <v>22</v>
      </c>
      <c r="B5" s="570"/>
      <c r="C5" s="570"/>
      <c r="D5" s="571" t="s">
        <v>44</v>
      </c>
      <c r="E5" s="572"/>
      <c r="F5" s="330"/>
      <c r="G5" s="509" t="s">
        <v>35</v>
      </c>
      <c r="H5" s="510">
        <f ca="1">TODAY()</f>
        <v>45931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  <c r="S5" s="19"/>
      <c r="T5" s="19"/>
      <c r="U5" s="19"/>
    </row>
    <row r="6" spans="1:22" x14ac:dyDescent="0.3">
      <c r="A6" s="332" t="s">
        <v>7</v>
      </c>
      <c r="B6" s="333" t="s">
        <v>8</v>
      </c>
      <c r="C6" s="334" t="s">
        <v>9</v>
      </c>
      <c r="D6" s="335" t="s">
        <v>10</v>
      </c>
      <c r="E6" s="335" t="s">
        <v>11</v>
      </c>
      <c r="F6" s="336" t="s">
        <v>12</v>
      </c>
      <c r="G6" s="333" t="s">
        <v>13</v>
      </c>
      <c r="H6" s="337" t="s">
        <v>14</v>
      </c>
      <c r="I6" s="338" t="s">
        <v>57</v>
      </c>
      <c r="J6" s="337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361">
        <v>1</v>
      </c>
      <c r="B7" s="342">
        <v>18834</v>
      </c>
      <c r="C7" s="350" t="s">
        <v>290</v>
      </c>
      <c r="D7" s="340" t="s">
        <v>16</v>
      </c>
      <c r="E7" s="327" t="str">
        <f>IF(ISNUMBER(FIND("TE",I7)),"TE",IF(ISNUMBER(FIND("MCC",I7)),"MCC",IF(ISNUMBER(FIND("MC",I7)),"MC","MA")))</f>
        <v>MA</v>
      </c>
      <c r="F7" s="346">
        <v>29038</v>
      </c>
      <c r="G7" s="347"/>
      <c r="H7" s="350" t="s">
        <v>357</v>
      </c>
      <c r="I7" s="345"/>
      <c r="J7" s="368" t="str">
        <f t="shared" ref="J7" ca="1" si="0">IF(K7="","",IF(K7&gt;29,"DISP.IDADE",""))</f>
        <v>DISP.IDADE</v>
      </c>
      <c r="K7" s="329">
        <f t="shared" ref="K7" ca="1" si="1">IF(F7="","",INT((TODAY()-F7)/365.25))</f>
        <v>46</v>
      </c>
      <c r="L7" s="93" t="s">
        <v>305</v>
      </c>
      <c r="M7" s="373" t="s">
        <v>26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>
        <v>29402264825</v>
      </c>
    </row>
    <row r="8" spans="1:22" s="513" customFormat="1" ht="20.100000000000001" customHeight="1" x14ac:dyDescent="0.25">
      <c r="A8" s="361">
        <v>2</v>
      </c>
      <c r="B8" s="342">
        <v>18147</v>
      </c>
      <c r="C8" s="350" t="s">
        <v>83</v>
      </c>
      <c r="D8" s="340" t="s">
        <v>17</v>
      </c>
      <c r="E8" s="327" t="str">
        <f>IF(ISNUMBER(FIND("TE",I8)),"TE",IF(ISNUMBER(FIND("MCC",I8)),"MCC",IF(ISNUMBER(FIND("MC",I8)),"MC","MA")))</f>
        <v>MA</v>
      </c>
      <c r="F8" s="346">
        <v>28241</v>
      </c>
      <c r="G8" s="347"/>
      <c r="H8" s="347" t="s">
        <v>108</v>
      </c>
      <c r="I8" s="345"/>
      <c r="J8" s="368" t="str">
        <f t="shared" ref="J8:J35" ca="1" si="2">IF(K8="","",IF(K8&gt;29,"DISP.IDADE",""))</f>
        <v>DISP.IDADE</v>
      </c>
      <c r="K8" s="329">
        <f t="shared" ref="K8:K35" ca="1" si="3">IF(F8="","",INT((TODAY()-F8)/365.25))</f>
        <v>48</v>
      </c>
      <c r="L8" s="93" t="s">
        <v>305</v>
      </c>
      <c r="M8" s="373" t="s">
        <v>26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452">
        <v>30730034879</v>
      </c>
    </row>
    <row r="9" spans="1:22" s="513" customFormat="1" ht="20.100000000000001" customHeight="1" x14ac:dyDescent="0.25">
      <c r="A9" s="361">
        <v>3</v>
      </c>
      <c r="B9" s="342">
        <v>18902</v>
      </c>
      <c r="C9" s="350" t="s">
        <v>400</v>
      </c>
      <c r="D9" s="340" t="s">
        <v>16</v>
      </c>
      <c r="E9" s="327" t="str">
        <f>IF(COUNTIF(I9,"*MC*")=1,"MC",IF(COUNTIF(I9,"*NCOM*")=1,"NCOM",IF(C9="","","MA")))</f>
        <v>MA</v>
      </c>
      <c r="F9" s="346">
        <v>22352</v>
      </c>
      <c r="G9" s="340"/>
      <c r="H9" s="348" t="s">
        <v>401</v>
      </c>
      <c r="I9" s="345"/>
      <c r="J9" s="368" t="str">
        <f t="shared" ca="1" si="2"/>
        <v>DISP.IDADE</v>
      </c>
      <c r="K9" s="329">
        <f t="shared" ca="1" si="3"/>
        <v>64</v>
      </c>
      <c r="L9" s="93" t="s">
        <v>305</v>
      </c>
      <c r="M9" s="373" t="s">
        <v>26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49" t="s">
        <v>402</v>
      </c>
    </row>
    <row r="10" spans="1:22" s="513" customFormat="1" ht="20.100000000000001" customHeight="1" x14ac:dyDescent="0.25">
      <c r="A10" s="361">
        <v>4</v>
      </c>
      <c r="B10" s="342">
        <v>17641</v>
      </c>
      <c r="C10" s="350" t="s">
        <v>254</v>
      </c>
      <c r="D10" s="340" t="s">
        <v>16</v>
      </c>
      <c r="E10" s="327" t="str">
        <f>IF(ISNUMBER(FIND("TE",I10)),"TE",IF(ISNUMBER(FIND("MCC",I10)),"MCC",IF(ISNUMBER(FIND("MC",I10)),"MC","MA")))</f>
        <v>MA</v>
      </c>
      <c r="F10" s="346">
        <v>26744</v>
      </c>
      <c r="G10" s="347"/>
      <c r="H10" s="350" t="s">
        <v>336</v>
      </c>
      <c r="I10" s="345"/>
      <c r="J10" s="368" t="str">
        <f t="shared" ca="1" si="2"/>
        <v>DISP.IDADE</v>
      </c>
      <c r="K10" s="329">
        <f t="shared" ca="1" si="3"/>
        <v>52</v>
      </c>
      <c r="L10" s="93" t="s">
        <v>305</v>
      </c>
      <c r="M10" s="373" t="s">
        <v>26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2">
        <v>385745813</v>
      </c>
    </row>
    <row r="11" spans="1:22" s="513" customFormat="1" ht="20.100000000000001" customHeight="1" x14ac:dyDescent="0.25">
      <c r="A11" s="361">
        <v>5</v>
      </c>
      <c r="B11" s="342">
        <v>18314</v>
      </c>
      <c r="C11" s="350" t="s">
        <v>255</v>
      </c>
      <c r="D11" s="340" t="s">
        <v>16</v>
      </c>
      <c r="E11" s="327" t="str">
        <f>IF(ISNUMBER(FIND("TE",I11)),"TE",IF(ISNUMBER(FIND("MCC",I11)),"MCC",IF(ISNUMBER(FIND("MC",I11)),"MC","MA")))</f>
        <v>MC</v>
      </c>
      <c r="F11" s="346">
        <v>20988</v>
      </c>
      <c r="G11" s="347" t="s">
        <v>256</v>
      </c>
      <c r="H11" s="348">
        <v>14124550</v>
      </c>
      <c r="I11" s="345" t="s">
        <v>497</v>
      </c>
      <c r="J11" s="368" t="str">
        <f t="shared" ca="1" si="2"/>
        <v>DISP.IDADE</v>
      </c>
      <c r="K11" s="329">
        <f t="shared" ca="1" si="3"/>
        <v>68</v>
      </c>
      <c r="L11" s="93" t="s">
        <v>305</v>
      </c>
      <c r="M11" s="373" t="s">
        <v>26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 t="s">
        <v>386</v>
      </c>
      <c r="U11" s="517" t="s">
        <v>567</v>
      </c>
      <c r="V11" s="452">
        <v>28889017813</v>
      </c>
    </row>
    <row r="12" spans="1:22" s="513" customFormat="1" ht="20.100000000000001" customHeight="1" x14ac:dyDescent="0.25">
      <c r="A12" s="361">
        <v>6</v>
      </c>
      <c r="B12" s="342">
        <v>18943</v>
      </c>
      <c r="C12" s="350" t="s">
        <v>471</v>
      </c>
      <c r="D12" s="340" t="s">
        <v>17</v>
      </c>
      <c r="E12" s="327" t="str">
        <f t="shared" ref="E12:E35" si="4">IF(COUNTIF(I12,"*MC*")=1,"MC",IF(COUNTIF(I12,"*NCOM*")=1,"NCOM",IF(C12="","","MA")))</f>
        <v>MA</v>
      </c>
      <c r="F12" s="346">
        <v>40052</v>
      </c>
      <c r="G12" s="340" t="s">
        <v>472</v>
      </c>
      <c r="H12" s="348"/>
      <c r="I12" s="345"/>
      <c r="J12" s="368" t="str">
        <f t="shared" ca="1" si="2"/>
        <v/>
      </c>
      <c r="K12" s="329">
        <f t="shared" ca="1" si="3"/>
        <v>16</v>
      </c>
      <c r="L12" s="93" t="s">
        <v>305</v>
      </c>
      <c r="M12" s="373" t="s">
        <v>26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2"/>
    </row>
    <row r="13" spans="1:22" s="513" customFormat="1" ht="20.100000000000001" customHeight="1" x14ac:dyDescent="0.25">
      <c r="A13" s="361">
        <v>7</v>
      </c>
      <c r="B13" s="342">
        <v>18961</v>
      </c>
      <c r="C13" s="350" t="s">
        <v>528</v>
      </c>
      <c r="D13" s="340" t="s">
        <v>17</v>
      </c>
      <c r="E13" s="328" t="str">
        <f t="shared" si="4"/>
        <v>MA</v>
      </c>
      <c r="F13" s="346">
        <v>22955</v>
      </c>
      <c r="G13" s="340"/>
      <c r="H13" s="348" t="s">
        <v>529</v>
      </c>
      <c r="I13" s="345" t="s">
        <v>504</v>
      </c>
      <c r="J13" s="368" t="str">
        <f t="shared" ca="1" si="2"/>
        <v>DISP.IDADE</v>
      </c>
      <c r="K13" s="329">
        <f t="shared" ca="1" si="3"/>
        <v>62</v>
      </c>
      <c r="L13" s="93" t="s">
        <v>305</v>
      </c>
      <c r="M13" s="373" t="s">
        <v>26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2" t="s">
        <v>530</v>
      </c>
    </row>
    <row r="14" spans="1:22" s="513" customFormat="1" ht="20.100000000000001" customHeight="1" x14ac:dyDescent="0.25">
      <c r="A14" s="361">
        <v>8</v>
      </c>
      <c r="B14" s="342">
        <v>18971</v>
      </c>
      <c r="C14" s="350" t="s">
        <v>562</v>
      </c>
      <c r="D14" s="340" t="s">
        <v>16</v>
      </c>
      <c r="E14" s="327" t="str">
        <f t="shared" si="4"/>
        <v>MA</v>
      </c>
      <c r="F14" s="346">
        <v>25270</v>
      </c>
      <c r="G14" s="340"/>
      <c r="H14" s="348" t="s">
        <v>563</v>
      </c>
      <c r="I14" s="345" t="s">
        <v>541</v>
      </c>
      <c r="J14" s="368" t="str">
        <f t="shared" ca="1" si="2"/>
        <v>DISP.IDADE</v>
      </c>
      <c r="K14" s="329">
        <f t="shared" ca="1" si="3"/>
        <v>56</v>
      </c>
      <c r="L14" s="93" t="s">
        <v>305</v>
      </c>
      <c r="M14" s="373" t="s">
        <v>26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52" t="s">
        <v>564</v>
      </c>
    </row>
    <row r="15" spans="1:22" s="513" customFormat="1" ht="20.100000000000001" customHeight="1" x14ac:dyDescent="0.25">
      <c r="A15" s="361">
        <v>9</v>
      </c>
      <c r="B15" s="342"/>
      <c r="C15" s="350"/>
      <c r="D15" s="342"/>
      <c r="E15" s="350"/>
      <c r="F15" s="504"/>
      <c r="G15" s="350"/>
      <c r="H15" s="340"/>
      <c r="I15" s="327"/>
      <c r="J15" s="368" t="str">
        <f t="shared" ca="1" si="2"/>
        <v/>
      </c>
      <c r="K15" s="329" t="str">
        <f t="shared" ca="1" si="3"/>
        <v/>
      </c>
      <c r="L15" s="93" t="s">
        <v>305</v>
      </c>
      <c r="M15" s="373" t="s">
        <v>26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452"/>
    </row>
    <row r="16" spans="1:22" s="513" customFormat="1" ht="20.100000000000001" customHeight="1" x14ac:dyDescent="0.25">
      <c r="A16" s="361">
        <v>10</v>
      </c>
      <c r="B16" s="343"/>
      <c r="C16" s="341"/>
      <c r="D16" s="343"/>
      <c r="E16" s="328" t="str">
        <f t="shared" si="4"/>
        <v/>
      </c>
      <c r="F16" s="344"/>
      <c r="G16" s="343"/>
      <c r="H16" s="341"/>
      <c r="I16" s="341"/>
      <c r="J16" s="368" t="str">
        <f t="shared" ca="1" si="2"/>
        <v/>
      </c>
      <c r="K16" s="329" t="str">
        <f t="shared" ca="1" si="3"/>
        <v/>
      </c>
      <c r="L16" s="93" t="s">
        <v>305</v>
      </c>
      <c r="M16" s="373" t="s">
        <v>26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52"/>
    </row>
    <row r="17" spans="1:22" s="513" customFormat="1" ht="20.100000000000001" customHeight="1" x14ac:dyDescent="0.25">
      <c r="A17" s="361">
        <v>11</v>
      </c>
      <c r="B17" s="343"/>
      <c r="C17" s="341"/>
      <c r="D17" s="343"/>
      <c r="E17" s="327" t="str">
        <f t="shared" si="4"/>
        <v/>
      </c>
      <c r="F17" s="344"/>
      <c r="G17" s="343"/>
      <c r="H17" s="341"/>
      <c r="I17" s="341"/>
      <c r="J17" s="368" t="str">
        <f t="shared" ca="1" si="2"/>
        <v/>
      </c>
      <c r="K17" s="329" t="str">
        <f t="shared" ca="1" si="3"/>
        <v/>
      </c>
      <c r="L17" s="93" t="s">
        <v>305</v>
      </c>
      <c r="M17" s="373" t="s">
        <v>26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452"/>
    </row>
    <row r="18" spans="1:22" s="513" customFormat="1" ht="20.100000000000001" customHeight="1" x14ac:dyDescent="0.25">
      <c r="A18" s="361">
        <v>12</v>
      </c>
      <c r="B18" s="343"/>
      <c r="C18" s="341"/>
      <c r="D18" s="343"/>
      <c r="E18" s="327" t="str">
        <f t="shared" si="4"/>
        <v/>
      </c>
      <c r="F18" s="344"/>
      <c r="G18" s="343"/>
      <c r="H18" s="341"/>
      <c r="I18" s="341"/>
      <c r="J18" s="368" t="str">
        <f t="shared" ca="1" si="2"/>
        <v/>
      </c>
      <c r="K18" s="329" t="str">
        <f t="shared" ca="1" si="3"/>
        <v/>
      </c>
      <c r="L18" s="93" t="s">
        <v>305</v>
      </c>
      <c r="M18" s="373" t="s">
        <v>26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/>
    </row>
    <row r="19" spans="1:22" s="513" customFormat="1" ht="20.100000000000001" customHeight="1" x14ac:dyDescent="0.25">
      <c r="A19" s="361">
        <v>13</v>
      </c>
      <c r="B19" s="343"/>
      <c r="C19" s="341"/>
      <c r="D19" s="343"/>
      <c r="E19" s="328" t="str">
        <f t="shared" si="4"/>
        <v/>
      </c>
      <c r="F19" s="344"/>
      <c r="G19" s="343"/>
      <c r="H19" s="341"/>
      <c r="I19" s="341"/>
      <c r="J19" s="368" t="str">
        <f t="shared" ca="1" si="2"/>
        <v/>
      </c>
      <c r="K19" s="329" t="str">
        <f t="shared" ca="1" si="3"/>
        <v/>
      </c>
      <c r="L19" s="93" t="s">
        <v>305</v>
      </c>
      <c r="M19" s="373" t="s">
        <v>26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/>
    </row>
    <row r="20" spans="1:22" s="513" customFormat="1" ht="20.100000000000001" customHeight="1" x14ac:dyDescent="0.25">
      <c r="A20" s="361">
        <v>14</v>
      </c>
      <c r="B20" s="343"/>
      <c r="C20" s="341"/>
      <c r="D20" s="343"/>
      <c r="E20" s="327" t="str">
        <f t="shared" si="4"/>
        <v/>
      </c>
      <c r="F20" s="344"/>
      <c r="G20" s="343"/>
      <c r="H20" s="341"/>
      <c r="I20" s="341"/>
      <c r="J20" s="368" t="str">
        <f t="shared" ca="1" si="2"/>
        <v/>
      </c>
      <c r="K20" s="329" t="str">
        <f t="shared" ca="1" si="3"/>
        <v/>
      </c>
      <c r="L20" s="93" t="s">
        <v>305</v>
      </c>
      <c r="M20" s="373" t="s">
        <v>26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6"/>
      <c r="U20" s="517"/>
      <c r="V20" s="452"/>
    </row>
    <row r="21" spans="1:22" s="513" customFormat="1" ht="20.100000000000001" customHeight="1" x14ac:dyDescent="0.25">
      <c r="A21" s="361">
        <v>15</v>
      </c>
      <c r="B21" s="343"/>
      <c r="C21" s="341"/>
      <c r="D21" s="343"/>
      <c r="E21" s="327" t="str">
        <f t="shared" si="4"/>
        <v/>
      </c>
      <c r="F21" s="344"/>
      <c r="G21" s="343"/>
      <c r="H21" s="341"/>
      <c r="I21" s="341"/>
      <c r="J21" s="368" t="str">
        <f t="shared" ca="1" si="2"/>
        <v/>
      </c>
      <c r="K21" s="329" t="str">
        <f t="shared" ca="1" si="3"/>
        <v/>
      </c>
      <c r="L21" s="93" t="s">
        <v>305</v>
      </c>
      <c r="M21" s="373" t="s">
        <v>26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516"/>
      <c r="U21" s="517"/>
      <c r="V21" s="452"/>
    </row>
    <row r="22" spans="1:22" s="513" customFormat="1" ht="20.100000000000001" customHeight="1" x14ac:dyDescent="0.25">
      <c r="A22" s="361">
        <v>16</v>
      </c>
      <c r="B22" s="343"/>
      <c r="C22" s="341"/>
      <c r="D22" s="343"/>
      <c r="E22" s="328" t="str">
        <f t="shared" si="4"/>
        <v/>
      </c>
      <c r="F22" s="344"/>
      <c r="G22" s="343"/>
      <c r="H22" s="341"/>
      <c r="I22" s="341"/>
      <c r="J22" s="368" t="str">
        <f t="shared" ca="1" si="2"/>
        <v/>
      </c>
      <c r="K22" s="329" t="str">
        <f t="shared" ca="1" si="3"/>
        <v/>
      </c>
      <c r="L22" s="93" t="s">
        <v>305</v>
      </c>
      <c r="M22" s="373" t="s">
        <v>26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516"/>
      <c r="U22" s="517"/>
      <c r="V22" s="452"/>
    </row>
    <row r="23" spans="1:22" s="513" customFormat="1" ht="20.100000000000001" customHeight="1" x14ac:dyDescent="0.25">
      <c r="A23" s="361">
        <v>17</v>
      </c>
      <c r="B23" s="343"/>
      <c r="C23" s="341"/>
      <c r="D23" s="343"/>
      <c r="E23" s="327" t="str">
        <f t="shared" si="4"/>
        <v/>
      </c>
      <c r="F23" s="344"/>
      <c r="G23" s="343"/>
      <c r="H23" s="341"/>
      <c r="I23" s="341"/>
      <c r="J23" s="368" t="str">
        <f t="shared" ca="1" si="2"/>
        <v/>
      </c>
      <c r="K23" s="329" t="str">
        <f t="shared" ca="1" si="3"/>
        <v/>
      </c>
      <c r="L23" s="93" t="s">
        <v>305</v>
      </c>
      <c r="M23" s="373" t="s">
        <v>26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516"/>
      <c r="U23" s="517"/>
      <c r="V23" s="452"/>
    </row>
    <row r="24" spans="1:22" s="513" customFormat="1" ht="20.100000000000001" customHeight="1" x14ac:dyDescent="0.25">
      <c r="A24" s="361">
        <v>18</v>
      </c>
      <c r="B24" s="343"/>
      <c r="C24" s="341"/>
      <c r="D24" s="343"/>
      <c r="E24" s="327" t="str">
        <f t="shared" si="4"/>
        <v/>
      </c>
      <c r="F24" s="344"/>
      <c r="G24" s="343"/>
      <c r="H24" s="341"/>
      <c r="I24" s="341"/>
      <c r="J24" s="368" t="str">
        <f t="shared" ca="1" si="2"/>
        <v/>
      </c>
      <c r="K24" s="329" t="str">
        <f t="shared" ca="1" si="3"/>
        <v/>
      </c>
      <c r="L24" s="93" t="s">
        <v>305</v>
      </c>
      <c r="M24" s="373" t="s">
        <v>26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516"/>
      <c r="U24" s="517"/>
      <c r="V24" s="452"/>
    </row>
    <row r="25" spans="1:22" s="513" customFormat="1" ht="20.100000000000001" customHeight="1" x14ac:dyDescent="0.25">
      <c r="A25" s="361">
        <v>19</v>
      </c>
      <c r="B25" s="343"/>
      <c r="C25" s="341"/>
      <c r="D25" s="343"/>
      <c r="E25" s="328" t="str">
        <f t="shared" si="4"/>
        <v/>
      </c>
      <c r="F25" s="344"/>
      <c r="G25" s="343"/>
      <c r="H25" s="341"/>
      <c r="I25" s="341"/>
      <c r="J25" s="368" t="str">
        <f t="shared" ca="1" si="2"/>
        <v/>
      </c>
      <c r="K25" s="329" t="str">
        <f t="shared" ca="1" si="3"/>
        <v/>
      </c>
      <c r="L25" s="93" t="s">
        <v>305</v>
      </c>
      <c r="M25" s="373" t="s">
        <v>26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516"/>
      <c r="U25" s="517"/>
      <c r="V25" s="452"/>
    </row>
    <row r="26" spans="1:22" s="513" customFormat="1" ht="20.100000000000001" customHeight="1" x14ac:dyDescent="0.25">
      <c r="A26" s="361">
        <v>20</v>
      </c>
      <c r="B26" s="343"/>
      <c r="C26" s="341"/>
      <c r="D26" s="343"/>
      <c r="E26" s="327" t="str">
        <f t="shared" si="4"/>
        <v/>
      </c>
      <c r="F26" s="344"/>
      <c r="G26" s="343"/>
      <c r="H26" s="341"/>
      <c r="I26" s="341"/>
      <c r="J26" s="368" t="str">
        <f t="shared" ca="1" si="2"/>
        <v/>
      </c>
      <c r="K26" s="329" t="str">
        <f t="shared" ca="1" si="3"/>
        <v/>
      </c>
      <c r="L26" s="93" t="s">
        <v>305</v>
      </c>
      <c r="M26" s="373" t="s">
        <v>26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516"/>
      <c r="U26" s="517"/>
      <c r="V26" s="452"/>
    </row>
    <row r="27" spans="1:22" s="513" customFormat="1" ht="20.100000000000001" customHeight="1" x14ac:dyDescent="0.25">
      <c r="A27" s="361">
        <v>21</v>
      </c>
      <c r="B27" s="343"/>
      <c r="C27" s="341"/>
      <c r="D27" s="343"/>
      <c r="E27" s="327" t="str">
        <f t="shared" si="4"/>
        <v/>
      </c>
      <c r="F27" s="344"/>
      <c r="G27" s="343"/>
      <c r="H27" s="341"/>
      <c r="I27" s="341"/>
      <c r="J27" s="368" t="str">
        <f t="shared" ca="1" si="2"/>
        <v/>
      </c>
      <c r="K27" s="329" t="str">
        <f t="shared" ca="1" si="3"/>
        <v/>
      </c>
      <c r="L27" s="93" t="s">
        <v>305</v>
      </c>
      <c r="M27" s="373" t="s">
        <v>26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516"/>
      <c r="U27" s="517"/>
      <c r="V27" s="452"/>
    </row>
    <row r="28" spans="1:22" s="513" customFormat="1" ht="20.100000000000001" customHeight="1" x14ac:dyDescent="0.25">
      <c r="A28" s="361">
        <v>22</v>
      </c>
      <c r="B28" s="343"/>
      <c r="C28" s="341"/>
      <c r="D28" s="343"/>
      <c r="E28" s="328" t="str">
        <f t="shared" si="4"/>
        <v/>
      </c>
      <c r="F28" s="344"/>
      <c r="G28" s="343"/>
      <c r="H28" s="341"/>
      <c r="I28" s="341"/>
      <c r="J28" s="368" t="str">
        <f t="shared" ca="1" si="2"/>
        <v/>
      </c>
      <c r="K28" s="329" t="str">
        <f t="shared" ca="1" si="3"/>
        <v/>
      </c>
      <c r="L28" s="93" t="s">
        <v>305</v>
      </c>
      <c r="M28" s="373" t="s">
        <v>26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516"/>
      <c r="U28" s="517"/>
      <c r="V28" s="452"/>
    </row>
    <row r="29" spans="1:22" s="513" customFormat="1" ht="20.100000000000001" customHeight="1" x14ac:dyDescent="0.25">
      <c r="A29" s="361">
        <v>23</v>
      </c>
      <c r="B29" s="343"/>
      <c r="C29" s="341"/>
      <c r="D29" s="343"/>
      <c r="E29" s="327" t="str">
        <f t="shared" si="4"/>
        <v/>
      </c>
      <c r="F29" s="344"/>
      <c r="G29" s="343"/>
      <c r="H29" s="341"/>
      <c r="I29" s="341"/>
      <c r="J29" s="368" t="str">
        <f t="shared" ca="1" si="2"/>
        <v/>
      </c>
      <c r="K29" s="329" t="str">
        <f t="shared" ca="1" si="3"/>
        <v/>
      </c>
      <c r="L29" s="93" t="s">
        <v>305</v>
      </c>
      <c r="M29" s="373" t="s">
        <v>26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516"/>
      <c r="U29" s="517"/>
      <c r="V29" s="452"/>
    </row>
    <row r="30" spans="1:22" s="513" customFormat="1" ht="20.100000000000001" customHeight="1" x14ac:dyDescent="0.25">
      <c r="A30" s="361">
        <v>24</v>
      </c>
      <c r="B30" s="343"/>
      <c r="C30" s="341"/>
      <c r="D30" s="343"/>
      <c r="E30" s="327" t="str">
        <f t="shared" si="4"/>
        <v/>
      </c>
      <c r="F30" s="344"/>
      <c r="G30" s="343"/>
      <c r="H30" s="341"/>
      <c r="I30" s="341"/>
      <c r="J30" s="368" t="str">
        <f t="shared" ca="1" si="2"/>
        <v/>
      </c>
      <c r="K30" s="329" t="str">
        <f t="shared" ca="1" si="3"/>
        <v/>
      </c>
      <c r="L30" s="93" t="s">
        <v>305</v>
      </c>
      <c r="M30" s="373" t="s">
        <v>26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516"/>
      <c r="U30" s="517"/>
      <c r="V30" s="452"/>
    </row>
    <row r="31" spans="1:22" s="513" customFormat="1" ht="20.100000000000001" customHeight="1" x14ac:dyDescent="0.25">
      <c r="A31" s="361">
        <v>25</v>
      </c>
      <c r="B31" s="343"/>
      <c r="C31" s="341"/>
      <c r="D31" s="343"/>
      <c r="E31" s="328" t="str">
        <f t="shared" si="4"/>
        <v/>
      </c>
      <c r="F31" s="344"/>
      <c r="G31" s="343"/>
      <c r="H31" s="341"/>
      <c r="I31" s="341"/>
      <c r="J31" s="368" t="str">
        <f t="shared" ca="1" si="2"/>
        <v/>
      </c>
      <c r="K31" s="329" t="str">
        <f t="shared" ca="1" si="3"/>
        <v/>
      </c>
      <c r="L31" s="93" t="s">
        <v>305</v>
      </c>
      <c r="M31" s="373" t="s">
        <v>26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516"/>
      <c r="U31" s="517"/>
      <c r="V31" s="452"/>
    </row>
    <row r="32" spans="1:22" s="513" customFormat="1" ht="20.100000000000001" customHeight="1" x14ac:dyDescent="0.25">
      <c r="A32" s="361">
        <v>26</v>
      </c>
      <c r="B32" s="343"/>
      <c r="C32" s="341"/>
      <c r="D32" s="343"/>
      <c r="E32" s="327" t="str">
        <f t="shared" si="4"/>
        <v/>
      </c>
      <c r="F32" s="344"/>
      <c r="G32" s="343"/>
      <c r="H32" s="341"/>
      <c r="I32" s="341"/>
      <c r="J32" s="368" t="str">
        <f t="shared" ca="1" si="2"/>
        <v/>
      </c>
      <c r="K32" s="329" t="str">
        <f t="shared" ca="1" si="3"/>
        <v/>
      </c>
      <c r="L32" s="93" t="s">
        <v>305</v>
      </c>
      <c r="M32" s="373" t="s">
        <v>26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516"/>
      <c r="U32" s="517"/>
      <c r="V32" s="452"/>
    </row>
    <row r="33" spans="1:22" s="513" customFormat="1" ht="20.100000000000001" customHeight="1" x14ac:dyDescent="0.25">
      <c r="A33" s="361">
        <v>27</v>
      </c>
      <c r="B33" s="343"/>
      <c r="C33" s="341"/>
      <c r="D33" s="343"/>
      <c r="E33" s="327" t="str">
        <f t="shared" si="4"/>
        <v/>
      </c>
      <c r="F33" s="344"/>
      <c r="G33" s="343"/>
      <c r="H33" s="341"/>
      <c r="I33" s="341"/>
      <c r="J33" s="368" t="str">
        <f t="shared" ca="1" si="2"/>
        <v/>
      </c>
      <c r="K33" s="329" t="str">
        <f t="shared" ca="1" si="3"/>
        <v/>
      </c>
      <c r="L33" s="93" t="s">
        <v>305</v>
      </c>
      <c r="M33" s="373" t="s">
        <v>26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516"/>
      <c r="U33" s="517"/>
      <c r="V33" s="452"/>
    </row>
    <row r="34" spans="1:22" s="513" customFormat="1" ht="20.100000000000001" customHeight="1" x14ac:dyDescent="0.25">
      <c r="A34" s="361">
        <v>28</v>
      </c>
      <c r="B34" s="343"/>
      <c r="C34" s="341"/>
      <c r="D34" s="343"/>
      <c r="E34" s="328" t="str">
        <f t="shared" si="4"/>
        <v/>
      </c>
      <c r="F34" s="344"/>
      <c r="G34" s="343"/>
      <c r="H34" s="341"/>
      <c r="I34" s="341"/>
      <c r="J34" s="368" t="str">
        <f t="shared" ca="1" si="2"/>
        <v/>
      </c>
      <c r="K34" s="329" t="str">
        <f t="shared" ca="1" si="3"/>
        <v/>
      </c>
      <c r="L34" s="93" t="s">
        <v>305</v>
      </c>
      <c r="M34" s="373" t="s">
        <v>26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516"/>
      <c r="U34" s="517"/>
      <c r="V34" s="452"/>
    </row>
    <row r="35" spans="1:22" s="513" customFormat="1" ht="20.100000000000001" customHeight="1" x14ac:dyDescent="0.25">
      <c r="A35" s="361">
        <v>29</v>
      </c>
      <c r="B35" s="343"/>
      <c r="C35" s="341"/>
      <c r="D35" s="343"/>
      <c r="E35" s="327" t="str">
        <f t="shared" si="4"/>
        <v/>
      </c>
      <c r="F35" s="344"/>
      <c r="G35" s="343"/>
      <c r="H35" s="341"/>
      <c r="I35" s="341"/>
      <c r="J35" s="368" t="str">
        <f t="shared" ca="1" si="2"/>
        <v/>
      </c>
      <c r="K35" s="329" t="str">
        <f t="shared" ca="1" si="3"/>
        <v/>
      </c>
      <c r="L35" s="93" t="s">
        <v>305</v>
      </c>
      <c r="M35" s="373" t="s">
        <v>26</v>
      </c>
      <c r="N35" s="452" t="s">
        <v>26</v>
      </c>
      <c r="O35" s="452" t="s">
        <v>26</v>
      </c>
      <c r="P35" s="452" t="s">
        <v>26</v>
      </c>
      <c r="Q35" s="452" t="s">
        <v>26</v>
      </c>
      <c r="R35" s="452" t="s">
        <v>26</v>
      </c>
      <c r="S35" s="452" t="s">
        <v>26</v>
      </c>
      <c r="T35" s="516"/>
      <c r="U35" s="517"/>
      <c r="V35" s="452"/>
    </row>
    <row r="36" spans="1:22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22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22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22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22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22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22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</sheetData>
  <sheetProtection formatCells="0" selectLockedCells="1"/>
  <autoFilter ref="B6:J6">
    <sortState ref="B7:J59">
      <sortCondition ref="C6"/>
    </sortState>
  </autoFilter>
  <sortState ref="A7:V36">
    <sortCondition ref="C7:C36"/>
  </sortState>
  <mergeCells count="6">
    <mergeCell ref="C1:H1"/>
    <mergeCell ref="C2:H2"/>
    <mergeCell ref="C3:H3"/>
    <mergeCell ref="C4:H4"/>
    <mergeCell ref="A5:C5"/>
    <mergeCell ref="D5:E5"/>
  </mergeCells>
  <conditionalFormatting sqref="A6:H6 J6:K6 E7:E8 E35 J7:J35">
    <cfRule type="expression" dxfId="2411" priority="2499">
      <formula>$E6="MC"</formula>
    </cfRule>
  </conditionalFormatting>
  <conditionalFormatting sqref="B11:D11 F11:I11">
    <cfRule type="expression" dxfId="2410" priority="2472">
      <formula>$E11="MC"</formula>
    </cfRule>
  </conditionalFormatting>
  <conditionalFormatting sqref="D12 F12:I12">
    <cfRule type="expression" dxfId="2409" priority="2471">
      <formula>$E12="MC"</formula>
    </cfRule>
  </conditionalFormatting>
  <conditionalFormatting sqref="B13:D13 F13:I13">
    <cfRule type="expression" dxfId="2408" priority="2470">
      <formula>$E13="MC"</formula>
    </cfRule>
  </conditionalFormatting>
  <conditionalFormatting sqref="B14:D14 F14:I14">
    <cfRule type="expression" dxfId="2407" priority="2469">
      <formula>$E14="MC"</formula>
    </cfRule>
  </conditionalFormatting>
  <conditionalFormatting sqref="M4:M5">
    <cfRule type="cellIs" dxfId="2406" priority="2312" operator="equal">
      <formula>3</formula>
    </cfRule>
    <cfRule type="cellIs" dxfId="2405" priority="2313" operator="equal">
      <formula>2</formula>
    </cfRule>
    <cfRule type="cellIs" dxfId="2404" priority="2314" operator="equal">
      <formula>1</formula>
    </cfRule>
  </conditionalFormatting>
  <conditionalFormatting sqref="K46:K1048576 K1:K6">
    <cfRule type="cellIs" dxfId="2403" priority="1826" operator="lessThan">
      <formula>18</formula>
    </cfRule>
  </conditionalFormatting>
  <conditionalFormatting sqref="I6">
    <cfRule type="expression" dxfId="2402" priority="755">
      <formula>$E6="MC"</formula>
    </cfRule>
  </conditionalFormatting>
  <conditionalFormatting sqref="A5">
    <cfRule type="expression" dxfId="2401" priority="41406">
      <formula>$D5="MC"</formula>
    </cfRule>
  </conditionalFormatting>
  <conditionalFormatting sqref="E13 E16 E19 E22 E25 E28 E31 E34">
    <cfRule type="expression" dxfId="2400" priority="187">
      <formula>$E13="MC"</formula>
    </cfRule>
  </conditionalFormatting>
  <conditionalFormatting sqref="E11:E12 E14 E17:E18 E20:E21 E23:E24 E26:E27 E29:E30 E32:E33">
    <cfRule type="expression" dxfId="2399" priority="186">
      <formula>$E11="MC"</formula>
    </cfRule>
  </conditionalFormatting>
  <conditionalFormatting sqref="M6">
    <cfRule type="cellIs" dxfId="2398" priority="78" operator="equal">
      <formula>3</formula>
    </cfRule>
    <cfRule type="cellIs" dxfId="2397" priority="79" operator="equal">
      <formula>2</formula>
    </cfRule>
    <cfRule type="cellIs" dxfId="2396" priority="80" operator="equal">
      <formula>1</formula>
    </cfRule>
  </conditionalFormatting>
  <conditionalFormatting sqref="T6">
    <cfRule type="expression" dxfId="2395" priority="74">
      <formula>FIND("RETIDO",T6)</formula>
    </cfRule>
  </conditionalFormatting>
  <conditionalFormatting sqref="M7:M35">
    <cfRule type="cellIs" dxfId="2394" priority="70" operator="equal">
      <formula>3</formula>
    </cfRule>
    <cfRule type="cellIs" dxfId="2393" priority="71" operator="equal">
      <formula>2</formula>
    </cfRule>
    <cfRule type="cellIs" dxfId="2392" priority="72" operator="equal">
      <formula>1</formula>
    </cfRule>
  </conditionalFormatting>
  <conditionalFormatting sqref="K7:K35">
    <cfRule type="cellIs" dxfId="2391" priority="69" operator="lessThan">
      <formula>18</formula>
    </cfRule>
  </conditionalFormatting>
  <conditionalFormatting sqref="H7">
    <cfRule type="expression" dxfId="2390" priority="64">
      <formula>$E7="MC"</formula>
    </cfRule>
  </conditionalFormatting>
  <conditionalFormatting sqref="F7:G7">
    <cfRule type="expression" dxfId="2389" priority="63">
      <formula>$E7="MC"</formula>
    </cfRule>
  </conditionalFormatting>
  <conditionalFormatting sqref="B7:D7">
    <cfRule type="expression" dxfId="2388" priority="60">
      <formula>$E7="MC"</formula>
    </cfRule>
  </conditionalFormatting>
  <conditionalFormatting sqref="B7:D7">
    <cfRule type="expression" dxfId="2387" priority="59">
      <formula>$E7="MC"</formula>
    </cfRule>
  </conditionalFormatting>
  <conditionalFormatting sqref="B7:D7">
    <cfRule type="expression" dxfId="2386" priority="62">
      <formula>$E7="MC"</formula>
    </cfRule>
  </conditionalFormatting>
  <conditionalFormatting sqref="B7:D7">
    <cfRule type="expression" dxfId="2385" priority="61">
      <formula>$E7="MC"</formula>
    </cfRule>
  </conditionalFormatting>
  <conditionalFormatting sqref="B7:D7">
    <cfRule type="expression" dxfId="2384" priority="58">
      <formula>$E7="MC"</formula>
    </cfRule>
  </conditionalFormatting>
  <conditionalFormatting sqref="B7:D7">
    <cfRule type="expression" dxfId="2383" priority="55">
      <formula>$E7="MC"</formula>
    </cfRule>
  </conditionalFormatting>
  <conditionalFormatting sqref="B7:D7">
    <cfRule type="expression" dxfId="2382" priority="56">
      <formula>$E7="MC"</formula>
    </cfRule>
  </conditionalFormatting>
  <conditionalFormatting sqref="B7:D7">
    <cfRule type="expression" dxfId="2381" priority="57">
      <formula>$E7="MC"</formula>
    </cfRule>
  </conditionalFormatting>
  <conditionalFormatting sqref="H8">
    <cfRule type="expression" dxfId="2380" priority="54">
      <formula>$E8="MC"</formula>
    </cfRule>
  </conditionalFormatting>
  <conditionalFormatting sqref="F8:H8">
    <cfRule type="expression" dxfId="2379" priority="51">
      <formula>$E8="MC"</formula>
    </cfRule>
  </conditionalFormatting>
  <conditionalFormatting sqref="F8:H8">
    <cfRule type="expression" dxfId="2378" priority="50">
      <formula>$E8="MC"</formula>
    </cfRule>
  </conditionalFormatting>
  <conditionalFormatting sqref="F8:G8">
    <cfRule type="expression" dxfId="2377" priority="53">
      <formula>$E8="MC"</formula>
    </cfRule>
  </conditionalFormatting>
  <conditionalFormatting sqref="F8:H8">
    <cfRule type="expression" dxfId="2376" priority="52">
      <formula>$E8="MC"</formula>
    </cfRule>
  </conditionalFormatting>
  <conditionalFormatting sqref="F8:H8">
    <cfRule type="expression" dxfId="2375" priority="49">
      <formula>$E8="MC"</formula>
    </cfRule>
  </conditionalFormatting>
  <conditionalFormatting sqref="F8:H8">
    <cfRule type="expression" dxfId="2374" priority="46">
      <formula>$E8="MC"</formula>
    </cfRule>
  </conditionalFormatting>
  <conditionalFormatting sqref="F8:H8">
    <cfRule type="expression" dxfId="2373" priority="47">
      <formula>$E8="MC"</formula>
    </cfRule>
  </conditionalFormatting>
  <conditionalFormatting sqref="F8:H8">
    <cfRule type="expression" dxfId="2372" priority="48">
      <formula>$E8="MC"</formula>
    </cfRule>
  </conditionalFormatting>
  <conditionalFormatting sqref="B8:D8">
    <cfRule type="expression" dxfId="2371" priority="45">
      <formula>$E8="MC"</formula>
    </cfRule>
  </conditionalFormatting>
  <conditionalFormatting sqref="E9:E10">
    <cfRule type="expression" dxfId="2370" priority="41">
      <formula>$E9="MC"</formula>
    </cfRule>
  </conditionalFormatting>
  <conditionalFormatting sqref="B9:D9 F9:G9">
    <cfRule type="expression" dxfId="2369" priority="35">
      <formula>$E9="MC"</formula>
    </cfRule>
  </conditionalFormatting>
  <conditionalFormatting sqref="B9:D9 F9:G9">
    <cfRule type="expression" dxfId="2368" priority="34">
      <formula>$E9="MC"</formula>
    </cfRule>
  </conditionalFormatting>
  <conditionalFormatting sqref="H9">
    <cfRule type="expression" dxfId="2367" priority="36">
      <formula>$E9="MC"</formula>
    </cfRule>
  </conditionalFormatting>
  <conditionalFormatting sqref="B10:D10">
    <cfRule type="expression" dxfId="2366" priority="27">
      <formula>$E10="MC"</formula>
    </cfRule>
  </conditionalFormatting>
  <conditionalFormatting sqref="F10:H10">
    <cfRule type="expression" dxfId="2365" priority="26">
      <formula>$E10="MC"</formula>
    </cfRule>
  </conditionalFormatting>
  <conditionalFormatting sqref="B12:C12">
    <cfRule type="expression" dxfId="2364" priority="11">
      <formula>$E12="MC"</formula>
    </cfRule>
  </conditionalFormatting>
  <conditionalFormatting sqref="B15:C15">
    <cfRule type="expression" dxfId="2363" priority="7">
      <formula>$E15="MC"</formula>
    </cfRule>
  </conditionalFormatting>
  <conditionalFormatting sqref="D15:E15">
    <cfRule type="expression" dxfId="2362" priority="4">
      <formula>$E15="MC"</formula>
    </cfRule>
  </conditionalFormatting>
  <conditionalFormatting sqref="F15:H15">
    <cfRule type="expression" dxfId="2361" priority="2">
      <formula>$E15="MC"</formula>
    </cfRule>
  </conditionalFormatting>
  <conditionalFormatting sqref="I15">
    <cfRule type="expression" dxfId="2360" priority="1">
      <formula>$E15="MC"</formula>
    </cfRule>
  </conditionalFormatting>
  <dataValidations count="4">
    <dataValidation type="date" allowBlank="1" showInputMessage="1" showErrorMessage="1" errorTitle="Data inválida" error="Você deve inserir uma data no formato XX/XX/XXXX" promptTitle="Insira uma Data:" prompt="Favor inserir uma data válida no formato: XX/XX/XXXX" sqref="F7:F8">
      <formula1>1</formula1>
      <formula2>2958465</formula2>
    </dataValidation>
    <dataValidation type="date" allowBlank="1" showInputMessage="1" showErrorMessage="1" errorTitle="Data Invalida" error="Você deve inserir uma data no formato XX/XX/XXXX" promptTitle="Insira uma Data" prompt="Favor inserir uma data valida no formato: XX/XX/XXXX" sqref="F10">
      <formula1>1</formula1>
      <formula2>2958465</formula2>
    </dataValidation>
    <dataValidation type="date" allowBlank="1" showInputMessage="1" showErrorMessage="1" errorTitle="Data Invalida" error="Favor inserir uma data válida no formato: XX/XX/XXXX" promptTitle="Insira uma Data" prompt="_x000a_Favor inserir uma data válida no formato: XX/XX/XXXX" sqref="F9">
      <formula1>1</formula1>
      <formula2>2958465</formula2>
    </dataValidation>
    <dataValidation type="list" allowBlank="1" showInputMessage="1" showErrorMessage="1" sqref="T7:T35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72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4" id="{64B8224E-8A93-4ACE-A513-6AE2AF819478}">
            <xm:f>'[LISTA PILOTO - EJA - 1º SEM - 2025.xlsx]2ª'!#REF!="MC"</xm:f>
            <x14:dxf>
              <font>
                <b/>
                <i val="0"/>
                <color rgb="FFFF0000"/>
              </font>
            </x14:dxf>
          </x14:cfRule>
          <xm:sqref>A7:A35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CC33"/>
  </sheetPr>
  <dimension ref="A1:V44"/>
  <sheetViews>
    <sheetView view="pageBreakPreview" zoomScale="70" zoomScaleNormal="100" zoomScaleSheetLayoutView="70" workbookViewId="0">
      <pane xSplit="3" ySplit="5" topLeftCell="D6" activePane="bottomRight" state="frozen"/>
      <selection sqref="A1:XFD1048576"/>
      <selection pane="topRight" sqref="A1:XFD1048576"/>
      <selection pane="bottomLeft" sqref="A1:XFD1048576"/>
      <selection pane="bottomRight" activeCell="A14" sqref="A14:XFD14"/>
    </sheetView>
  </sheetViews>
  <sheetFormatPr defaultRowHeight="17.25" x14ac:dyDescent="0.3"/>
  <cols>
    <col min="1" max="1" width="3.7109375" style="273" customWidth="1"/>
    <col min="2" max="2" width="11.5703125" style="273" customWidth="1"/>
    <col min="3" max="3" width="40.7109375" style="514" customWidth="1"/>
    <col min="4" max="4" width="3.7109375" style="258" customWidth="1"/>
    <col min="5" max="5" width="4.7109375" style="258" customWidth="1"/>
    <col min="6" max="6" width="14" style="274" customWidth="1"/>
    <col min="7" max="7" width="14.7109375" style="273" customWidth="1"/>
    <col min="8" max="8" width="12.7109375" style="275" customWidth="1"/>
    <col min="9" max="9" width="27.5703125" style="514" customWidth="1"/>
    <col min="10" max="10" width="12.7109375" style="255" customWidth="1"/>
    <col min="11" max="11" width="7.85546875" style="291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1" width="9.140625" style="258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68" t="s">
        <v>0</v>
      </c>
      <c r="D1" s="568"/>
      <c r="E1" s="568"/>
      <c r="F1" s="568"/>
      <c r="G1" s="568"/>
      <c r="H1" s="568"/>
      <c r="I1" s="255"/>
      <c r="J1" s="255"/>
      <c r="K1" s="254"/>
      <c r="L1" s="19"/>
    </row>
    <row r="2" spans="1:22" s="273" customFormat="1" x14ac:dyDescent="0.25">
      <c r="A2" s="254"/>
      <c r="B2" s="254"/>
      <c r="C2" s="568" t="s">
        <v>1</v>
      </c>
      <c r="D2" s="568"/>
      <c r="E2" s="568"/>
      <c r="F2" s="568"/>
      <c r="G2" s="568"/>
      <c r="H2" s="568"/>
      <c r="I2" s="505"/>
      <c r="J2" s="505"/>
      <c r="K2" s="505"/>
      <c r="L2" s="19"/>
    </row>
    <row r="3" spans="1:22" s="273" customFormat="1" x14ac:dyDescent="0.25">
      <c r="A3" s="254"/>
      <c r="B3" s="254"/>
      <c r="C3" s="568" t="s">
        <v>2</v>
      </c>
      <c r="D3" s="568"/>
      <c r="E3" s="568"/>
      <c r="F3" s="568"/>
      <c r="G3" s="568"/>
      <c r="H3" s="568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68" t="s">
        <v>362</v>
      </c>
      <c r="D4" s="568"/>
      <c r="E4" s="568"/>
      <c r="F4" s="568"/>
      <c r="G4" s="568"/>
      <c r="H4" s="568"/>
      <c r="I4" s="505"/>
      <c r="J4" s="505"/>
      <c r="K4" s="505"/>
      <c r="L4" s="19"/>
      <c r="M4" s="256"/>
    </row>
    <row r="5" spans="1:22" ht="18" thickBot="1" x14ac:dyDescent="0.35">
      <c r="A5" s="569" t="s">
        <v>23</v>
      </c>
      <c r="B5" s="570"/>
      <c r="C5" s="570"/>
      <c r="D5" s="571" t="s">
        <v>44</v>
      </c>
      <c r="E5" s="572"/>
      <c r="F5" s="330"/>
      <c r="G5" s="509" t="s">
        <v>35</v>
      </c>
      <c r="H5" s="510">
        <f ca="1">TODAY()</f>
        <v>45931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  <c r="S5" s="19"/>
      <c r="T5" s="19"/>
      <c r="U5" s="19"/>
    </row>
    <row r="6" spans="1:22" x14ac:dyDescent="0.3">
      <c r="A6" s="332" t="s">
        <v>7</v>
      </c>
      <c r="B6" s="333" t="s">
        <v>8</v>
      </c>
      <c r="C6" s="334" t="s">
        <v>9</v>
      </c>
      <c r="D6" s="335" t="s">
        <v>10</v>
      </c>
      <c r="E6" s="335" t="s">
        <v>11</v>
      </c>
      <c r="F6" s="336" t="s">
        <v>12</v>
      </c>
      <c r="G6" s="333" t="s">
        <v>13</v>
      </c>
      <c r="H6" s="337" t="s">
        <v>14</v>
      </c>
      <c r="I6" s="338" t="s">
        <v>57</v>
      </c>
      <c r="J6" s="337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361">
        <v>1</v>
      </c>
      <c r="B7" s="342">
        <v>18929</v>
      </c>
      <c r="C7" s="341" t="s">
        <v>448</v>
      </c>
      <c r="D7" s="343" t="s">
        <v>16</v>
      </c>
      <c r="E7" s="327" t="str">
        <f>IF(COUNTIF(I7,"*MC*")=1,"MC",IF(COUNTIF(I7,"*NCOM*")=1,"NCOM",IF(C7="","","MA")))</f>
        <v>MA</v>
      </c>
      <c r="F7" s="344">
        <v>32362</v>
      </c>
      <c r="G7" s="343"/>
      <c r="H7" s="341"/>
      <c r="I7" s="341"/>
      <c r="J7" s="368" t="str">
        <f t="shared" ref="J7" ca="1" si="0">IF(K7="","",IF(K7&gt;29,"DISP.IDADE",""))</f>
        <v>DISP.IDADE</v>
      </c>
      <c r="K7" s="329">
        <f t="shared" ref="K7" ca="1" si="1">IF(F7="","",INT((TODAY()-F7)/365.25))</f>
        <v>37</v>
      </c>
      <c r="L7" s="93" t="s">
        <v>305</v>
      </c>
      <c r="M7" s="373" t="s">
        <v>26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/>
    </row>
    <row r="8" spans="1:22" s="513" customFormat="1" ht="20.100000000000001" customHeight="1" x14ac:dyDescent="0.25">
      <c r="A8" s="361">
        <v>2</v>
      </c>
      <c r="B8" s="342">
        <v>15314</v>
      </c>
      <c r="C8" s="350" t="s">
        <v>289</v>
      </c>
      <c r="D8" s="340" t="s">
        <v>17</v>
      </c>
      <c r="E8" s="328" t="str">
        <f>IF(ISNUMBER(FIND("TE",I8)),"TE",IF(ISNUMBER(FIND("MCC",I8)),"MCC",IF(ISNUMBER(FIND("MC",I8)),"MC","MA")))</f>
        <v>MA</v>
      </c>
      <c r="F8" s="346">
        <v>22533</v>
      </c>
      <c r="G8" s="340">
        <v>1167376237</v>
      </c>
      <c r="H8" s="348" t="s">
        <v>358</v>
      </c>
      <c r="I8" s="345"/>
      <c r="J8" s="368" t="str">
        <f t="shared" ref="J8:J35" ca="1" si="2">IF(K8="","",IF(K8&gt;29,"DISP.IDADE",""))</f>
        <v>DISP.IDADE</v>
      </c>
      <c r="K8" s="329">
        <f t="shared" ref="K8:K35" ca="1" si="3">IF(F8="","",INT((TODAY()-F8)/365.25))</f>
        <v>64</v>
      </c>
      <c r="L8" s="93" t="s">
        <v>305</v>
      </c>
      <c r="M8" s="373" t="s">
        <v>26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452">
        <v>38750511491</v>
      </c>
    </row>
    <row r="9" spans="1:22" s="513" customFormat="1" ht="20.100000000000001" customHeight="1" x14ac:dyDescent="0.25">
      <c r="A9" s="361">
        <v>3</v>
      </c>
      <c r="B9" s="342">
        <v>18787</v>
      </c>
      <c r="C9" s="350" t="s">
        <v>284</v>
      </c>
      <c r="D9" s="340" t="s">
        <v>16</v>
      </c>
      <c r="E9" s="328" t="str">
        <f>IF(ISNUMBER(FIND("TE",I9)),"TE",IF(ISNUMBER(FIND("MCC",I9)),"MCC",IF(ISNUMBER(FIND("MC",I9)),"MC","MA")))</f>
        <v>MA</v>
      </c>
      <c r="F9" s="346">
        <v>23146</v>
      </c>
      <c r="G9" s="340">
        <v>1258152319</v>
      </c>
      <c r="H9" s="348" t="s">
        <v>285</v>
      </c>
      <c r="I9" s="345"/>
      <c r="J9" s="368" t="str">
        <f t="shared" ca="1" si="2"/>
        <v>DISP.IDADE</v>
      </c>
      <c r="K9" s="329">
        <f t="shared" ca="1" si="3"/>
        <v>62</v>
      </c>
      <c r="L9" s="93" t="s">
        <v>305</v>
      </c>
      <c r="M9" s="373" t="s">
        <v>26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2">
        <v>59477768472</v>
      </c>
    </row>
    <row r="10" spans="1:22" s="513" customFormat="1" ht="20.100000000000001" customHeight="1" x14ac:dyDescent="0.25">
      <c r="A10" s="361">
        <v>4</v>
      </c>
      <c r="B10" s="342">
        <v>18922</v>
      </c>
      <c r="C10" s="341" t="s">
        <v>418</v>
      </c>
      <c r="D10" s="343" t="s">
        <v>16</v>
      </c>
      <c r="E10" s="328" t="str">
        <f>IF(COUNTIF(I10,"*MC*")=1,"MC",IF(COUNTIF(I10,"*NCOM*")=1,"NCOM",IF(C10="","","MA")))</f>
        <v>MA</v>
      </c>
      <c r="F10" s="344">
        <v>40044</v>
      </c>
      <c r="G10" s="343" t="s">
        <v>419</v>
      </c>
      <c r="H10" s="341">
        <v>478251063</v>
      </c>
      <c r="I10" s="345"/>
      <c r="J10" s="368" t="str">
        <f t="shared" ca="1" si="2"/>
        <v/>
      </c>
      <c r="K10" s="329">
        <f t="shared" ca="1" si="3"/>
        <v>16</v>
      </c>
      <c r="L10" s="93" t="s">
        <v>305</v>
      </c>
      <c r="M10" s="373" t="s">
        <v>26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2"/>
    </row>
    <row r="11" spans="1:22" s="513" customFormat="1" ht="18.75" customHeight="1" x14ac:dyDescent="0.25">
      <c r="A11" s="361">
        <v>5</v>
      </c>
      <c r="B11" s="342">
        <v>18918</v>
      </c>
      <c r="C11" s="341" t="s">
        <v>426</v>
      </c>
      <c r="D11" s="343" t="s">
        <v>17</v>
      </c>
      <c r="E11" s="327" t="str">
        <f>IF(COUNTIF(I11,"*MC*")=1,"MC",IF(COUNTIF(I11,"*NCOM*")=1,"NCOM",IF(C11="","","MA")))</f>
        <v>MA</v>
      </c>
      <c r="F11" s="344">
        <v>38277</v>
      </c>
      <c r="G11" s="343">
        <v>1036368257</v>
      </c>
      <c r="H11" s="341"/>
      <c r="I11" s="341"/>
      <c r="J11" s="368" t="str">
        <f t="shared" ca="1" si="2"/>
        <v/>
      </c>
      <c r="K11" s="329">
        <f t="shared" ca="1" si="3"/>
        <v>20</v>
      </c>
      <c r="L11" s="93" t="s">
        <v>305</v>
      </c>
      <c r="M11" s="373" t="s">
        <v>26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/>
      <c r="U11" s="517"/>
      <c r="V11" s="452"/>
    </row>
    <row r="12" spans="1:22" s="513" customFormat="1" ht="20.100000000000001" customHeight="1" x14ac:dyDescent="0.25">
      <c r="A12" s="361">
        <v>6</v>
      </c>
      <c r="B12" s="342">
        <v>17640</v>
      </c>
      <c r="C12" s="350" t="s">
        <v>58</v>
      </c>
      <c r="D12" s="340" t="s">
        <v>16</v>
      </c>
      <c r="E12" s="328" t="str">
        <f>IF(ISNUMBER(FIND("TE",I12)),"TE",IF(ISNUMBER(FIND("MCC",I12)),"MCC",IF(ISNUMBER(FIND("MC",I12)),"MC","MA")))</f>
        <v>MA</v>
      </c>
      <c r="F12" s="346">
        <v>24706</v>
      </c>
      <c r="G12" s="347" t="s">
        <v>59</v>
      </c>
      <c r="H12" s="348" t="s">
        <v>359</v>
      </c>
      <c r="I12" s="345"/>
      <c r="J12" s="368" t="str">
        <f t="shared" ca="1" si="2"/>
        <v>DISP.IDADE</v>
      </c>
      <c r="K12" s="329">
        <f t="shared" ca="1" si="3"/>
        <v>58</v>
      </c>
      <c r="L12" s="93" t="s">
        <v>305</v>
      </c>
      <c r="M12" s="373" t="s">
        <v>26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2">
        <v>26496811873</v>
      </c>
    </row>
    <row r="13" spans="1:22" s="513" customFormat="1" ht="20.100000000000001" customHeight="1" x14ac:dyDescent="0.25">
      <c r="A13" s="361">
        <v>7</v>
      </c>
      <c r="B13" s="342">
        <v>18848</v>
      </c>
      <c r="C13" s="350" t="s">
        <v>296</v>
      </c>
      <c r="D13" s="340" t="s">
        <v>17</v>
      </c>
      <c r="E13" s="328" t="str">
        <f>IF(ISNUMBER(FIND("TE",I13)),"TE",IF(ISNUMBER(FIND("MCC",I13)),"MCC",IF(ISNUMBER(FIND("MC",I13)),"MC","MA")))</f>
        <v>MA</v>
      </c>
      <c r="F13" s="346">
        <v>21952</v>
      </c>
      <c r="G13" s="340">
        <v>1258774379</v>
      </c>
      <c r="H13" s="348" t="s">
        <v>360</v>
      </c>
      <c r="I13" s="345"/>
      <c r="J13" s="368" t="str">
        <f t="shared" ca="1" si="2"/>
        <v>DISP.IDADE</v>
      </c>
      <c r="K13" s="329">
        <f t="shared" ca="1" si="3"/>
        <v>65</v>
      </c>
      <c r="L13" s="93" t="s">
        <v>305</v>
      </c>
      <c r="M13" s="373" t="s">
        <v>26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2">
        <v>23184710530</v>
      </c>
    </row>
    <row r="14" spans="1:22" s="513" customFormat="1" ht="20.100000000000001" customHeight="1" x14ac:dyDescent="0.25">
      <c r="A14" s="361">
        <v>8</v>
      </c>
      <c r="B14" s="342">
        <v>18128</v>
      </c>
      <c r="C14" s="350" t="s">
        <v>272</v>
      </c>
      <c r="D14" s="340" t="s">
        <v>17</v>
      </c>
      <c r="E14" s="328" t="str">
        <f>IF(ISNUMBER(FIND("TE",I14)),"TE",IF(ISNUMBER(FIND("MCC",I14)),"MCC",IF(ISNUMBER(FIND("MC",I14)),"MC","MA")))</f>
        <v>MA</v>
      </c>
      <c r="F14" s="346">
        <v>26973</v>
      </c>
      <c r="G14" s="347">
        <v>1246517358</v>
      </c>
      <c r="H14" s="348" t="s">
        <v>78</v>
      </c>
      <c r="I14" s="345"/>
      <c r="J14" s="368" t="str">
        <f t="shared" ca="1" si="2"/>
        <v>DISP.IDADE</v>
      </c>
      <c r="K14" s="329">
        <f t="shared" ca="1" si="3"/>
        <v>51</v>
      </c>
      <c r="L14" s="93" t="s">
        <v>305</v>
      </c>
      <c r="M14" s="373" t="s">
        <v>26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52">
        <v>276638839</v>
      </c>
    </row>
    <row r="15" spans="1:22" s="530" customFormat="1" ht="20.100000000000001" customHeight="1" x14ac:dyDescent="0.25">
      <c r="A15" s="361">
        <v>9</v>
      </c>
      <c r="B15" s="467">
        <v>18482</v>
      </c>
      <c r="C15" s="527" t="s">
        <v>217</v>
      </c>
      <c r="D15" s="468" t="s">
        <v>16</v>
      </c>
      <c r="E15" s="469" t="str">
        <f>IF(ISNUMBER(FIND("TE",I15)),"TE",IF(ISNUMBER(FIND("MCC",I15)),"MCC",IF(ISNUMBER(FIND("MC",I15)),"MC","MA")))</f>
        <v>MC</v>
      </c>
      <c r="F15" s="470">
        <v>28420</v>
      </c>
      <c r="G15" s="468" t="s">
        <v>218</v>
      </c>
      <c r="H15" s="468" t="s">
        <v>218</v>
      </c>
      <c r="I15" s="375" t="s">
        <v>460</v>
      </c>
      <c r="J15" s="368" t="str">
        <f t="shared" ca="1" si="2"/>
        <v>DISP.IDADE</v>
      </c>
      <c r="K15" s="329">
        <f t="shared" ca="1" si="3"/>
        <v>47</v>
      </c>
      <c r="L15" s="93" t="s">
        <v>305</v>
      </c>
      <c r="M15" s="373" t="s">
        <v>26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28" t="s">
        <v>458</v>
      </c>
      <c r="U15" s="529" t="s">
        <v>459</v>
      </c>
      <c r="V15" s="471" t="s">
        <v>338</v>
      </c>
    </row>
    <row r="16" spans="1:22" s="513" customFormat="1" ht="20.100000000000001" customHeight="1" x14ac:dyDescent="0.25">
      <c r="A16" s="361">
        <v>10</v>
      </c>
      <c r="B16" s="342">
        <v>18969</v>
      </c>
      <c r="C16" s="341" t="s">
        <v>554</v>
      </c>
      <c r="D16" s="343" t="s">
        <v>17</v>
      </c>
      <c r="E16" s="328" t="str">
        <f t="shared" ref="E16:E35" si="4">IF(COUNTIF(I16,"*MC*")=1,"MC",IF(COUNTIF(I16,"*NCOM*")=1,"NCOM",IF(C16="","","MA")))</f>
        <v>MA</v>
      </c>
      <c r="F16" s="344">
        <v>26157</v>
      </c>
      <c r="G16" s="343"/>
      <c r="H16" s="341" t="s">
        <v>555</v>
      </c>
      <c r="I16" s="341" t="s">
        <v>556</v>
      </c>
      <c r="J16" s="368" t="str">
        <f t="shared" ca="1" si="2"/>
        <v>DISP.IDADE</v>
      </c>
      <c r="K16" s="329">
        <f t="shared" ca="1" si="3"/>
        <v>54</v>
      </c>
      <c r="L16" s="93" t="s">
        <v>305</v>
      </c>
      <c r="M16" s="373" t="s">
        <v>26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93"/>
      <c r="U16" s="93"/>
      <c r="V16" s="452"/>
    </row>
    <row r="17" spans="1:22" s="513" customFormat="1" ht="20.100000000000001" customHeight="1" x14ac:dyDescent="0.25">
      <c r="A17" s="361">
        <v>11</v>
      </c>
      <c r="B17" s="343"/>
      <c r="C17" s="341"/>
      <c r="D17" s="343"/>
      <c r="E17" s="327" t="str">
        <f t="shared" si="4"/>
        <v/>
      </c>
      <c r="F17" s="344"/>
      <c r="G17" s="343"/>
      <c r="H17" s="341"/>
      <c r="I17" s="341"/>
      <c r="J17" s="368" t="str">
        <f t="shared" ca="1" si="2"/>
        <v/>
      </c>
      <c r="K17" s="329" t="str">
        <f t="shared" ca="1" si="3"/>
        <v/>
      </c>
      <c r="L17" s="93" t="s">
        <v>305</v>
      </c>
      <c r="M17" s="373" t="s">
        <v>26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93"/>
      <c r="U17" s="93"/>
      <c r="V17" s="452"/>
    </row>
    <row r="18" spans="1:22" s="513" customFormat="1" ht="20.100000000000001" customHeight="1" x14ac:dyDescent="0.25">
      <c r="A18" s="361">
        <v>12</v>
      </c>
      <c r="B18" s="343"/>
      <c r="C18" s="341"/>
      <c r="D18" s="343"/>
      <c r="E18" s="327" t="str">
        <f t="shared" si="4"/>
        <v/>
      </c>
      <c r="F18" s="344"/>
      <c r="G18" s="343"/>
      <c r="H18" s="341"/>
      <c r="I18" s="341"/>
      <c r="J18" s="368" t="str">
        <f t="shared" ca="1" si="2"/>
        <v/>
      </c>
      <c r="K18" s="329" t="str">
        <f t="shared" ca="1" si="3"/>
        <v/>
      </c>
      <c r="L18" s="93" t="s">
        <v>305</v>
      </c>
      <c r="M18" s="373" t="s">
        <v>26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93"/>
      <c r="U18" s="93"/>
      <c r="V18" s="452"/>
    </row>
    <row r="19" spans="1:22" s="513" customFormat="1" ht="20.100000000000001" customHeight="1" x14ac:dyDescent="0.25">
      <c r="A19" s="361">
        <v>13</v>
      </c>
      <c r="B19" s="343"/>
      <c r="C19" s="341"/>
      <c r="D19" s="343"/>
      <c r="E19" s="328" t="str">
        <f t="shared" si="4"/>
        <v/>
      </c>
      <c r="F19" s="344"/>
      <c r="G19" s="343"/>
      <c r="H19" s="341"/>
      <c r="I19" s="341"/>
      <c r="J19" s="368" t="str">
        <f t="shared" ca="1" si="2"/>
        <v/>
      </c>
      <c r="K19" s="329" t="str">
        <f t="shared" ca="1" si="3"/>
        <v/>
      </c>
      <c r="L19" s="93" t="s">
        <v>305</v>
      </c>
      <c r="M19" s="373" t="s">
        <v>26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93"/>
      <c r="U19" s="93"/>
      <c r="V19" s="452"/>
    </row>
    <row r="20" spans="1:22" s="513" customFormat="1" ht="20.100000000000001" customHeight="1" x14ac:dyDescent="0.25">
      <c r="A20" s="361">
        <v>14</v>
      </c>
      <c r="B20" s="343"/>
      <c r="C20" s="341"/>
      <c r="D20" s="343"/>
      <c r="E20" s="327" t="str">
        <f t="shared" si="4"/>
        <v/>
      </c>
      <c r="F20" s="344"/>
      <c r="G20" s="343"/>
      <c r="H20" s="341"/>
      <c r="I20" s="341"/>
      <c r="J20" s="368" t="str">
        <f t="shared" ca="1" si="2"/>
        <v/>
      </c>
      <c r="K20" s="329" t="str">
        <f t="shared" ca="1" si="3"/>
        <v/>
      </c>
      <c r="L20" s="93" t="s">
        <v>305</v>
      </c>
      <c r="M20" s="373" t="s">
        <v>26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452"/>
      <c r="U20" s="452"/>
      <c r="V20" s="452"/>
    </row>
    <row r="21" spans="1:22" s="513" customFormat="1" ht="20.100000000000001" customHeight="1" x14ac:dyDescent="0.25">
      <c r="A21" s="361">
        <v>15</v>
      </c>
      <c r="B21" s="343"/>
      <c r="C21" s="341"/>
      <c r="D21" s="343"/>
      <c r="E21" s="327" t="str">
        <f t="shared" si="4"/>
        <v/>
      </c>
      <c r="F21" s="344"/>
      <c r="G21" s="343"/>
      <c r="H21" s="341"/>
      <c r="I21" s="341"/>
      <c r="J21" s="368" t="str">
        <f t="shared" ca="1" si="2"/>
        <v/>
      </c>
      <c r="K21" s="329" t="str">
        <f t="shared" ca="1" si="3"/>
        <v/>
      </c>
      <c r="L21" s="93" t="s">
        <v>305</v>
      </c>
      <c r="M21" s="373" t="s">
        <v>26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452"/>
      <c r="U21" s="452"/>
      <c r="V21" s="452"/>
    </row>
    <row r="22" spans="1:22" s="513" customFormat="1" ht="20.100000000000001" customHeight="1" x14ac:dyDescent="0.25">
      <c r="A22" s="361">
        <v>16</v>
      </c>
      <c r="B22" s="343"/>
      <c r="C22" s="341"/>
      <c r="D22" s="343"/>
      <c r="E22" s="328" t="str">
        <f t="shared" si="4"/>
        <v/>
      </c>
      <c r="F22" s="344"/>
      <c r="G22" s="343"/>
      <c r="H22" s="341"/>
      <c r="I22" s="341"/>
      <c r="J22" s="368" t="str">
        <f t="shared" ca="1" si="2"/>
        <v/>
      </c>
      <c r="K22" s="329" t="str">
        <f t="shared" ca="1" si="3"/>
        <v/>
      </c>
      <c r="L22" s="93" t="s">
        <v>305</v>
      </c>
      <c r="M22" s="373" t="s">
        <v>26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452"/>
      <c r="U22" s="452"/>
      <c r="V22" s="452"/>
    </row>
    <row r="23" spans="1:22" s="513" customFormat="1" ht="20.100000000000001" customHeight="1" x14ac:dyDescent="0.25">
      <c r="A23" s="361">
        <v>17</v>
      </c>
      <c r="B23" s="343"/>
      <c r="C23" s="341"/>
      <c r="D23" s="343"/>
      <c r="E23" s="327" t="str">
        <f t="shared" si="4"/>
        <v/>
      </c>
      <c r="F23" s="344"/>
      <c r="G23" s="343"/>
      <c r="H23" s="341"/>
      <c r="I23" s="341"/>
      <c r="J23" s="368" t="str">
        <f t="shared" ca="1" si="2"/>
        <v/>
      </c>
      <c r="K23" s="329" t="str">
        <f t="shared" ca="1" si="3"/>
        <v/>
      </c>
      <c r="L23" s="93" t="s">
        <v>305</v>
      </c>
      <c r="M23" s="373" t="s">
        <v>26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452"/>
      <c r="U23" s="452"/>
      <c r="V23" s="452"/>
    </row>
    <row r="24" spans="1:22" s="513" customFormat="1" ht="20.100000000000001" customHeight="1" x14ac:dyDescent="0.25">
      <c r="A24" s="361">
        <v>18</v>
      </c>
      <c r="B24" s="343"/>
      <c r="C24" s="341"/>
      <c r="D24" s="343"/>
      <c r="E24" s="327" t="str">
        <f t="shared" si="4"/>
        <v/>
      </c>
      <c r="F24" s="344"/>
      <c r="G24" s="343"/>
      <c r="H24" s="341"/>
      <c r="I24" s="341"/>
      <c r="J24" s="368" t="str">
        <f t="shared" ca="1" si="2"/>
        <v/>
      </c>
      <c r="K24" s="329" t="str">
        <f t="shared" ca="1" si="3"/>
        <v/>
      </c>
      <c r="L24" s="93" t="s">
        <v>305</v>
      </c>
      <c r="M24" s="373" t="s">
        <v>26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452"/>
      <c r="U24" s="452"/>
      <c r="V24" s="452"/>
    </row>
    <row r="25" spans="1:22" s="513" customFormat="1" ht="20.100000000000001" customHeight="1" x14ac:dyDescent="0.25">
      <c r="A25" s="361">
        <v>19</v>
      </c>
      <c r="B25" s="343"/>
      <c r="C25" s="341"/>
      <c r="D25" s="343"/>
      <c r="E25" s="328" t="str">
        <f t="shared" si="4"/>
        <v/>
      </c>
      <c r="F25" s="344"/>
      <c r="G25" s="343"/>
      <c r="H25" s="341"/>
      <c r="I25" s="341"/>
      <c r="J25" s="368" t="str">
        <f t="shared" ca="1" si="2"/>
        <v/>
      </c>
      <c r="K25" s="329" t="str">
        <f t="shared" ca="1" si="3"/>
        <v/>
      </c>
      <c r="L25" s="93" t="s">
        <v>305</v>
      </c>
      <c r="M25" s="373" t="s">
        <v>26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452"/>
      <c r="U25" s="452"/>
      <c r="V25" s="452"/>
    </row>
    <row r="26" spans="1:22" s="513" customFormat="1" ht="20.100000000000001" customHeight="1" x14ac:dyDescent="0.25">
      <c r="A26" s="361">
        <v>20</v>
      </c>
      <c r="B26" s="343"/>
      <c r="C26" s="341"/>
      <c r="D26" s="343"/>
      <c r="E26" s="327" t="str">
        <f t="shared" si="4"/>
        <v/>
      </c>
      <c r="F26" s="344"/>
      <c r="G26" s="343"/>
      <c r="H26" s="341"/>
      <c r="I26" s="341"/>
      <c r="J26" s="368" t="str">
        <f t="shared" ca="1" si="2"/>
        <v/>
      </c>
      <c r="K26" s="329" t="str">
        <f t="shared" ca="1" si="3"/>
        <v/>
      </c>
      <c r="L26" s="93" t="s">
        <v>305</v>
      </c>
      <c r="M26" s="373" t="s">
        <v>26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452"/>
      <c r="U26" s="452"/>
      <c r="V26" s="452"/>
    </row>
    <row r="27" spans="1:22" s="513" customFormat="1" ht="20.100000000000001" customHeight="1" x14ac:dyDescent="0.25">
      <c r="A27" s="361">
        <v>21</v>
      </c>
      <c r="B27" s="343"/>
      <c r="C27" s="341"/>
      <c r="D27" s="343"/>
      <c r="E27" s="327" t="str">
        <f t="shared" si="4"/>
        <v/>
      </c>
      <c r="F27" s="344"/>
      <c r="G27" s="343"/>
      <c r="H27" s="341"/>
      <c r="I27" s="341"/>
      <c r="J27" s="368" t="str">
        <f t="shared" ca="1" si="2"/>
        <v/>
      </c>
      <c r="K27" s="329" t="str">
        <f t="shared" ca="1" si="3"/>
        <v/>
      </c>
      <c r="L27" s="93" t="s">
        <v>305</v>
      </c>
      <c r="M27" s="373" t="s">
        <v>26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452"/>
      <c r="U27" s="452"/>
      <c r="V27" s="452"/>
    </row>
    <row r="28" spans="1:22" s="513" customFormat="1" ht="20.100000000000001" customHeight="1" x14ac:dyDescent="0.25">
      <c r="A28" s="361">
        <v>22</v>
      </c>
      <c r="B28" s="343"/>
      <c r="C28" s="341"/>
      <c r="D28" s="343"/>
      <c r="E28" s="328" t="str">
        <f t="shared" si="4"/>
        <v/>
      </c>
      <c r="F28" s="344"/>
      <c r="G28" s="343"/>
      <c r="H28" s="341"/>
      <c r="I28" s="341"/>
      <c r="J28" s="368" t="str">
        <f t="shared" ca="1" si="2"/>
        <v/>
      </c>
      <c r="K28" s="329" t="str">
        <f t="shared" ca="1" si="3"/>
        <v/>
      </c>
      <c r="L28" s="93" t="s">
        <v>305</v>
      </c>
      <c r="M28" s="373" t="s">
        <v>26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452"/>
      <c r="U28" s="452"/>
      <c r="V28" s="452"/>
    </row>
    <row r="29" spans="1:22" s="513" customFormat="1" ht="20.100000000000001" customHeight="1" x14ac:dyDescent="0.25">
      <c r="A29" s="361">
        <v>23</v>
      </c>
      <c r="B29" s="343"/>
      <c r="C29" s="341"/>
      <c r="D29" s="343"/>
      <c r="E29" s="327" t="str">
        <f t="shared" si="4"/>
        <v/>
      </c>
      <c r="F29" s="344"/>
      <c r="G29" s="343"/>
      <c r="H29" s="341"/>
      <c r="I29" s="341"/>
      <c r="J29" s="368" t="str">
        <f t="shared" ca="1" si="2"/>
        <v/>
      </c>
      <c r="K29" s="329" t="str">
        <f t="shared" ca="1" si="3"/>
        <v/>
      </c>
      <c r="L29" s="93" t="s">
        <v>305</v>
      </c>
      <c r="M29" s="373" t="s">
        <v>26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452"/>
      <c r="U29" s="452"/>
      <c r="V29" s="452"/>
    </row>
    <row r="30" spans="1:22" s="513" customFormat="1" ht="20.100000000000001" customHeight="1" x14ac:dyDescent="0.25">
      <c r="A30" s="361">
        <v>24</v>
      </c>
      <c r="B30" s="343"/>
      <c r="C30" s="341"/>
      <c r="D30" s="343"/>
      <c r="E30" s="327" t="str">
        <f t="shared" si="4"/>
        <v/>
      </c>
      <c r="F30" s="344"/>
      <c r="G30" s="343"/>
      <c r="H30" s="341"/>
      <c r="I30" s="341"/>
      <c r="J30" s="368" t="str">
        <f t="shared" ca="1" si="2"/>
        <v/>
      </c>
      <c r="K30" s="329" t="str">
        <f t="shared" ca="1" si="3"/>
        <v/>
      </c>
      <c r="L30" s="93" t="s">
        <v>305</v>
      </c>
      <c r="M30" s="373" t="s">
        <v>26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452"/>
      <c r="U30" s="452"/>
      <c r="V30" s="452"/>
    </row>
    <row r="31" spans="1:22" s="513" customFormat="1" ht="20.100000000000001" customHeight="1" x14ac:dyDescent="0.25">
      <c r="A31" s="361">
        <v>25</v>
      </c>
      <c r="B31" s="343"/>
      <c r="C31" s="341"/>
      <c r="D31" s="343"/>
      <c r="E31" s="328" t="str">
        <f t="shared" si="4"/>
        <v/>
      </c>
      <c r="F31" s="344"/>
      <c r="G31" s="343"/>
      <c r="H31" s="341"/>
      <c r="I31" s="341"/>
      <c r="J31" s="368" t="str">
        <f t="shared" ca="1" si="2"/>
        <v/>
      </c>
      <c r="K31" s="329" t="str">
        <f t="shared" ca="1" si="3"/>
        <v/>
      </c>
      <c r="L31" s="93" t="s">
        <v>305</v>
      </c>
      <c r="M31" s="373" t="s">
        <v>26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452"/>
      <c r="U31" s="452"/>
      <c r="V31" s="452"/>
    </row>
    <row r="32" spans="1:22" s="513" customFormat="1" ht="20.100000000000001" customHeight="1" x14ac:dyDescent="0.25">
      <c r="A32" s="361">
        <v>26</v>
      </c>
      <c r="B32" s="343"/>
      <c r="C32" s="341"/>
      <c r="D32" s="343"/>
      <c r="E32" s="327" t="str">
        <f t="shared" si="4"/>
        <v/>
      </c>
      <c r="F32" s="344"/>
      <c r="G32" s="343"/>
      <c r="H32" s="341"/>
      <c r="I32" s="341"/>
      <c r="J32" s="368" t="str">
        <f t="shared" ca="1" si="2"/>
        <v/>
      </c>
      <c r="K32" s="329" t="str">
        <f t="shared" ca="1" si="3"/>
        <v/>
      </c>
      <c r="L32" s="93" t="s">
        <v>305</v>
      </c>
      <c r="M32" s="373" t="s">
        <v>26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452"/>
      <c r="U32" s="452"/>
      <c r="V32" s="452"/>
    </row>
    <row r="33" spans="1:22" s="513" customFormat="1" ht="20.100000000000001" customHeight="1" x14ac:dyDescent="0.25">
      <c r="A33" s="361">
        <v>27</v>
      </c>
      <c r="B33" s="343"/>
      <c r="C33" s="341"/>
      <c r="D33" s="343"/>
      <c r="E33" s="327" t="str">
        <f t="shared" si="4"/>
        <v/>
      </c>
      <c r="F33" s="344"/>
      <c r="G33" s="343"/>
      <c r="H33" s="341"/>
      <c r="I33" s="341"/>
      <c r="J33" s="368" t="str">
        <f t="shared" ca="1" si="2"/>
        <v/>
      </c>
      <c r="K33" s="329" t="str">
        <f t="shared" ca="1" si="3"/>
        <v/>
      </c>
      <c r="L33" s="93" t="s">
        <v>305</v>
      </c>
      <c r="M33" s="373" t="s">
        <v>26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452"/>
      <c r="U33" s="452"/>
      <c r="V33" s="452"/>
    </row>
    <row r="34" spans="1:22" s="513" customFormat="1" ht="20.100000000000001" customHeight="1" x14ac:dyDescent="0.25">
      <c r="A34" s="361">
        <v>28</v>
      </c>
      <c r="B34" s="343"/>
      <c r="C34" s="341"/>
      <c r="D34" s="343"/>
      <c r="E34" s="328" t="str">
        <f t="shared" si="4"/>
        <v/>
      </c>
      <c r="F34" s="344"/>
      <c r="G34" s="343"/>
      <c r="H34" s="341"/>
      <c r="I34" s="341"/>
      <c r="J34" s="368" t="str">
        <f t="shared" ca="1" si="2"/>
        <v/>
      </c>
      <c r="K34" s="329" t="str">
        <f t="shared" ca="1" si="3"/>
        <v/>
      </c>
      <c r="L34" s="93" t="s">
        <v>305</v>
      </c>
      <c r="M34" s="373" t="s">
        <v>26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452"/>
      <c r="U34" s="452"/>
      <c r="V34" s="452"/>
    </row>
    <row r="35" spans="1:22" s="513" customFormat="1" ht="20.100000000000001" customHeight="1" x14ac:dyDescent="0.25">
      <c r="A35" s="361">
        <v>29</v>
      </c>
      <c r="B35" s="343"/>
      <c r="C35" s="341"/>
      <c r="D35" s="343"/>
      <c r="E35" s="327" t="str">
        <f t="shared" si="4"/>
        <v/>
      </c>
      <c r="F35" s="344"/>
      <c r="G35" s="343"/>
      <c r="H35" s="341"/>
      <c r="I35" s="341"/>
      <c r="J35" s="368" t="str">
        <f t="shared" ca="1" si="2"/>
        <v/>
      </c>
      <c r="K35" s="329" t="str">
        <f t="shared" ca="1" si="3"/>
        <v/>
      </c>
      <c r="L35" s="93" t="s">
        <v>305</v>
      </c>
      <c r="M35" s="373" t="s">
        <v>26</v>
      </c>
      <c r="N35" s="452" t="s">
        <v>26</v>
      </c>
      <c r="O35" s="452" t="s">
        <v>26</v>
      </c>
      <c r="P35" s="452" t="s">
        <v>26</v>
      </c>
      <c r="Q35" s="452" t="s">
        <v>26</v>
      </c>
      <c r="R35" s="452" t="s">
        <v>26</v>
      </c>
      <c r="S35" s="452" t="s">
        <v>26</v>
      </c>
      <c r="T35" s="452"/>
      <c r="U35" s="452"/>
      <c r="V35" s="452"/>
    </row>
    <row r="36" spans="1:22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22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22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22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22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22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</sheetData>
  <sheetProtection formatCells="0" selectLockedCells="1"/>
  <autoFilter ref="A6:K6">
    <sortState ref="A7:M51">
      <sortCondition ref="C6"/>
    </sortState>
  </autoFilter>
  <sortState ref="A7:V36">
    <sortCondition ref="C7:C36"/>
  </sortState>
  <mergeCells count="6">
    <mergeCell ref="C1:H1"/>
    <mergeCell ref="C2:H2"/>
    <mergeCell ref="C3:H3"/>
    <mergeCell ref="C4:H4"/>
    <mergeCell ref="A5:C5"/>
    <mergeCell ref="D5:E5"/>
  </mergeCells>
  <conditionalFormatting sqref="A6:H6 J6:K6 E35 E7:E12 J7:J35">
    <cfRule type="expression" dxfId="2358" priority="2836">
      <formula>$E6="MC"</formula>
    </cfRule>
  </conditionalFormatting>
  <conditionalFormatting sqref="M4:M5">
    <cfRule type="cellIs" dxfId="2357" priority="2738" operator="equal">
      <formula>3</formula>
    </cfRule>
    <cfRule type="cellIs" dxfId="2356" priority="2739" operator="equal">
      <formula>2</formula>
    </cfRule>
    <cfRule type="cellIs" dxfId="2355" priority="2740" operator="equal">
      <formula>1</formula>
    </cfRule>
  </conditionalFormatting>
  <conditionalFormatting sqref="K45:K1048576 K1:K6">
    <cfRule type="cellIs" dxfId="2354" priority="2140" operator="lessThan">
      <formula>18</formula>
    </cfRule>
  </conditionalFormatting>
  <conditionalFormatting sqref="I6">
    <cfRule type="expression" dxfId="2353" priority="581">
      <formula>$E6="MC"</formula>
    </cfRule>
  </conditionalFormatting>
  <conditionalFormatting sqref="A5">
    <cfRule type="expression" dxfId="2352" priority="41278">
      <formula>$D5="MC"</formula>
    </cfRule>
  </conditionalFormatting>
  <conditionalFormatting sqref="E13 E16 E19 E22 E25 E28 E31 E34">
    <cfRule type="expression" dxfId="2351" priority="73">
      <formula>$E13="MC"</formula>
    </cfRule>
  </conditionalFormatting>
  <conditionalFormatting sqref="E14:E15 E17:E18 E20:E21 E23:E24 E26:E27 E29:E30 E32:E33">
    <cfRule type="expression" dxfId="2350" priority="72">
      <formula>$E14="MC"</formula>
    </cfRule>
  </conditionalFormatting>
  <conditionalFormatting sqref="M6">
    <cfRule type="cellIs" dxfId="2349" priority="45" operator="equal">
      <formula>3</formula>
    </cfRule>
    <cfRule type="cellIs" dxfId="2348" priority="46" operator="equal">
      <formula>2</formula>
    </cfRule>
    <cfRule type="cellIs" dxfId="2347" priority="47" operator="equal">
      <formula>1</formula>
    </cfRule>
  </conditionalFormatting>
  <conditionalFormatting sqref="T6">
    <cfRule type="expression" dxfId="2346" priority="41">
      <formula>FIND("RETIDO",T6)</formula>
    </cfRule>
  </conditionalFormatting>
  <conditionalFormatting sqref="A7 A9 A11 A13 A15 A17 A19 A21 A23 A25 A27 A29 A31 A33 A35">
    <cfRule type="expression" dxfId="2345" priority="40">
      <formula>$E7="MC"</formula>
    </cfRule>
  </conditionalFormatting>
  <conditionalFormatting sqref="B11:D11 F11:H11">
    <cfRule type="expression" dxfId="2344" priority="38">
      <formula>$E11="MC"</formula>
    </cfRule>
  </conditionalFormatting>
  <conditionalFormatting sqref="B12:D12 F12:H12">
    <cfRule type="expression" dxfId="2343" priority="37">
      <formula>$E12="MC"</formula>
    </cfRule>
  </conditionalFormatting>
  <conditionalFormatting sqref="M7:M35">
    <cfRule type="cellIs" dxfId="2342" priority="33" operator="equal">
      <formula>3</formula>
    </cfRule>
    <cfRule type="cellIs" dxfId="2341" priority="34" operator="equal">
      <formula>2</formula>
    </cfRule>
    <cfRule type="cellIs" dxfId="2340" priority="35" operator="equal">
      <formula>1</formula>
    </cfRule>
  </conditionalFormatting>
  <conditionalFormatting sqref="K7:K35">
    <cfRule type="cellIs" dxfId="2339" priority="32" operator="lessThan">
      <formula>18</formula>
    </cfRule>
  </conditionalFormatting>
  <conditionalFormatting sqref="H7">
    <cfRule type="expression" dxfId="2338" priority="31">
      <formula>$E7="MC"</formula>
    </cfRule>
  </conditionalFormatting>
  <conditionalFormatting sqref="H7">
    <cfRule type="expression" dxfId="2337" priority="30">
      <formula>$E7="MC"</formula>
    </cfRule>
  </conditionalFormatting>
  <conditionalFormatting sqref="B7:D7 F7:G7">
    <cfRule type="expression" dxfId="2336" priority="29">
      <formula>$E7="MC"</formula>
    </cfRule>
  </conditionalFormatting>
  <conditionalFormatting sqref="B7:D7 F7:G7">
    <cfRule type="expression" dxfId="2335" priority="28">
      <formula>$E7="MC"</formula>
    </cfRule>
  </conditionalFormatting>
  <conditionalFormatting sqref="H8">
    <cfRule type="expression" dxfId="2334" priority="27">
      <formula>$E8="MC"</formula>
    </cfRule>
  </conditionalFormatting>
  <conditionalFormatting sqref="B8:D8 F8:G8">
    <cfRule type="expression" dxfId="2333" priority="26">
      <formula>$E8="MC"</formula>
    </cfRule>
  </conditionalFormatting>
  <conditionalFormatting sqref="B8:D8 F8:G8">
    <cfRule type="expression" dxfId="2332" priority="25">
      <formula>$E8="MC"</formula>
    </cfRule>
  </conditionalFormatting>
  <conditionalFormatting sqref="B9:D9">
    <cfRule type="expression" dxfId="2331" priority="22">
      <formula>$E9="MC"</formula>
    </cfRule>
  </conditionalFormatting>
  <conditionalFormatting sqref="F9:H9">
    <cfRule type="expression" dxfId="2330" priority="21">
      <formula>$E9="MC"</formula>
    </cfRule>
  </conditionalFormatting>
  <conditionalFormatting sqref="H10">
    <cfRule type="expression" dxfId="2329" priority="20">
      <formula>$E10="MC"</formula>
    </cfRule>
  </conditionalFormatting>
  <conditionalFormatting sqref="H10">
    <cfRule type="expression" dxfId="2328" priority="19">
      <formula>$E10="MC"</formula>
    </cfRule>
  </conditionalFormatting>
  <conditionalFormatting sqref="B10:D10 F10:G10">
    <cfRule type="expression" dxfId="2327" priority="18">
      <formula>$E10="MC"</formula>
    </cfRule>
  </conditionalFormatting>
  <conditionalFormatting sqref="B10:D10 F10:G10">
    <cfRule type="expression" dxfId="2326" priority="17">
      <formula>$E10="MC"</formula>
    </cfRule>
  </conditionalFormatting>
  <dataValidations count="3">
    <dataValidation type="date" allowBlank="1" showInputMessage="1" showErrorMessage="1" errorTitle="Data Invalida" error="Você deve inserir uma data no formato XX/XX/XXXX" promptTitle="Insira uma Data" prompt="Favor inserir uma data válida no formato: XX/XX/XXXX" sqref="F9:F12">
      <formula1>1</formula1>
      <formula2>2958465</formula2>
    </dataValidation>
    <dataValidation type="date" allowBlank="1" showInputMessage="1" showErrorMessage="1" errorTitle="Data Invalida" error="Favor inserir uma data válida no formato: XX/XX/XXXX" promptTitle="Insira uma Data" prompt="_x000a_Favor inserir uma data válida no formato: XX/XX/XXXX" sqref="F7:F8">
      <formula1>1</formula1>
      <formula2>2958465</formula2>
    </dataValidation>
    <dataValidation type="list" allowBlank="1" showInputMessage="1" showErrorMessage="1" sqref="T7:T15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6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BD50C208-B05E-47E6-B9FD-E91817A12D0B}">
            <xm:f>'[LISTA PILOTO - EJA - 1º SEM - 2025.xlsx]2ª'!#REF!="MC"</xm:f>
            <x14:dxf>
              <font>
                <b/>
                <i val="0"/>
                <color rgb="FFFF0000"/>
              </font>
            </x14:dxf>
          </x14:cfRule>
          <xm:sqref>A8 A10 A12 A14 A16 A18 A20 A22 A24 A26 A28 A30 A32 A34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V44"/>
  <sheetViews>
    <sheetView view="pageBreakPreview" zoomScale="70" zoomScaleNormal="100" zoomScaleSheetLayoutView="70" workbookViewId="0">
      <pane xSplit="3" ySplit="5" topLeftCell="D6" activePane="bottomRight" state="frozen"/>
      <selection sqref="A1:XFD1048576"/>
      <selection pane="topRight" sqref="A1:XFD1048576"/>
      <selection pane="bottomLeft" sqref="A1:XFD1048576"/>
      <selection pane="bottomRight" activeCell="A16" sqref="A16:XFD16"/>
    </sheetView>
  </sheetViews>
  <sheetFormatPr defaultRowHeight="17.25" x14ac:dyDescent="0.3"/>
  <cols>
    <col min="1" max="1" width="3.7109375" style="273" customWidth="1"/>
    <col min="2" max="2" width="7.7109375" style="273" customWidth="1"/>
    <col min="3" max="3" width="40.7109375" style="514" customWidth="1"/>
    <col min="4" max="4" width="3.7109375" style="258" customWidth="1"/>
    <col min="5" max="5" width="5.28515625" style="258" customWidth="1"/>
    <col min="6" max="6" width="14" style="274" bestFit="1" customWidth="1"/>
    <col min="7" max="7" width="16.28515625" style="273" customWidth="1"/>
    <col min="8" max="8" width="12.7109375" style="275" customWidth="1"/>
    <col min="9" max="9" width="25.42578125" style="514" customWidth="1"/>
    <col min="10" max="10" width="12.7109375" style="255" customWidth="1"/>
    <col min="11" max="11" width="7.85546875" style="291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0" width="9.140625" style="258"/>
    <col min="21" max="21" width="22.140625" style="258" customWidth="1"/>
    <col min="22" max="22" width="25.7109375" style="258" customWidth="1"/>
    <col min="23" max="16384" width="9.140625" style="258"/>
  </cols>
  <sheetData>
    <row r="1" spans="1:22" s="526" customFormat="1" ht="16.5" x14ac:dyDescent="0.25">
      <c r="A1" s="292"/>
      <c r="B1" s="292"/>
      <c r="C1" s="573" t="s">
        <v>0</v>
      </c>
      <c r="D1" s="573"/>
      <c r="E1" s="573"/>
      <c r="F1" s="573"/>
      <c r="G1" s="573"/>
      <c r="H1" s="573"/>
      <c r="I1" s="293"/>
      <c r="J1" s="293"/>
      <c r="K1" s="294"/>
      <c r="L1" s="19"/>
    </row>
    <row r="2" spans="1:22" s="526" customFormat="1" ht="16.5" x14ac:dyDescent="0.25">
      <c r="A2" s="292"/>
      <c r="B2" s="292"/>
      <c r="C2" s="573" t="s">
        <v>1</v>
      </c>
      <c r="D2" s="573"/>
      <c r="E2" s="573"/>
      <c r="F2" s="573"/>
      <c r="G2" s="573"/>
      <c r="H2" s="573"/>
      <c r="I2" s="507"/>
      <c r="J2" s="507"/>
      <c r="K2" s="507"/>
      <c r="L2" s="19"/>
    </row>
    <row r="3" spans="1:22" s="526" customFormat="1" ht="16.5" x14ac:dyDescent="0.25">
      <c r="A3" s="292"/>
      <c r="B3" s="292"/>
      <c r="C3" s="573" t="s">
        <v>2</v>
      </c>
      <c r="D3" s="573"/>
      <c r="E3" s="573"/>
      <c r="F3" s="573"/>
      <c r="G3" s="573"/>
      <c r="H3" s="573"/>
      <c r="I3" s="294"/>
      <c r="J3" s="294"/>
      <c r="K3" s="294"/>
      <c r="L3" s="19"/>
    </row>
    <row r="4" spans="1:22" s="526" customFormat="1" thickBot="1" x14ac:dyDescent="0.3">
      <c r="A4" s="292"/>
      <c r="B4" s="292"/>
      <c r="C4" s="573" t="s">
        <v>362</v>
      </c>
      <c r="D4" s="573"/>
      <c r="E4" s="573"/>
      <c r="F4" s="573"/>
      <c r="G4" s="573"/>
      <c r="H4" s="573"/>
      <c r="I4" s="507"/>
      <c r="J4" s="507"/>
      <c r="K4" s="507"/>
      <c r="L4" s="19"/>
      <c r="M4" s="295"/>
    </row>
    <row r="5" spans="1:22" ht="18" thickBot="1" x14ac:dyDescent="0.35">
      <c r="A5" s="569" t="s">
        <v>27</v>
      </c>
      <c r="B5" s="570"/>
      <c r="C5" s="570"/>
      <c r="D5" s="571" t="s">
        <v>44</v>
      </c>
      <c r="E5" s="572"/>
      <c r="F5" s="330"/>
      <c r="G5" s="509" t="s">
        <v>35</v>
      </c>
      <c r="H5" s="510">
        <f ca="1">TODAY()</f>
        <v>45931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  <c r="S5" s="19"/>
      <c r="T5" s="19"/>
    </row>
    <row r="6" spans="1:22" x14ac:dyDescent="0.3">
      <c r="A6" s="332" t="s">
        <v>7</v>
      </c>
      <c r="B6" s="333" t="s">
        <v>8</v>
      </c>
      <c r="C6" s="334" t="s">
        <v>9</v>
      </c>
      <c r="D6" s="335" t="s">
        <v>10</v>
      </c>
      <c r="E6" s="335" t="s">
        <v>11</v>
      </c>
      <c r="F6" s="336" t="s">
        <v>12</v>
      </c>
      <c r="G6" s="333" t="s">
        <v>13</v>
      </c>
      <c r="H6" s="337" t="s">
        <v>14</v>
      </c>
      <c r="I6" s="338" t="s">
        <v>57</v>
      </c>
      <c r="J6" s="337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361">
        <v>1</v>
      </c>
      <c r="B7" s="353">
        <v>17679</v>
      </c>
      <c r="C7" s="340" t="s">
        <v>63</v>
      </c>
      <c r="D7" s="340" t="s">
        <v>17</v>
      </c>
      <c r="E7" s="327" t="str">
        <f t="shared" ref="E7:E14" si="0">IF(COUNTIF(I7,"*MC*")=1,"MC",IF(COUNTIF(I7,"*NCOM*")=1,"NCOM",IF(C7="","","MA")))</f>
        <v>MA</v>
      </c>
      <c r="F7" s="346">
        <v>26602</v>
      </c>
      <c r="G7" s="347" t="s">
        <v>75</v>
      </c>
      <c r="H7" s="348" t="s">
        <v>64</v>
      </c>
      <c r="I7" s="345"/>
      <c r="J7" s="368" t="str">
        <f t="shared" ref="J7" ca="1" si="1">IF(K7="","",IF(K7&gt;29,"DISP.IDADE",""))</f>
        <v>DISP.IDADE</v>
      </c>
      <c r="K7" s="329">
        <f t="shared" ref="K7" ca="1" si="2">IF(F7="","",INT((TODAY()-F7)/365.25))</f>
        <v>52</v>
      </c>
      <c r="L7" s="93" t="s">
        <v>305</v>
      </c>
      <c r="M7" s="373" t="s">
        <v>26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>
        <v>25307778880</v>
      </c>
    </row>
    <row r="8" spans="1:22" s="513" customFormat="1" ht="20.100000000000001" customHeight="1" x14ac:dyDescent="0.25">
      <c r="A8" s="361">
        <v>2</v>
      </c>
      <c r="B8" s="342">
        <v>10179</v>
      </c>
      <c r="C8" s="341" t="s">
        <v>410</v>
      </c>
      <c r="D8" s="343" t="s">
        <v>16</v>
      </c>
      <c r="E8" s="327" t="str">
        <f t="shared" si="0"/>
        <v>MC</v>
      </c>
      <c r="F8" s="344">
        <v>29930</v>
      </c>
      <c r="G8" s="343"/>
      <c r="H8" s="341">
        <v>36878914</v>
      </c>
      <c r="I8" s="375" t="s">
        <v>584</v>
      </c>
      <c r="J8" s="368" t="str">
        <f t="shared" ref="J8:J34" ca="1" si="3">IF(K8="","",IF(K8&gt;29,"DISP.IDADE",""))</f>
        <v>DISP.IDADE</v>
      </c>
      <c r="K8" s="329">
        <f t="shared" ref="K8:K34" ca="1" si="4">IF(F8="","",INT((TODAY()-F8)/365.25))</f>
        <v>43</v>
      </c>
      <c r="L8" s="93" t="s">
        <v>305</v>
      </c>
      <c r="M8" s="373" t="s">
        <v>26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452"/>
      <c r="U8" s="452"/>
      <c r="V8" s="452">
        <v>37639844886</v>
      </c>
    </row>
    <row r="9" spans="1:22" s="513" customFormat="1" ht="20.100000000000001" customHeight="1" x14ac:dyDescent="0.25">
      <c r="A9" s="361">
        <v>3</v>
      </c>
      <c r="B9" s="342">
        <v>18847</v>
      </c>
      <c r="C9" s="350" t="s">
        <v>297</v>
      </c>
      <c r="D9" s="340" t="s">
        <v>16</v>
      </c>
      <c r="E9" s="328" t="str">
        <f t="shared" si="0"/>
        <v>MA</v>
      </c>
      <c r="F9" s="346">
        <v>34343</v>
      </c>
      <c r="G9" s="340"/>
      <c r="H9" s="348" t="s">
        <v>361</v>
      </c>
      <c r="I9" s="345"/>
      <c r="J9" s="368" t="str">
        <f t="shared" ca="1" si="3"/>
        <v>DISP.IDADE</v>
      </c>
      <c r="K9" s="329">
        <f t="shared" ca="1" si="4"/>
        <v>31</v>
      </c>
      <c r="L9" s="93" t="s">
        <v>305</v>
      </c>
      <c r="M9" s="373" t="s">
        <v>26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2">
        <v>46617404831</v>
      </c>
    </row>
    <row r="10" spans="1:22" s="513" customFormat="1" ht="20.100000000000001" customHeight="1" x14ac:dyDescent="0.25">
      <c r="A10" s="361">
        <v>4</v>
      </c>
      <c r="B10" s="342">
        <v>18768</v>
      </c>
      <c r="C10" s="518" t="s">
        <v>270</v>
      </c>
      <c r="D10" s="340" t="s">
        <v>16</v>
      </c>
      <c r="E10" s="327" t="str">
        <f t="shared" si="0"/>
        <v>MA</v>
      </c>
      <c r="F10" s="346">
        <v>19771</v>
      </c>
      <c r="G10" s="340">
        <v>1257974622</v>
      </c>
      <c r="H10" s="348" t="s">
        <v>271</v>
      </c>
      <c r="I10" s="345"/>
      <c r="J10" s="368" t="str">
        <f t="shared" ca="1" si="3"/>
        <v>DISP.IDADE</v>
      </c>
      <c r="K10" s="329">
        <f t="shared" ca="1" si="4"/>
        <v>71</v>
      </c>
      <c r="L10" s="93" t="s">
        <v>305</v>
      </c>
      <c r="M10" s="373" t="s">
        <v>26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2">
        <v>26538393772</v>
      </c>
    </row>
    <row r="11" spans="1:22" s="513" customFormat="1" ht="20.100000000000001" customHeight="1" x14ac:dyDescent="0.25">
      <c r="A11" s="361">
        <v>5</v>
      </c>
      <c r="B11" s="342">
        <v>17689</v>
      </c>
      <c r="C11" s="341" t="s">
        <v>447</v>
      </c>
      <c r="D11" s="343" t="s">
        <v>17</v>
      </c>
      <c r="E11" s="327" t="str">
        <f t="shared" si="0"/>
        <v>MA</v>
      </c>
      <c r="F11" s="344">
        <v>38487</v>
      </c>
      <c r="G11" s="343">
        <v>1084133830</v>
      </c>
      <c r="H11" s="341"/>
      <c r="I11" s="341"/>
      <c r="J11" s="368" t="s">
        <v>187</v>
      </c>
      <c r="K11" s="329">
        <f t="shared" ca="1" si="4"/>
        <v>20</v>
      </c>
      <c r="L11" s="93" t="s">
        <v>305</v>
      </c>
      <c r="M11" s="373" t="s">
        <v>26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452"/>
      <c r="U11" s="452"/>
      <c r="V11" s="452"/>
    </row>
    <row r="12" spans="1:22" s="513" customFormat="1" ht="20.100000000000001" customHeight="1" x14ac:dyDescent="0.25">
      <c r="A12" s="361">
        <v>6</v>
      </c>
      <c r="B12" s="342">
        <v>17188</v>
      </c>
      <c r="C12" s="341" t="s">
        <v>388</v>
      </c>
      <c r="D12" s="343" t="s">
        <v>17</v>
      </c>
      <c r="E12" s="328" t="str">
        <f t="shared" si="0"/>
        <v>MA</v>
      </c>
      <c r="F12" s="344">
        <v>39857</v>
      </c>
      <c r="G12" s="343">
        <v>1119728599</v>
      </c>
      <c r="H12" s="341">
        <v>353987025</v>
      </c>
      <c r="I12" s="345"/>
      <c r="J12" s="368" t="str">
        <f t="shared" ca="1" si="3"/>
        <v/>
      </c>
      <c r="K12" s="329">
        <f t="shared" ca="1" si="4"/>
        <v>16</v>
      </c>
      <c r="L12" s="93" t="s">
        <v>305</v>
      </c>
      <c r="M12" s="373" t="s">
        <v>26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452"/>
      <c r="U12" s="452"/>
      <c r="V12" s="452">
        <v>35366732975</v>
      </c>
    </row>
    <row r="13" spans="1:22" s="513" customFormat="1" ht="20.100000000000001" customHeight="1" x14ac:dyDescent="0.25">
      <c r="A13" s="361">
        <v>7</v>
      </c>
      <c r="B13" s="342">
        <v>18708</v>
      </c>
      <c r="C13" s="341" t="s">
        <v>467</v>
      </c>
      <c r="D13" s="343" t="s">
        <v>16</v>
      </c>
      <c r="E13" s="327" t="str">
        <f t="shared" si="0"/>
        <v>MA</v>
      </c>
      <c r="F13" s="344">
        <v>39981</v>
      </c>
      <c r="G13" s="343" t="s">
        <v>468</v>
      </c>
      <c r="H13" s="341" t="s">
        <v>469</v>
      </c>
      <c r="I13" s="345" t="s">
        <v>470</v>
      </c>
      <c r="J13" s="368" t="str">
        <f t="shared" ca="1" si="3"/>
        <v/>
      </c>
      <c r="K13" s="329">
        <f t="shared" ca="1" si="4"/>
        <v>16</v>
      </c>
      <c r="L13" s="93" t="s">
        <v>305</v>
      </c>
      <c r="M13" s="373" t="s">
        <v>26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452"/>
      <c r="U13" s="452"/>
      <c r="V13" s="452">
        <v>53905592827</v>
      </c>
    </row>
    <row r="14" spans="1:22" s="513" customFormat="1" ht="20.100000000000001" customHeight="1" x14ac:dyDescent="0.25">
      <c r="A14" s="361">
        <v>8</v>
      </c>
      <c r="B14" s="342">
        <v>18953</v>
      </c>
      <c r="C14" s="341" t="s">
        <v>496</v>
      </c>
      <c r="D14" s="343" t="s">
        <v>16</v>
      </c>
      <c r="E14" s="327" t="str">
        <f t="shared" si="0"/>
        <v>MA</v>
      </c>
      <c r="F14" s="344">
        <v>39647</v>
      </c>
      <c r="G14" s="343"/>
      <c r="H14" s="341"/>
      <c r="I14" s="345" t="s">
        <v>476</v>
      </c>
      <c r="J14" s="368" t="str">
        <f t="shared" ca="1" si="3"/>
        <v/>
      </c>
      <c r="K14" s="329">
        <f t="shared" ca="1" si="4"/>
        <v>17</v>
      </c>
      <c r="L14" s="93" t="s">
        <v>305</v>
      </c>
      <c r="M14" s="373" t="s">
        <v>26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452"/>
      <c r="U14" s="452"/>
      <c r="V14" s="452">
        <v>22881744710</v>
      </c>
    </row>
    <row r="15" spans="1:22" s="513" customFormat="1" ht="20.100000000000001" customHeight="1" x14ac:dyDescent="0.25">
      <c r="A15" s="361">
        <v>9</v>
      </c>
      <c r="B15" s="342">
        <v>18954</v>
      </c>
      <c r="C15" s="341" t="s">
        <v>498</v>
      </c>
      <c r="D15" s="343" t="s">
        <v>16</v>
      </c>
      <c r="E15" s="327" t="str">
        <f>IF(COUNTIF(I15,"*MC*")=1,"MC",IF(COUNTIF(I15,"*NCOM*")=1,"NCOM",IF(C15="","","MA")))</f>
        <v>MA</v>
      </c>
      <c r="F15" s="30">
        <v>39542</v>
      </c>
      <c r="G15" s="495" t="s">
        <v>499</v>
      </c>
      <c r="H15" s="341"/>
      <c r="I15" s="345" t="s">
        <v>504</v>
      </c>
      <c r="J15" s="368" t="str">
        <f t="shared" ca="1" si="3"/>
        <v/>
      </c>
      <c r="K15" s="329">
        <f t="shared" ca="1" si="4"/>
        <v>17</v>
      </c>
      <c r="L15" s="93" t="s">
        <v>305</v>
      </c>
      <c r="M15" s="373" t="s">
        <v>26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452"/>
      <c r="U15" s="452"/>
      <c r="V15" s="452"/>
    </row>
    <row r="16" spans="1:22" s="513" customFormat="1" ht="20.100000000000001" customHeight="1" x14ac:dyDescent="0.25">
      <c r="A16" s="361">
        <v>10</v>
      </c>
      <c r="B16" s="342">
        <v>18955</v>
      </c>
      <c r="C16" s="341" t="s">
        <v>500</v>
      </c>
      <c r="D16" s="343" t="s">
        <v>17</v>
      </c>
      <c r="E16" s="327" t="s">
        <v>4</v>
      </c>
      <c r="F16" s="30">
        <v>40145</v>
      </c>
      <c r="G16" s="496">
        <v>1129246905</v>
      </c>
      <c r="H16" s="341"/>
      <c r="I16" s="345" t="s">
        <v>504</v>
      </c>
      <c r="J16" s="368" t="str">
        <f t="shared" ca="1" si="3"/>
        <v/>
      </c>
      <c r="K16" s="329">
        <f t="shared" ca="1" si="4"/>
        <v>15</v>
      </c>
      <c r="L16" s="93" t="s">
        <v>305</v>
      </c>
      <c r="M16" s="373" t="s">
        <v>26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452"/>
      <c r="U16" s="452"/>
      <c r="V16" s="452"/>
    </row>
    <row r="17" spans="1:22" s="513" customFormat="1" ht="20.100000000000001" customHeight="1" x14ac:dyDescent="0.25">
      <c r="A17" s="361">
        <v>11</v>
      </c>
      <c r="B17" s="342">
        <v>13490</v>
      </c>
      <c r="C17" s="472" t="s">
        <v>519</v>
      </c>
      <c r="D17" s="532" t="s">
        <v>17</v>
      </c>
      <c r="E17" s="533" t="str">
        <f t="shared" ref="E17:E25" si="5">IF(COUNTIF(I17,"*MC*")=1,"MC",IF(COUNTIF(I17,"*NCOM*")=1,"NCOM",IF(C17="","","MA")))</f>
        <v>MA</v>
      </c>
      <c r="F17" s="534">
        <v>35322</v>
      </c>
      <c r="G17" s="532" t="s">
        <v>520</v>
      </c>
      <c r="H17" s="472" t="s">
        <v>520</v>
      </c>
      <c r="I17" s="345" t="s">
        <v>566</v>
      </c>
      <c r="J17" s="368" t="str">
        <f t="shared" ca="1" si="3"/>
        <v/>
      </c>
      <c r="K17" s="329">
        <f t="shared" ca="1" si="4"/>
        <v>29</v>
      </c>
      <c r="L17" s="93" t="s">
        <v>305</v>
      </c>
      <c r="M17" s="373" t="s">
        <v>26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452"/>
      <c r="U17" s="452"/>
      <c r="V17" s="452"/>
    </row>
    <row r="18" spans="1:22" s="513" customFormat="1" ht="20.100000000000001" customHeight="1" x14ac:dyDescent="0.25">
      <c r="A18" s="361">
        <v>12</v>
      </c>
      <c r="B18" s="342">
        <v>18960</v>
      </c>
      <c r="C18" s="341" t="s">
        <v>531</v>
      </c>
      <c r="D18" s="343" t="s">
        <v>17</v>
      </c>
      <c r="E18" s="327" t="str">
        <f t="shared" si="5"/>
        <v>MA</v>
      </c>
      <c r="F18" s="344">
        <v>35506</v>
      </c>
      <c r="G18" s="343"/>
      <c r="H18" s="341" t="s">
        <v>532</v>
      </c>
      <c r="I18" s="345" t="s">
        <v>521</v>
      </c>
      <c r="J18" s="368" t="str">
        <f t="shared" ca="1" si="3"/>
        <v/>
      </c>
      <c r="K18" s="329">
        <f t="shared" ca="1" si="4"/>
        <v>28</v>
      </c>
      <c r="L18" s="93" t="s">
        <v>305</v>
      </c>
      <c r="M18" s="373" t="s">
        <v>26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452"/>
      <c r="U18" s="452"/>
      <c r="V18" s="452" t="s">
        <v>533</v>
      </c>
    </row>
    <row r="19" spans="1:22" s="513" customFormat="1" ht="20.100000000000001" customHeight="1" x14ac:dyDescent="0.25">
      <c r="A19" s="361">
        <v>13</v>
      </c>
      <c r="B19" s="342">
        <v>18977</v>
      </c>
      <c r="C19" s="341" t="s">
        <v>576</v>
      </c>
      <c r="D19" s="343" t="s">
        <v>17</v>
      </c>
      <c r="E19" s="327" t="s">
        <v>4</v>
      </c>
      <c r="F19" s="344">
        <v>40067</v>
      </c>
      <c r="G19" s="343" t="s">
        <v>577</v>
      </c>
      <c r="H19" s="341"/>
      <c r="I19" s="345" t="s">
        <v>578</v>
      </c>
      <c r="J19" s="368" t="str">
        <f t="shared" ca="1" si="3"/>
        <v/>
      </c>
      <c r="K19" s="329">
        <f t="shared" ca="1" si="4"/>
        <v>16</v>
      </c>
      <c r="L19" s="93" t="s">
        <v>305</v>
      </c>
      <c r="M19" s="373" t="s">
        <v>26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452"/>
      <c r="U19" s="452"/>
      <c r="V19" s="452">
        <v>11323034510</v>
      </c>
    </row>
    <row r="20" spans="1:22" s="513" customFormat="1" ht="20.100000000000001" customHeight="1" x14ac:dyDescent="0.25">
      <c r="A20" s="361">
        <v>14</v>
      </c>
      <c r="B20" s="343"/>
      <c r="C20" s="341"/>
      <c r="D20" s="343"/>
      <c r="E20" s="328" t="str">
        <f t="shared" si="5"/>
        <v/>
      </c>
      <c r="F20" s="344"/>
      <c r="G20" s="343"/>
      <c r="H20" s="341"/>
      <c r="I20" s="341"/>
      <c r="J20" s="368" t="str">
        <f t="shared" ca="1" si="3"/>
        <v/>
      </c>
      <c r="K20" s="329" t="str">
        <f t="shared" ca="1" si="4"/>
        <v/>
      </c>
      <c r="L20" s="93" t="s">
        <v>305</v>
      </c>
      <c r="M20" s="373" t="s">
        <v>26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452"/>
      <c r="U20" s="452"/>
      <c r="V20" s="452"/>
    </row>
    <row r="21" spans="1:22" s="513" customFormat="1" ht="20.100000000000001" customHeight="1" x14ac:dyDescent="0.25">
      <c r="A21" s="361">
        <v>15</v>
      </c>
      <c r="B21" s="343"/>
      <c r="C21" s="341"/>
      <c r="D21" s="343"/>
      <c r="E21" s="327" t="str">
        <f t="shared" si="5"/>
        <v/>
      </c>
      <c r="F21" s="344"/>
      <c r="G21" s="343"/>
      <c r="H21" s="341"/>
      <c r="I21" s="341"/>
      <c r="J21" s="368" t="str">
        <f t="shared" ca="1" si="3"/>
        <v/>
      </c>
      <c r="K21" s="329" t="str">
        <f t="shared" ca="1" si="4"/>
        <v/>
      </c>
      <c r="L21" s="93" t="s">
        <v>305</v>
      </c>
      <c r="M21" s="373" t="s">
        <v>26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452"/>
      <c r="U21" s="452"/>
      <c r="V21" s="452"/>
    </row>
    <row r="22" spans="1:22" s="513" customFormat="1" ht="20.100000000000001" customHeight="1" x14ac:dyDescent="0.25">
      <c r="A22" s="361">
        <v>16</v>
      </c>
      <c r="B22" s="343"/>
      <c r="C22" s="341"/>
      <c r="D22" s="343"/>
      <c r="E22" s="327" t="str">
        <f t="shared" si="5"/>
        <v/>
      </c>
      <c r="F22" s="344"/>
      <c r="G22" s="343"/>
      <c r="H22" s="341"/>
      <c r="I22" s="341"/>
      <c r="J22" s="368" t="str">
        <f t="shared" ca="1" si="3"/>
        <v/>
      </c>
      <c r="K22" s="329" t="str">
        <f t="shared" ca="1" si="4"/>
        <v/>
      </c>
      <c r="L22" s="93" t="s">
        <v>305</v>
      </c>
      <c r="M22" s="373" t="s">
        <v>26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452"/>
      <c r="U22" s="452"/>
      <c r="V22" s="452"/>
    </row>
    <row r="23" spans="1:22" s="513" customFormat="1" ht="20.100000000000001" customHeight="1" x14ac:dyDescent="0.25">
      <c r="A23" s="361">
        <v>17</v>
      </c>
      <c r="B23" s="343"/>
      <c r="C23" s="341"/>
      <c r="D23" s="343"/>
      <c r="E23" s="328" t="str">
        <f t="shared" si="5"/>
        <v/>
      </c>
      <c r="F23" s="344"/>
      <c r="G23" s="343"/>
      <c r="H23" s="341"/>
      <c r="I23" s="341"/>
      <c r="J23" s="368" t="str">
        <f t="shared" ca="1" si="3"/>
        <v/>
      </c>
      <c r="K23" s="329" t="str">
        <f t="shared" ca="1" si="4"/>
        <v/>
      </c>
      <c r="L23" s="93" t="s">
        <v>305</v>
      </c>
      <c r="M23" s="373" t="s">
        <v>26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452"/>
      <c r="U23" s="452"/>
      <c r="V23" s="452"/>
    </row>
    <row r="24" spans="1:22" s="513" customFormat="1" ht="20.100000000000001" customHeight="1" x14ac:dyDescent="0.25">
      <c r="A24" s="361">
        <v>18</v>
      </c>
      <c r="B24" s="343"/>
      <c r="C24" s="341"/>
      <c r="D24" s="343"/>
      <c r="E24" s="327" t="str">
        <f t="shared" si="5"/>
        <v/>
      </c>
      <c r="F24" s="344"/>
      <c r="G24" s="343"/>
      <c r="H24" s="341"/>
      <c r="I24" s="341"/>
      <c r="J24" s="368" t="str">
        <f t="shared" ca="1" si="3"/>
        <v/>
      </c>
      <c r="K24" s="329" t="str">
        <f t="shared" ca="1" si="4"/>
        <v/>
      </c>
      <c r="L24" s="93" t="s">
        <v>305</v>
      </c>
      <c r="M24" s="373" t="s">
        <v>26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452"/>
      <c r="U24" s="452"/>
      <c r="V24" s="452"/>
    </row>
    <row r="25" spans="1:22" s="513" customFormat="1" ht="20.100000000000001" customHeight="1" x14ac:dyDescent="0.25">
      <c r="A25" s="361">
        <v>19</v>
      </c>
      <c r="B25" s="452"/>
      <c r="C25" s="32"/>
      <c r="D25" s="452"/>
      <c r="E25" s="327" t="str">
        <f t="shared" si="5"/>
        <v/>
      </c>
      <c r="F25" s="30"/>
      <c r="G25" s="452"/>
      <c r="H25" s="32"/>
      <c r="I25" s="32"/>
      <c r="J25" s="368" t="str">
        <f t="shared" ca="1" si="3"/>
        <v/>
      </c>
      <c r="K25" s="329" t="str">
        <f t="shared" ca="1" si="4"/>
        <v/>
      </c>
      <c r="L25" s="93" t="s">
        <v>305</v>
      </c>
      <c r="M25" s="373" t="s">
        <v>26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452"/>
      <c r="U25" s="452"/>
      <c r="V25" s="452"/>
    </row>
    <row r="26" spans="1:22" ht="20.100000000000001" customHeight="1" x14ac:dyDescent="0.3">
      <c r="A26" s="361">
        <v>20</v>
      </c>
      <c r="B26" s="266"/>
      <c r="C26" s="523"/>
      <c r="D26" s="366"/>
      <c r="E26" s="366"/>
      <c r="F26" s="269"/>
      <c r="G26" s="266"/>
      <c r="H26" s="271"/>
      <c r="I26" s="523"/>
      <c r="J26" s="368" t="str">
        <f t="shared" ca="1" si="3"/>
        <v/>
      </c>
      <c r="K26" s="329" t="str">
        <f t="shared" ca="1" si="4"/>
        <v/>
      </c>
      <c r="L26" s="93" t="s">
        <v>305</v>
      </c>
      <c r="M26" s="373" t="s">
        <v>26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366"/>
      <c r="U26" s="366"/>
      <c r="V26" s="366"/>
    </row>
    <row r="27" spans="1:22" ht="20.100000000000001" customHeight="1" x14ac:dyDescent="0.3">
      <c r="A27" s="361">
        <v>21</v>
      </c>
      <c r="B27" s="266"/>
      <c r="C27" s="523"/>
      <c r="D27" s="366"/>
      <c r="E27" s="366"/>
      <c r="F27" s="269"/>
      <c r="G27" s="266"/>
      <c r="H27" s="271"/>
      <c r="I27" s="523"/>
      <c r="J27" s="368" t="str">
        <f t="shared" ca="1" si="3"/>
        <v/>
      </c>
      <c r="K27" s="329" t="str">
        <f t="shared" ca="1" si="4"/>
        <v/>
      </c>
      <c r="L27" s="93" t="s">
        <v>305</v>
      </c>
      <c r="M27" s="373" t="s">
        <v>26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366"/>
      <c r="U27" s="366"/>
      <c r="V27" s="366"/>
    </row>
    <row r="28" spans="1:22" ht="20.100000000000001" customHeight="1" x14ac:dyDescent="0.3">
      <c r="A28" s="361">
        <v>22</v>
      </c>
      <c r="B28" s="266"/>
      <c r="C28" s="523"/>
      <c r="D28" s="366"/>
      <c r="E28" s="366"/>
      <c r="F28" s="269"/>
      <c r="G28" s="266"/>
      <c r="H28" s="271"/>
      <c r="I28" s="523"/>
      <c r="J28" s="368" t="str">
        <f t="shared" ca="1" si="3"/>
        <v/>
      </c>
      <c r="K28" s="329" t="str">
        <f t="shared" ca="1" si="4"/>
        <v/>
      </c>
      <c r="L28" s="93" t="s">
        <v>305</v>
      </c>
      <c r="M28" s="373" t="s">
        <v>26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366"/>
      <c r="U28" s="366"/>
      <c r="V28" s="366"/>
    </row>
    <row r="29" spans="1:22" ht="20.100000000000001" customHeight="1" x14ac:dyDescent="0.3">
      <c r="A29" s="361">
        <v>23</v>
      </c>
      <c r="B29" s="266"/>
      <c r="C29" s="523"/>
      <c r="D29" s="366"/>
      <c r="E29" s="366"/>
      <c r="F29" s="269"/>
      <c r="G29" s="266"/>
      <c r="H29" s="271"/>
      <c r="I29" s="523"/>
      <c r="J29" s="368" t="str">
        <f t="shared" ca="1" si="3"/>
        <v/>
      </c>
      <c r="K29" s="329" t="str">
        <f t="shared" ca="1" si="4"/>
        <v/>
      </c>
      <c r="L29" s="93" t="s">
        <v>305</v>
      </c>
      <c r="M29" s="373" t="s">
        <v>26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366"/>
      <c r="U29" s="366"/>
      <c r="V29" s="366"/>
    </row>
    <row r="30" spans="1:22" ht="20.100000000000001" customHeight="1" x14ac:dyDescent="0.3">
      <c r="A30" s="361">
        <v>24</v>
      </c>
      <c r="B30" s="266"/>
      <c r="C30" s="523"/>
      <c r="D30" s="366"/>
      <c r="E30" s="366"/>
      <c r="F30" s="269"/>
      <c r="G30" s="266"/>
      <c r="H30" s="271"/>
      <c r="I30" s="523"/>
      <c r="J30" s="368" t="str">
        <f t="shared" ca="1" si="3"/>
        <v/>
      </c>
      <c r="K30" s="329" t="str">
        <f t="shared" ca="1" si="4"/>
        <v/>
      </c>
      <c r="L30" s="93" t="s">
        <v>305</v>
      </c>
      <c r="M30" s="373" t="s">
        <v>26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366"/>
      <c r="U30" s="366"/>
      <c r="V30" s="366"/>
    </row>
    <row r="31" spans="1:22" ht="20.100000000000001" customHeight="1" x14ac:dyDescent="0.3">
      <c r="A31" s="361">
        <v>25</v>
      </c>
      <c r="B31" s="266"/>
      <c r="C31" s="523"/>
      <c r="D31" s="366"/>
      <c r="E31" s="366"/>
      <c r="F31" s="269"/>
      <c r="G31" s="266"/>
      <c r="H31" s="271"/>
      <c r="I31" s="523"/>
      <c r="J31" s="368" t="str">
        <f t="shared" ca="1" si="3"/>
        <v/>
      </c>
      <c r="K31" s="329" t="str">
        <f t="shared" ca="1" si="4"/>
        <v/>
      </c>
      <c r="L31" s="93" t="s">
        <v>305</v>
      </c>
      <c r="M31" s="373" t="s">
        <v>26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366"/>
      <c r="U31" s="366"/>
      <c r="V31" s="366"/>
    </row>
    <row r="32" spans="1:22" ht="20.100000000000001" customHeight="1" x14ac:dyDescent="0.3">
      <c r="A32" s="361">
        <v>26</v>
      </c>
      <c r="B32" s="266"/>
      <c r="C32" s="523"/>
      <c r="D32" s="366"/>
      <c r="E32" s="366"/>
      <c r="F32" s="269"/>
      <c r="G32" s="266"/>
      <c r="H32" s="271"/>
      <c r="I32" s="523"/>
      <c r="J32" s="368" t="str">
        <f t="shared" ca="1" si="3"/>
        <v/>
      </c>
      <c r="K32" s="329" t="str">
        <f t="shared" ca="1" si="4"/>
        <v/>
      </c>
      <c r="L32" s="93" t="s">
        <v>305</v>
      </c>
      <c r="M32" s="373" t="s">
        <v>26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366"/>
      <c r="U32" s="366"/>
      <c r="V32" s="366"/>
    </row>
    <row r="33" spans="1:22" ht="20.100000000000001" customHeight="1" x14ac:dyDescent="0.3">
      <c r="A33" s="361">
        <v>27</v>
      </c>
      <c r="B33" s="266"/>
      <c r="C33" s="523"/>
      <c r="D33" s="366"/>
      <c r="E33" s="366"/>
      <c r="F33" s="269"/>
      <c r="G33" s="266"/>
      <c r="H33" s="271"/>
      <c r="I33" s="523"/>
      <c r="J33" s="368" t="str">
        <f t="shared" ca="1" si="3"/>
        <v/>
      </c>
      <c r="K33" s="329" t="str">
        <f t="shared" ca="1" si="4"/>
        <v/>
      </c>
      <c r="L33" s="93" t="s">
        <v>305</v>
      </c>
      <c r="M33" s="373" t="s">
        <v>26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366"/>
      <c r="U33" s="366"/>
      <c r="V33" s="366"/>
    </row>
    <row r="34" spans="1:22" ht="20.100000000000001" customHeight="1" x14ac:dyDescent="0.3">
      <c r="A34" s="361">
        <v>28</v>
      </c>
      <c r="B34" s="266"/>
      <c r="C34" s="523"/>
      <c r="D34" s="366"/>
      <c r="E34" s="366"/>
      <c r="F34" s="269"/>
      <c r="G34" s="266"/>
      <c r="H34" s="271"/>
      <c r="I34" s="523"/>
      <c r="J34" s="368" t="str">
        <f t="shared" ca="1" si="3"/>
        <v/>
      </c>
      <c r="K34" s="329" t="str">
        <f t="shared" ca="1" si="4"/>
        <v/>
      </c>
      <c r="L34" s="93" t="s">
        <v>305</v>
      </c>
      <c r="M34" s="373" t="s">
        <v>26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366"/>
      <c r="U34" s="366"/>
      <c r="V34" s="366"/>
    </row>
    <row r="35" spans="1:22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22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22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22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22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22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22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</sheetData>
  <sheetProtection formatCells="0" selectLockedCells="1"/>
  <autoFilter ref="A6:K6">
    <sortState ref="A7:M58">
      <sortCondition ref="C6"/>
    </sortState>
  </autoFilter>
  <sortState ref="A7:V36">
    <sortCondition ref="C7:C36"/>
  </sortState>
  <mergeCells count="6">
    <mergeCell ref="C1:H1"/>
    <mergeCell ref="C2:H2"/>
    <mergeCell ref="C3:H3"/>
    <mergeCell ref="C4:H4"/>
    <mergeCell ref="A5:C5"/>
    <mergeCell ref="D5:E5"/>
  </mergeCells>
  <conditionalFormatting sqref="E15">
    <cfRule type="expression" dxfId="2324" priority="3540">
      <formula>$E15="MC"</formula>
    </cfRule>
  </conditionalFormatting>
  <conditionalFormatting sqref="M4:M5">
    <cfRule type="cellIs" dxfId="2323" priority="3370" operator="equal">
      <formula>3</formula>
    </cfRule>
    <cfRule type="cellIs" dxfId="2322" priority="3371" operator="equal">
      <formula>2</formula>
    </cfRule>
    <cfRule type="cellIs" dxfId="2321" priority="3372" operator="equal">
      <formula>1</formula>
    </cfRule>
  </conditionalFormatting>
  <conditionalFormatting sqref="K45:K1048576 K1:K6">
    <cfRule type="cellIs" dxfId="2320" priority="3041" operator="lessThan">
      <formula>18</formula>
    </cfRule>
  </conditionalFormatting>
  <conditionalFormatting sqref="I6">
    <cfRule type="expression" dxfId="2319" priority="414">
      <formula>$E6="MC"</formula>
    </cfRule>
  </conditionalFormatting>
  <conditionalFormatting sqref="E17 E20 E23 E9 E12">
    <cfRule type="expression" dxfId="2318" priority="77">
      <formula>$E9="MC"</formula>
    </cfRule>
  </conditionalFormatting>
  <conditionalFormatting sqref="E18:E19 E21:E22 E24:E25 E7:E8 E10:E11 E13:E14">
    <cfRule type="expression" dxfId="2317" priority="76">
      <formula>$E7="MC"</formula>
    </cfRule>
  </conditionalFormatting>
  <conditionalFormatting sqref="M6">
    <cfRule type="cellIs" dxfId="2316" priority="31" operator="equal">
      <formula>3</formula>
    </cfRule>
    <cfRule type="cellIs" dxfId="2315" priority="32" operator="equal">
      <formula>2</formula>
    </cfRule>
    <cfRule type="cellIs" dxfId="2314" priority="33" operator="equal">
      <formula>1</formula>
    </cfRule>
  </conditionalFormatting>
  <conditionalFormatting sqref="T6">
    <cfRule type="expression" dxfId="2313" priority="27">
      <formula>FIND("RETIDO",T6)</formula>
    </cfRule>
  </conditionalFormatting>
  <conditionalFormatting sqref="J7:J34">
    <cfRule type="expression" dxfId="2312" priority="26">
      <formula>$E7="MC"</formula>
    </cfRule>
  </conditionalFormatting>
  <conditionalFormatting sqref="M7:M34">
    <cfRule type="cellIs" dxfId="2311" priority="23" operator="equal">
      <formula>3</formula>
    </cfRule>
    <cfRule type="cellIs" dxfId="2310" priority="24" operator="equal">
      <formula>2</formula>
    </cfRule>
    <cfRule type="cellIs" dxfId="2309" priority="25" operator="equal">
      <formula>1</formula>
    </cfRule>
  </conditionalFormatting>
  <conditionalFormatting sqref="K7:K34">
    <cfRule type="cellIs" dxfId="2308" priority="22" operator="lessThan">
      <formula>18</formula>
    </cfRule>
  </conditionalFormatting>
  <conditionalFormatting sqref="B9:D9 F9:H9">
    <cfRule type="expression" dxfId="2307" priority="21">
      <formula>$E9="MC"</formula>
    </cfRule>
  </conditionalFormatting>
  <conditionalFormatting sqref="B7:D7 F7:H7">
    <cfRule type="expression" dxfId="2306" priority="19">
      <formula>$E7="MC"</formula>
    </cfRule>
  </conditionalFormatting>
  <conditionalFormatting sqref="A7 A9 A11 A13 A16 A19 A22 A25 A28 A31 A34">
    <cfRule type="expression" dxfId="2305" priority="18">
      <formula>$E7="MC"</formula>
    </cfRule>
  </conditionalFormatting>
  <conditionalFormatting sqref="B8:D8 F8:H8">
    <cfRule type="expression" dxfId="2304" priority="16">
      <formula>$E8="MC"</formula>
    </cfRule>
  </conditionalFormatting>
  <conditionalFormatting sqref="E16">
    <cfRule type="expression" dxfId="2303" priority="1">
      <formula>$E16="MC"</formula>
    </cfRule>
  </conditionalFormatting>
  <dataValidations disablePrompts="1" count="2">
    <dataValidation type="date" allowBlank="1" showInputMessage="1" showErrorMessage="1" errorTitle="Data Invalida" error="Você deve inserir uma data no formato XX/XX/XXXX" promptTitle="Insira uma Data" prompt="Favor inserir uma data válida no formato: XX/XX/XXXX" sqref="F7:F9">
      <formula1>1</formula1>
      <formula2>2958465</formula2>
    </dataValidation>
    <dataValidation type="list" allowBlank="1" showInputMessage="1" showErrorMessage="1" sqref="T7:T9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71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" id="{6A22CFB4-B0A9-4BFC-A059-8A3B4C5D45BF}">
            <xm:f>'[LISTA PILOTO - EJA - 1º SEM - 2025.xlsx]2ª'!#REF!="MC"</xm:f>
            <x14:dxf>
              <font>
                <b/>
                <i val="0"/>
                <color rgb="FFFF0000"/>
              </font>
            </x14:dxf>
          </x14:cfRule>
          <xm:sqref>A8 A10 A12 A14:A15 A17:A18 A20:A21 A23:A24 A26:A27 A29:A30 A32:A33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V46"/>
  <sheetViews>
    <sheetView view="pageBreakPreview" zoomScale="70" zoomScaleNormal="100" zoomScaleSheetLayoutView="70" workbookViewId="0">
      <pane xSplit="3" ySplit="5" topLeftCell="D12" activePane="bottomRight" state="frozen"/>
      <selection sqref="A1:XFD1048576"/>
      <selection pane="topRight" sqref="A1:XFD1048576"/>
      <selection pane="bottomLeft" sqref="A1:XFD1048576"/>
      <selection pane="bottomRight" activeCell="F25" sqref="F25"/>
    </sheetView>
  </sheetViews>
  <sheetFormatPr defaultRowHeight="17.25" x14ac:dyDescent="0.3"/>
  <cols>
    <col min="1" max="1" width="7.28515625" style="273" customWidth="1"/>
    <col min="2" max="2" width="7.7109375" style="273" customWidth="1"/>
    <col min="3" max="3" width="51.28515625" style="514" bestFit="1" customWidth="1"/>
    <col min="4" max="4" width="3.7109375" style="258" customWidth="1"/>
    <col min="5" max="5" width="4.7109375" style="258" customWidth="1"/>
    <col min="6" max="6" width="13.7109375" style="274" bestFit="1" customWidth="1"/>
    <col min="7" max="7" width="20.42578125" style="273" bestFit="1" customWidth="1"/>
    <col min="8" max="8" width="12.7109375" style="275" customWidth="1"/>
    <col min="9" max="9" width="20.7109375" style="514" customWidth="1"/>
    <col min="10" max="10" width="12.7109375" style="254" customWidth="1"/>
    <col min="11" max="11" width="7.85546875" style="291" customWidth="1"/>
    <col min="12" max="12" width="30.7109375" style="19" customWidth="1"/>
    <col min="13" max="13" width="10.5703125" style="258" bestFit="1" customWidth="1"/>
    <col min="14" max="14" width="14.85546875" style="258" bestFit="1" customWidth="1"/>
    <col min="15" max="15" width="13.5703125" style="258" bestFit="1" customWidth="1"/>
    <col min="16" max="16" width="11.42578125" style="258" bestFit="1" customWidth="1"/>
    <col min="17" max="17" width="15.7109375" style="258" bestFit="1" customWidth="1"/>
    <col min="18" max="18" width="8.85546875" style="258" bestFit="1" customWidth="1"/>
    <col min="19" max="19" width="12.7109375" style="258" bestFit="1" customWidth="1"/>
    <col min="20" max="20" width="13.85546875" style="258" bestFit="1" customWidth="1"/>
    <col min="21" max="21" width="23.85546875" style="258" bestFit="1" customWidth="1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68" t="s">
        <v>0</v>
      </c>
      <c r="D1" s="568"/>
      <c r="E1" s="568"/>
      <c r="F1" s="568"/>
      <c r="G1" s="568"/>
      <c r="H1" s="568"/>
      <c r="I1" s="255"/>
      <c r="J1" s="254"/>
      <c r="K1" s="254"/>
      <c r="L1" s="19"/>
    </row>
    <row r="2" spans="1:22" s="273" customFormat="1" x14ac:dyDescent="0.25">
      <c r="A2" s="254"/>
      <c r="B2" s="254"/>
      <c r="C2" s="568" t="s">
        <v>1</v>
      </c>
      <c r="D2" s="568"/>
      <c r="E2" s="568"/>
      <c r="F2" s="568"/>
      <c r="G2" s="568"/>
      <c r="H2" s="568"/>
      <c r="I2" s="505"/>
      <c r="J2" s="505"/>
      <c r="K2" s="505"/>
      <c r="L2" s="19"/>
    </row>
    <row r="3" spans="1:22" s="273" customFormat="1" x14ac:dyDescent="0.25">
      <c r="A3" s="254"/>
      <c r="B3" s="254"/>
      <c r="C3" s="568" t="s">
        <v>2</v>
      </c>
      <c r="D3" s="568"/>
      <c r="E3" s="568"/>
      <c r="F3" s="568"/>
      <c r="G3" s="568"/>
      <c r="H3" s="568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68" t="s">
        <v>362</v>
      </c>
      <c r="D4" s="568"/>
      <c r="E4" s="568"/>
      <c r="F4" s="568"/>
      <c r="G4" s="568"/>
      <c r="H4" s="568"/>
      <c r="I4" s="278"/>
      <c r="J4" s="505"/>
      <c r="K4" s="505"/>
      <c r="L4" s="19"/>
      <c r="M4" s="256"/>
    </row>
    <row r="5" spans="1:22" ht="18" thickBot="1" x14ac:dyDescent="0.35">
      <c r="A5" s="569" t="s">
        <v>38</v>
      </c>
      <c r="B5" s="570"/>
      <c r="C5" s="570"/>
      <c r="D5" s="571" t="s">
        <v>44</v>
      </c>
      <c r="E5" s="572"/>
      <c r="F5" s="330"/>
      <c r="G5" s="509" t="s">
        <v>35</v>
      </c>
      <c r="H5" s="510">
        <f ca="1">TODAY()</f>
        <v>45931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  <c r="S5" s="19"/>
    </row>
    <row r="6" spans="1:22" x14ac:dyDescent="0.3">
      <c r="A6" s="332" t="s">
        <v>24</v>
      </c>
      <c r="B6" s="333" t="s">
        <v>8</v>
      </c>
      <c r="C6" s="334" t="s">
        <v>9</v>
      </c>
      <c r="D6" s="335" t="s">
        <v>10</v>
      </c>
      <c r="E6" s="335" t="s">
        <v>25</v>
      </c>
      <c r="F6" s="336" t="s">
        <v>12</v>
      </c>
      <c r="G6" s="333" t="s">
        <v>13</v>
      </c>
      <c r="H6" s="337" t="s">
        <v>14</v>
      </c>
      <c r="I6" s="338" t="s">
        <v>57</v>
      </c>
      <c r="J6" s="351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454">
        <v>1</v>
      </c>
      <c r="B7" s="342">
        <v>18384</v>
      </c>
      <c r="C7" s="518" t="s">
        <v>125</v>
      </c>
      <c r="D7" s="340" t="s">
        <v>16</v>
      </c>
      <c r="E7" s="327" t="str">
        <f>IF(ISNUMBER(FIND("TE",I7)),"TE",IF(ISNUMBER(FIND("MCC",I7)),"MCC",IF(ISNUMBER(FIND("MC",I7)),"MC","MA")))</f>
        <v>MA</v>
      </c>
      <c r="F7" s="346">
        <v>26437</v>
      </c>
      <c r="G7" s="343" t="s">
        <v>126</v>
      </c>
      <c r="H7" s="348" t="s">
        <v>368</v>
      </c>
      <c r="I7" s="345"/>
      <c r="J7" s="368" t="str">
        <f t="shared" ref="J7" ca="1" si="0">IF(K7="","",IF(K7&gt;29,"DISP.IDADE",""))</f>
        <v>DISP.IDADE</v>
      </c>
      <c r="K7" s="329">
        <f t="shared" ref="K7:K35" ca="1" si="1">IF(F7="","",INT((TODAY()-F7)/365.25))</f>
        <v>53</v>
      </c>
      <c r="L7" s="93" t="s">
        <v>305</v>
      </c>
      <c r="M7" s="373" t="s">
        <v>26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>
        <v>37606976821</v>
      </c>
    </row>
    <row r="8" spans="1:22" s="513" customFormat="1" ht="20.100000000000001" customHeight="1" x14ac:dyDescent="0.25">
      <c r="A8" s="454">
        <v>2</v>
      </c>
      <c r="B8" s="342">
        <v>18784</v>
      </c>
      <c r="C8" s="341" t="s">
        <v>276</v>
      </c>
      <c r="D8" s="343" t="s">
        <v>17</v>
      </c>
      <c r="E8" s="327" t="str">
        <f>IF(ISNUMBER(FIND("TE",I8)),"TE",IF(ISNUMBER(FIND("MCC",I8)),"MCC",IF(ISNUMBER(FIND("MC",I8)),"MC","MA")))</f>
        <v>MA</v>
      </c>
      <c r="F8" s="344">
        <v>39312</v>
      </c>
      <c r="G8" s="343" t="s">
        <v>277</v>
      </c>
      <c r="H8" s="341"/>
      <c r="I8" s="345"/>
      <c r="J8" s="368" t="str">
        <f t="shared" ref="J8:J30" ca="1" si="2">IF(K8="","",IF(K8&gt;29,"DISP.IDADE",""))</f>
        <v/>
      </c>
      <c r="K8" s="329">
        <f t="shared" ca="1" si="1"/>
        <v>18</v>
      </c>
      <c r="L8" s="93" t="s">
        <v>305</v>
      </c>
      <c r="M8" s="373" t="s">
        <v>26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452">
        <v>56548916859</v>
      </c>
    </row>
    <row r="9" spans="1:22" s="513" customFormat="1" ht="20.100000000000001" customHeight="1" x14ac:dyDescent="0.25">
      <c r="A9" s="454">
        <v>3</v>
      </c>
      <c r="B9" s="342">
        <v>18925</v>
      </c>
      <c r="C9" s="341" t="s">
        <v>421</v>
      </c>
      <c r="D9" s="343" t="s">
        <v>17</v>
      </c>
      <c r="E9" s="327" t="str">
        <f>IF(COUNTIF(I9,"*MC*")=1,"MC",IF(COUNTIF(I9,"*NCOM*")=1,"NCOM",IF(C9="","","MA")))</f>
        <v>MA</v>
      </c>
      <c r="F9" s="344">
        <v>39277</v>
      </c>
      <c r="G9" s="343">
        <v>1119844794</v>
      </c>
      <c r="H9" s="341">
        <v>688552249</v>
      </c>
      <c r="I9" s="345"/>
      <c r="J9" s="368" t="str">
        <f t="shared" ca="1" si="2"/>
        <v/>
      </c>
      <c r="K9" s="329">
        <f t="shared" ca="1" si="1"/>
        <v>18</v>
      </c>
      <c r="L9" s="93" t="s">
        <v>305</v>
      </c>
      <c r="M9" s="373" t="s">
        <v>26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2"/>
    </row>
    <row r="10" spans="1:22" s="513" customFormat="1" ht="20.100000000000001" customHeight="1" x14ac:dyDescent="0.25">
      <c r="A10" s="454">
        <v>4</v>
      </c>
      <c r="B10" s="342">
        <v>18136</v>
      </c>
      <c r="C10" s="518" t="s">
        <v>192</v>
      </c>
      <c r="D10" s="340" t="s">
        <v>17</v>
      </c>
      <c r="E10" s="327" t="str">
        <f>IF(ISNUMBER(FIND("TE",I10)),"TE",IF(ISNUMBER(FIND("MCC",I10)),"MCC",IF(ISNUMBER(FIND("MC",I10)),"MC","MA")))</f>
        <v>MA</v>
      </c>
      <c r="F10" s="346">
        <v>39553</v>
      </c>
      <c r="G10" s="340" t="s">
        <v>193</v>
      </c>
      <c r="H10" s="348" t="s">
        <v>369</v>
      </c>
      <c r="I10" s="345"/>
      <c r="J10" s="368" t="str">
        <f t="shared" ca="1" si="2"/>
        <v/>
      </c>
      <c r="K10" s="329">
        <f t="shared" ca="1" si="1"/>
        <v>17</v>
      </c>
      <c r="L10" s="93" t="s">
        <v>305</v>
      </c>
      <c r="M10" s="373" t="s">
        <v>26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2">
        <v>48190975803</v>
      </c>
    </row>
    <row r="11" spans="1:22" s="513" customFormat="1" ht="20.100000000000001" customHeight="1" x14ac:dyDescent="0.25">
      <c r="A11" s="454">
        <v>5</v>
      </c>
      <c r="B11" s="342">
        <v>18783</v>
      </c>
      <c r="C11" s="350" t="s">
        <v>279</v>
      </c>
      <c r="D11" s="340" t="s">
        <v>16</v>
      </c>
      <c r="E11" s="327" t="str">
        <f>IF(ISNUMBER(FIND("TE",I11)),"TE",IF(ISNUMBER(FIND("MCC",I11)),"MCC",IF(ISNUMBER(FIND("MC",I11)),"MC","MA")))</f>
        <v>MA</v>
      </c>
      <c r="F11" s="346">
        <v>28980</v>
      </c>
      <c r="G11" s="340">
        <v>336822856</v>
      </c>
      <c r="H11" s="350" t="s">
        <v>278</v>
      </c>
      <c r="I11" s="345"/>
      <c r="J11" s="368" t="str">
        <f t="shared" ca="1" si="2"/>
        <v>DISP.IDADE</v>
      </c>
      <c r="K11" s="329">
        <f t="shared" ca="1" si="1"/>
        <v>46</v>
      </c>
      <c r="L11" s="93" t="s">
        <v>305</v>
      </c>
      <c r="M11" s="373" t="s">
        <v>26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/>
      <c r="U11" s="517"/>
      <c r="V11" s="452">
        <v>34073227807</v>
      </c>
    </row>
    <row r="12" spans="1:22" s="513" customFormat="1" ht="20.100000000000001" customHeight="1" x14ac:dyDescent="0.25">
      <c r="A12" s="454">
        <v>6</v>
      </c>
      <c r="B12" s="342">
        <v>14959</v>
      </c>
      <c r="C12" s="350" t="s">
        <v>302</v>
      </c>
      <c r="D12" s="340" t="s">
        <v>16</v>
      </c>
      <c r="E12" s="327" t="str">
        <f>IF(ISNUMBER(FIND("TE",I12)),"TE",IF(ISNUMBER(FIND("MCC",I12)),"MCC",IF(ISNUMBER(FIND("MC",I12)),"MC","MA")))</f>
        <v>MA</v>
      </c>
      <c r="F12" s="346">
        <v>40214</v>
      </c>
      <c r="G12" s="340" t="s">
        <v>303</v>
      </c>
      <c r="H12" s="350" t="s">
        <v>370</v>
      </c>
      <c r="I12" s="345"/>
      <c r="J12" s="368" t="str">
        <f t="shared" ca="1" si="2"/>
        <v/>
      </c>
      <c r="K12" s="329">
        <f t="shared" ca="1" si="1"/>
        <v>15</v>
      </c>
      <c r="L12" s="93" t="s">
        <v>305</v>
      </c>
      <c r="M12" s="373" t="s">
        <v>26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2">
        <v>47972261881</v>
      </c>
    </row>
    <row r="13" spans="1:22" s="513" customFormat="1" ht="20.100000000000001" customHeight="1" x14ac:dyDescent="0.25">
      <c r="A13" s="454">
        <v>7</v>
      </c>
      <c r="B13" s="342">
        <v>18361</v>
      </c>
      <c r="C13" s="518" t="s">
        <v>243</v>
      </c>
      <c r="D13" s="340" t="s">
        <v>16</v>
      </c>
      <c r="E13" s="327" t="str">
        <f>IF(ISNUMBER(FIND("TE",I13)),"TE",IF(ISNUMBER(FIND("MCC",I13)),"MCC",IF(ISNUMBER(FIND("MC",I13)),"MC","MA")))</f>
        <v>MA</v>
      </c>
      <c r="F13" s="346">
        <v>39797</v>
      </c>
      <c r="G13" s="340" t="s">
        <v>116</v>
      </c>
      <c r="H13" s="348" t="s">
        <v>371</v>
      </c>
      <c r="I13" s="345"/>
      <c r="J13" s="368" t="str">
        <f t="shared" ca="1" si="2"/>
        <v/>
      </c>
      <c r="K13" s="329">
        <f t="shared" ca="1" si="1"/>
        <v>16</v>
      </c>
      <c r="L13" s="93" t="s">
        <v>305</v>
      </c>
      <c r="M13" s="373" t="s">
        <v>26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2">
        <v>60645893889</v>
      </c>
    </row>
    <row r="14" spans="1:22" s="513" customFormat="1" ht="20.100000000000001" customHeight="1" x14ac:dyDescent="0.25">
      <c r="A14" s="454">
        <v>8</v>
      </c>
      <c r="B14" s="342">
        <v>18373</v>
      </c>
      <c r="C14" s="518" t="s">
        <v>121</v>
      </c>
      <c r="D14" s="340" t="s">
        <v>16</v>
      </c>
      <c r="E14" s="327" t="str">
        <f>IF(ISNUMBER(FIND("TE",I14)),"TE",IF(ISNUMBER(FIND("MCC",I14)),"MCC",IF(ISNUMBER(FIND("MC",I14)),"MC","MA")))</f>
        <v>MA</v>
      </c>
      <c r="F14" s="346">
        <v>29282</v>
      </c>
      <c r="G14" s="340" t="s">
        <v>122</v>
      </c>
      <c r="H14" s="348">
        <v>56916392</v>
      </c>
      <c r="I14" s="345"/>
      <c r="J14" s="368" t="str">
        <f t="shared" ca="1" si="2"/>
        <v>DISP.IDADE</v>
      </c>
      <c r="K14" s="329">
        <f t="shared" ca="1" si="1"/>
        <v>45</v>
      </c>
      <c r="L14" s="93" t="s">
        <v>305</v>
      </c>
      <c r="M14" s="373" t="s">
        <v>26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53">
        <v>34280361827</v>
      </c>
    </row>
    <row r="15" spans="1:22" s="513" customFormat="1" ht="20.100000000000001" customHeight="1" x14ac:dyDescent="0.25">
      <c r="A15" s="454">
        <v>9</v>
      </c>
      <c r="B15" s="342">
        <v>18912</v>
      </c>
      <c r="C15" s="341" t="s">
        <v>455</v>
      </c>
      <c r="D15" s="343" t="s">
        <v>17</v>
      </c>
      <c r="E15" s="327" t="str">
        <f>IF(COUNTIF(I15,"*MC*")=1,"MC",IF(COUNTIF(I15,"*NCOM*")=1,"NCOM",IF(C15="","","MA")))</f>
        <v>MA</v>
      </c>
      <c r="F15" s="344">
        <v>39493</v>
      </c>
      <c r="G15" s="343">
        <v>1104489235</v>
      </c>
      <c r="H15" s="341"/>
      <c r="I15" s="345"/>
      <c r="J15" s="368" t="str">
        <f t="shared" ca="1" si="2"/>
        <v/>
      </c>
      <c r="K15" s="329">
        <f t="shared" ca="1" si="1"/>
        <v>17</v>
      </c>
      <c r="L15" s="93" t="s">
        <v>305</v>
      </c>
      <c r="M15" s="373" t="s">
        <v>26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452"/>
    </row>
    <row r="16" spans="1:22" s="513" customFormat="1" ht="20.100000000000001" customHeight="1" x14ac:dyDescent="0.25">
      <c r="A16" s="454">
        <v>10</v>
      </c>
      <c r="B16" s="342">
        <v>18364</v>
      </c>
      <c r="C16" s="518" t="s">
        <v>117</v>
      </c>
      <c r="D16" s="340" t="s">
        <v>16</v>
      </c>
      <c r="E16" s="327" t="str">
        <f t="shared" ref="E16:E20" si="3">IF(ISNUMBER(FIND("TE",I16)),"TE",IF(ISNUMBER(FIND("MCC",I16)),"MCC",IF(ISNUMBER(FIND("MC",I16)),"MC","MA")))</f>
        <v>MA</v>
      </c>
      <c r="F16" s="346">
        <v>27650</v>
      </c>
      <c r="G16" s="340" t="s">
        <v>118</v>
      </c>
      <c r="H16" s="348" t="s">
        <v>372</v>
      </c>
      <c r="I16" s="345"/>
      <c r="J16" s="368" t="str">
        <f t="shared" ca="1" si="2"/>
        <v>DISP.IDADE</v>
      </c>
      <c r="K16" s="329">
        <f t="shared" ca="1" si="1"/>
        <v>50</v>
      </c>
      <c r="L16" s="93" t="s">
        <v>305</v>
      </c>
      <c r="M16" s="373" t="s">
        <v>26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49" t="s">
        <v>339</v>
      </c>
    </row>
    <row r="17" spans="1:22" s="513" customFormat="1" ht="20.100000000000001" customHeight="1" x14ac:dyDescent="0.25">
      <c r="A17" s="454">
        <v>11</v>
      </c>
      <c r="B17" s="342">
        <v>18838</v>
      </c>
      <c r="C17" s="350" t="s">
        <v>291</v>
      </c>
      <c r="D17" s="340" t="s">
        <v>17</v>
      </c>
      <c r="E17" s="327" t="str">
        <f t="shared" si="3"/>
        <v>MA</v>
      </c>
      <c r="F17" s="346">
        <v>39772</v>
      </c>
      <c r="G17" s="340">
        <v>1100699648</v>
      </c>
      <c r="H17" s="350" t="s">
        <v>373</v>
      </c>
      <c r="I17" s="345"/>
      <c r="J17" s="368" t="str">
        <f t="shared" ca="1" si="2"/>
        <v/>
      </c>
      <c r="K17" s="329">
        <f t="shared" ca="1" si="1"/>
        <v>16</v>
      </c>
      <c r="L17" s="93" t="s">
        <v>305</v>
      </c>
      <c r="M17" s="373" t="s">
        <v>26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452">
        <v>2807664911</v>
      </c>
    </row>
    <row r="18" spans="1:22" s="513" customFormat="1" ht="20.100000000000001" customHeight="1" x14ac:dyDescent="0.25">
      <c r="A18" s="454">
        <v>12</v>
      </c>
      <c r="B18" s="342">
        <v>18550</v>
      </c>
      <c r="C18" s="518" t="s">
        <v>240</v>
      </c>
      <c r="D18" s="340" t="s">
        <v>16</v>
      </c>
      <c r="E18" s="327" t="str">
        <f t="shared" si="3"/>
        <v>MA</v>
      </c>
      <c r="F18" s="346">
        <v>24924</v>
      </c>
      <c r="G18" s="340" t="s">
        <v>241</v>
      </c>
      <c r="H18" s="348" t="s">
        <v>242</v>
      </c>
      <c r="I18" s="345"/>
      <c r="J18" s="368" t="str">
        <f t="shared" ca="1" si="2"/>
        <v>DISP.IDADE</v>
      </c>
      <c r="K18" s="329">
        <f t="shared" ca="1" si="1"/>
        <v>57</v>
      </c>
      <c r="L18" s="93" t="s">
        <v>305</v>
      </c>
      <c r="M18" s="373" t="s">
        <v>26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>
        <v>29310002808</v>
      </c>
    </row>
    <row r="19" spans="1:22" s="513" customFormat="1" ht="20.100000000000001" customHeight="1" x14ac:dyDescent="0.25">
      <c r="A19" s="454">
        <v>13</v>
      </c>
      <c r="B19" s="342">
        <v>18840</v>
      </c>
      <c r="C19" s="350" t="s">
        <v>293</v>
      </c>
      <c r="D19" s="340" t="s">
        <v>16</v>
      </c>
      <c r="E19" s="327" t="str">
        <f t="shared" si="3"/>
        <v>MA</v>
      </c>
      <c r="F19" s="346">
        <v>29361</v>
      </c>
      <c r="G19" s="340">
        <v>355391120</v>
      </c>
      <c r="H19" s="350">
        <v>35539112</v>
      </c>
      <c r="I19" s="345"/>
      <c r="J19" s="368" t="str">
        <f t="shared" ca="1" si="2"/>
        <v>DISP.IDADE</v>
      </c>
      <c r="K19" s="329">
        <f t="shared" ca="1" si="1"/>
        <v>45</v>
      </c>
      <c r="L19" s="93" t="s">
        <v>305</v>
      </c>
      <c r="M19" s="373" t="s">
        <v>26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>
        <v>29225334842</v>
      </c>
    </row>
    <row r="20" spans="1:22" s="513" customFormat="1" ht="20.100000000000001" customHeight="1" x14ac:dyDescent="0.25">
      <c r="A20" s="454">
        <v>14</v>
      </c>
      <c r="B20" s="342">
        <v>18853</v>
      </c>
      <c r="C20" s="350" t="s">
        <v>301</v>
      </c>
      <c r="D20" s="340" t="s">
        <v>16</v>
      </c>
      <c r="E20" s="327" t="str">
        <f t="shared" si="3"/>
        <v>MA</v>
      </c>
      <c r="F20" s="346">
        <v>38023</v>
      </c>
      <c r="G20" s="340">
        <v>1090649861</v>
      </c>
      <c r="H20" s="350" t="s">
        <v>374</v>
      </c>
      <c r="I20" s="345"/>
      <c r="J20" s="368" t="str">
        <f t="shared" ca="1" si="2"/>
        <v/>
      </c>
      <c r="K20" s="329">
        <f t="shared" ca="1" si="1"/>
        <v>21</v>
      </c>
      <c r="L20" s="93" t="s">
        <v>305</v>
      </c>
      <c r="M20" s="373" t="s">
        <v>26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6"/>
      <c r="U20" s="517"/>
      <c r="V20" s="453"/>
    </row>
    <row r="21" spans="1:22" s="513" customFormat="1" ht="20.100000000000001" customHeight="1" x14ac:dyDescent="0.25">
      <c r="A21" s="454">
        <v>15</v>
      </c>
      <c r="B21" s="342">
        <v>18931</v>
      </c>
      <c r="C21" s="341" t="s">
        <v>457</v>
      </c>
      <c r="D21" s="343" t="s">
        <v>17</v>
      </c>
      <c r="E21" s="328" t="str">
        <f>IF(COUNTIF(I21,"*MC*")=1,"MC",IF(COUNTIF(I21,"*NCOM*")=1,"NCOM",IF(C21="","","MA")))</f>
        <v>MA</v>
      </c>
      <c r="F21" s="344">
        <v>39892</v>
      </c>
      <c r="G21" s="343">
        <v>1116918687</v>
      </c>
      <c r="H21" s="341"/>
      <c r="I21" s="345" t="s">
        <v>461</v>
      </c>
      <c r="J21" s="368" t="str">
        <f t="shared" ca="1" si="2"/>
        <v/>
      </c>
      <c r="K21" s="329">
        <f t="shared" ca="1" si="1"/>
        <v>16</v>
      </c>
      <c r="L21" s="93" t="s">
        <v>305</v>
      </c>
      <c r="M21" s="373" t="s">
        <v>26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516"/>
      <c r="U21" s="517"/>
      <c r="V21" s="452"/>
    </row>
    <row r="22" spans="1:22" s="513" customFormat="1" ht="20.100000000000001" customHeight="1" x14ac:dyDescent="0.25">
      <c r="A22" s="454">
        <v>16</v>
      </c>
      <c r="B22" s="342">
        <v>18769</v>
      </c>
      <c r="C22" s="341" t="s">
        <v>488</v>
      </c>
      <c r="D22" s="343" t="s">
        <v>16</v>
      </c>
      <c r="E22" s="327" t="str">
        <f>IF(COUNTIF(I22,"*MC*")=1,"MC",IF(COUNTIF(I22,"*NCOM*")=1,"NCOM",IF(C22="","","MA")))</f>
        <v>MA</v>
      </c>
      <c r="F22" s="344">
        <v>34361</v>
      </c>
      <c r="G22" s="343" t="s">
        <v>489</v>
      </c>
      <c r="H22" s="341" t="s">
        <v>489</v>
      </c>
      <c r="I22" s="345" t="s">
        <v>476</v>
      </c>
      <c r="J22" s="368" t="str">
        <f t="shared" ca="1" si="2"/>
        <v>DISP.IDADE</v>
      </c>
      <c r="K22" s="329">
        <f t="shared" ca="1" si="1"/>
        <v>31</v>
      </c>
      <c r="L22" s="93" t="s">
        <v>305</v>
      </c>
      <c r="M22" s="373" t="s">
        <v>26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452"/>
      <c r="U22" s="452"/>
      <c r="V22" s="452">
        <v>41140479806</v>
      </c>
    </row>
    <row r="23" spans="1:22" s="513" customFormat="1" ht="20.100000000000001" customHeight="1" x14ac:dyDescent="0.25">
      <c r="A23" s="454">
        <v>17</v>
      </c>
      <c r="B23" s="342">
        <v>18956</v>
      </c>
      <c r="C23" s="452" t="s">
        <v>501</v>
      </c>
      <c r="D23" s="452" t="s">
        <v>16</v>
      </c>
      <c r="E23" s="452" t="s">
        <v>4</v>
      </c>
      <c r="F23" s="30">
        <v>39461</v>
      </c>
      <c r="G23" s="452" t="s">
        <v>502</v>
      </c>
      <c r="H23" s="452" t="s">
        <v>503</v>
      </c>
      <c r="I23" s="345" t="s">
        <v>504</v>
      </c>
      <c r="J23" s="368" t="str">
        <f t="shared" ca="1" si="2"/>
        <v/>
      </c>
      <c r="K23" s="329">
        <f t="shared" ca="1" si="1"/>
        <v>17</v>
      </c>
      <c r="L23" s="93" t="s">
        <v>305</v>
      </c>
      <c r="M23" s="373" t="s">
        <v>26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452"/>
      <c r="U23" s="452"/>
      <c r="V23" s="452">
        <v>56064809809</v>
      </c>
    </row>
    <row r="24" spans="1:22" ht="20.100000000000001" customHeight="1" x14ac:dyDescent="0.3">
      <c r="A24" s="454">
        <v>18</v>
      </c>
      <c r="B24" s="342">
        <v>18958</v>
      </c>
      <c r="C24" s="452" t="s">
        <v>514</v>
      </c>
      <c r="D24" s="452" t="s">
        <v>17</v>
      </c>
      <c r="E24" s="452" t="s">
        <v>4</v>
      </c>
      <c r="F24" s="30">
        <v>39685</v>
      </c>
      <c r="G24" s="452" t="s">
        <v>515</v>
      </c>
      <c r="H24" s="452"/>
      <c r="I24" s="345" t="s">
        <v>504</v>
      </c>
      <c r="J24" s="368" t="str">
        <f t="shared" ca="1" si="2"/>
        <v/>
      </c>
      <c r="K24" s="329">
        <f t="shared" ca="1" si="1"/>
        <v>17</v>
      </c>
      <c r="L24" s="93" t="s">
        <v>305</v>
      </c>
      <c r="M24" s="373" t="s">
        <v>26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366"/>
      <c r="U24" s="366"/>
      <c r="V24" s="366"/>
    </row>
    <row r="25" spans="1:22" ht="20.100000000000001" customHeight="1" x14ac:dyDescent="0.3">
      <c r="A25" s="454">
        <v>19</v>
      </c>
      <c r="B25" s="541">
        <v>18962</v>
      </c>
      <c r="C25" s="543" t="s">
        <v>534</v>
      </c>
      <c r="D25" s="544" t="s">
        <v>17</v>
      </c>
      <c r="E25" s="544" t="s">
        <v>4</v>
      </c>
      <c r="F25" s="545">
        <v>39757</v>
      </c>
      <c r="G25" s="543" t="s">
        <v>535</v>
      </c>
      <c r="H25" s="539" t="s">
        <v>536</v>
      </c>
      <c r="I25" s="542" t="s">
        <v>583</v>
      </c>
      <c r="J25" s="368" t="str">
        <f t="shared" ca="1" si="2"/>
        <v/>
      </c>
      <c r="K25" s="329">
        <f t="shared" ca="1" si="1"/>
        <v>16</v>
      </c>
      <c r="L25" s="93" t="s">
        <v>306</v>
      </c>
      <c r="M25" s="373" t="s">
        <v>26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366"/>
      <c r="U25" s="366"/>
      <c r="V25" s="366" t="s">
        <v>537</v>
      </c>
    </row>
    <row r="26" spans="1:22" ht="20.100000000000001" customHeight="1" x14ac:dyDescent="0.3">
      <c r="A26" s="454">
        <v>20</v>
      </c>
      <c r="B26" s="467">
        <v>18972</v>
      </c>
      <c r="C26" s="375" t="s">
        <v>565</v>
      </c>
      <c r="D26" s="38" t="s">
        <v>17</v>
      </c>
      <c r="E26" s="375" t="str">
        <f t="shared" ref="E26" si="4">IF(COUNTIF(I26,"*MC*")=1,"MC",IF(COUNTIF(I26,"*NCOM*")=1,"NCOM",IF(C26="","","MA")))</f>
        <v>NCOM</v>
      </c>
      <c r="F26" s="493">
        <v>40140</v>
      </c>
      <c r="G26" s="375">
        <v>11424894337</v>
      </c>
      <c r="H26" s="467"/>
      <c r="I26" s="492" t="s">
        <v>579</v>
      </c>
      <c r="J26" s="368" t="str">
        <f t="shared" ca="1" si="2"/>
        <v/>
      </c>
      <c r="K26" s="329">
        <f t="shared" ca="1" si="1"/>
        <v>15</v>
      </c>
      <c r="L26" s="93" t="s">
        <v>305</v>
      </c>
      <c r="M26" s="373" t="s">
        <v>26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366"/>
      <c r="U26" s="366"/>
      <c r="V26" s="366"/>
    </row>
    <row r="27" spans="1:22" ht="20.100000000000001" customHeight="1" x14ac:dyDescent="0.3">
      <c r="A27" s="454">
        <v>21</v>
      </c>
      <c r="B27" s="342">
        <v>18975</v>
      </c>
      <c r="C27" s="350" t="s">
        <v>572</v>
      </c>
      <c r="D27" s="452" t="s">
        <v>16</v>
      </c>
      <c r="E27" s="350" t="s">
        <v>4</v>
      </c>
      <c r="F27" s="504">
        <v>39229</v>
      </c>
      <c r="G27" s="350" t="s">
        <v>573</v>
      </c>
      <c r="H27" s="340"/>
      <c r="I27" s="508" t="s">
        <v>574</v>
      </c>
      <c r="J27" s="368" t="str">
        <f t="shared" ca="1" si="2"/>
        <v/>
      </c>
      <c r="K27" s="329">
        <f t="shared" ca="1" si="1"/>
        <v>18</v>
      </c>
      <c r="L27" s="93" t="s">
        <v>305</v>
      </c>
      <c r="M27" s="373" t="s">
        <v>26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366"/>
      <c r="U27" s="366"/>
      <c r="V27" s="366" t="s">
        <v>575</v>
      </c>
    </row>
    <row r="28" spans="1:22" ht="20.100000000000001" customHeight="1" x14ac:dyDescent="0.3">
      <c r="A28" s="454">
        <v>22</v>
      </c>
      <c r="B28" s="266"/>
      <c r="C28" s="523"/>
      <c r="D28" s="366"/>
      <c r="E28" s="366"/>
      <c r="F28" s="269"/>
      <c r="G28" s="266"/>
      <c r="H28" s="271"/>
      <c r="I28" s="523"/>
      <c r="J28" s="368" t="str">
        <f t="shared" ca="1" si="2"/>
        <v/>
      </c>
      <c r="K28" s="329" t="str">
        <f t="shared" ca="1" si="1"/>
        <v/>
      </c>
      <c r="L28" s="93" t="s">
        <v>305</v>
      </c>
      <c r="M28" s="373" t="s">
        <v>26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366"/>
      <c r="U28" s="366"/>
      <c r="V28" s="366"/>
    </row>
    <row r="29" spans="1:22" ht="20.100000000000001" customHeight="1" x14ac:dyDescent="0.3">
      <c r="A29" s="454">
        <v>23</v>
      </c>
      <c r="B29" s="266"/>
      <c r="C29" s="523"/>
      <c r="D29" s="366"/>
      <c r="E29" s="366"/>
      <c r="F29" s="269"/>
      <c r="G29" s="266"/>
      <c r="H29" s="271"/>
      <c r="I29" s="523"/>
      <c r="J29" s="368" t="str">
        <f t="shared" ca="1" si="2"/>
        <v/>
      </c>
      <c r="K29" s="329" t="str">
        <f t="shared" ca="1" si="1"/>
        <v/>
      </c>
      <c r="L29" s="93" t="s">
        <v>305</v>
      </c>
      <c r="M29" s="373" t="s">
        <v>26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366"/>
      <c r="U29" s="366"/>
      <c r="V29" s="366"/>
    </row>
    <row r="30" spans="1:22" ht="20.100000000000001" customHeight="1" x14ac:dyDescent="0.3">
      <c r="A30" s="454">
        <v>24</v>
      </c>
      <c r="B30" s="266"/>
      <c r="C30" s="523"/>
      <c r="D30" s="366"/>
      <c r="E30" s="366"/>
      <c r="F30" s="269"/>
      <c r="G30" s="266"/>
      <c r="H30" s="271"/>
      <c r="I30" s="523"/>
      <c r="J30" s="368" t="str">
        <f t="shared" ca="1" si="2"/>
        <v/>
      </c>
      <c r="K30" s="329" t="str">
        <f t="shared" ca="1" si="1"/>
        <v/>
      </c>
      <c r="L30" s="93" t="s">
        <v>305</v>
      </c>
      <c r="M30" s="373" t="s">
        <v>26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366"/>
      <c r="U30" s="366"/>
      <c r="V30" s="366"/>
    </row>
    <row r="31" spans="1:22" ht="20.100000000000001" customHeight="1" x14ac:dyDescent="0.3">
      <c r="A31" s="454">
        <v>26</v>
      </c>
      <c r="B31" s="266"/>
      <c r="C31" s="523"/>
      <c r="D31" s="366"/>
      <c r="E31" s="366"/>
      <c r="F31" s="269"/>
      <c r="G31" s="266"/>
      <c r="H31" s="271"/>
      <c r="I31" s="523"/>
      <c r="J31" s="368" t="str">
        <f t="shared" ref="J31:J35" ca="1" si="5">IF(K31="","",IF(K31&gt;29,"DISP.IDADE",""))</f>
        <v/>
      </c>
      <c r="K31" s="329" t="str">
        <f t="shared" ca="1" si="1"/>
        <v/>
      </c>
      <c r="L31" s="93"/>
      <c r="M31" s="366"/>
      <c r="N31" s="366"/>
      <c r="O31" s="366"/>
      <c r="P31" s="366"/>
      <c r="Q31" s="366"/>
      <c r="R31" s="366"/>
      <c r="S31" s="366"/>
      <c r="T31" s="366"/>
      <c r="U31" s="366"/>
      <c r="V31" s="366"/>
    </row>
    <row r="32" spans="1:22" ht="20.100000000000001" customHeight="1" x14ac:dyDescent="0.3">
      <c r="A32" s="454">
        <v>27</v>
      </c>
      <c r="B32" s="266"/>
      <c r="C32" s="523"/>
      <c r="D32" s="366"/>
      <c r="E32" s="366"/>
      <c r="F32" s="269"/>
      <c r="G32" s="266"/>
      <c r="H32" s="271"/>
      <c r="I32" s="523"/>
      <c r="J32" s="368" t="str">
        <f t="shared" ca="1" si="5"/>
        <v/>
      </c>
      <c r="K32" s="329" t="str">
        <f t="shared" ca="1" si="1"/>
        <v/>
      </c>
      <c r="L32" s="93"/>
      <c r="M32" s="366"/>
      <c r="N32" s="366"/>
      <c r="O32" s="366"/>
      <c r="P32" s="366"/>
      <c r="Q32" s="366"/>
      <c r="R32" s="366"/>
      <c r="S32" s="366"/>
      <c r="T32" s="366"/>
      <c r="U32" s="366"/>
      <c r="V32" s="366"/>
    </row>
    <row r="33" spans="1:22" ht="20.100000000000001" customHeight="1" x14ac:dyDescent="0.3">
      <c r="A33" s="454">
        <v>28</v>
      </c>
      <c r="B33" s="266"/>
      <c r="C33" s="523"/>
      <c r="D33" s="366"/>
      <c r="E33" s="366"/>
      <c r="F33" s="269"/>
      <c r="G33" s="266"/>
      <c r="H33" s="271"/>
      <c r="I33" s="523"/>
      <c r="J33" s="368" t="str">
        <f t="shared" ca="1" si="5"/>
        <v/>
      </c>
      <c r="K33" s="329" t="str">
        <f t="shared" ca="1" si="1"/>
        <v/>
      </c>
      <c r="L33" s="93"/>
      <c r="M33" s="366"/>
      <c r="N33" s="366"/>
      <c r="O33" s="366"/>
      <c r="P33" s="366"/>
      <c r="Q33" s="366"/>
      <c r="R33" s="366"/>
      <c r="S33" s="366"/>
      <c r="T33" s="366"/>
      <c r="U33" s="366"/>
      <c r="V33" s="366"/>
    </row>
    <row r="34" spans="1:22" ht="20.100000000000001" customHeight="1" x14ac:dyDescent="0.3">
      <c r="A34" s="454">
        <v>29</v>
      </c>
      <c r="B34" s="266"/>
      <c r="C34" s="523"/>
      <c r="D34" s="366"/>
      <c r="E34" s="366"/>
      <c r="F34" s="269"/>
      <c r="G34" s="266"/>
      <c r="H34" s="271"/>
      <c r="I34" s="523"/>
      <c r="J34" s="368" t="str">
        <f t="shared" ca="1" si="5"/>
        <v/>
      </c>
      <c r="K34" s="329" t="str">
        <f t="shared" ca="1" si="1"/>
        <v/>
      </c>
      <c r="L34" s="93"/>
      <c r="M34" s="366"/>
      <c r="N34" s="366"/>
      <c r="O34" s="366"/>
      <c r="P34" s="366"/>
      <c r="Q34" s="366"/>
      <c r="R34" s="366"/>
      <c r="S34" s="366"/>
      <c r="T34" s="366"/>
      <c r="U34" s="366"/>
      <c r="V34" s="366"/>
    </row>
    <row r="35" spans="1:22" ht="20.100000000000001" customHeight="1" x14ac:dyDescent="0.3">
      <c r="A35" s="454">
        <v>30</v>
      </c>
      <c r="B35" s="266"/>
      <c r="C35" s="523"/>
      <c r="D35" s="366"/>
      <c r="E35" s="366"/>
      <c r="F35" s="269"/>
      <c r="G35" s="266"/>
      <c r="H35" s="271"/>
      <c r="I35" s="523"/>
      <c r="J35" s="368" t="str">
        <f t="shared" ca="1" si="5"/>
        <v/>
      </c>
      <c r="K35" s="329" t="str">
        <f t="shared" ca="1" si="1"/>
        <v/>
      </c>
      <c r="L35" s="93"/>
      <c r="M35" s="366"/>
      <c r="N35" s="366"/>
      <c r="O35" s="366"/>
      <c r="P35" s="366"/>
      <c r="Q35" s="366"/>
      <c r="R35" s="366"/>
      <c r="S35" s="366"/>
      <c r="T35" s="366"/>
      <c r="U35" s="366"/>
      <c r="V35" s="366"/>
    </row>
    <row r="36" spans="1:22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V36" s="19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22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22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22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22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22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22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22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</row>
  </sheetData>
  <sheetProtection formatCells="0" selectLockedCells="1"/>
  <autoFilter ref="A6:J6">
    <sortState ref="A7:J15">
      <sortCondition ref="C7:C15"/>
    </sortState>
  </autoFilter>
  <sortState ref="A7:V34">
    <sortCondition ref="C7:C34"/>
  </sortState>
  <mergeCells count="6">
    <mergeCell ref="C1:H1"/>
    <mergeCell ref="C2:H2"/>
    <mergeCell ref="C3:H3"/>
    <mergeCell ref="C4:H4"/>
    <mergeCell ref="A5:C5"/>
    <mergeCell ref="D5:E5"/>
  </mergeCells>
  <conditionalFormatting sqref="A7 A32 A34 A9 A11 A13 A15 A25 A27 A29 A17 A19 A21 E7:E22 J7:J35">
    <cfRule type="expression" dxfId="2301" priority="12692">
      <formula>$E7="MC"</formula>
    </cfRule>
  </conditionalFormatting>
  <conditionalFormatting sqref="M7:M30">
    <cfRule type="cellIs" dxfId="2300" priority="12629" operator="equal">
      <formula>3</formula>
    </cfRule>
    <cfRule type="cellIs" dxfId="2299" priority="12630" operator="equal">
      <formula>2</formula>
    </cfRule>
    <cfRule type="cellIs" dxfId="2298" priority="12631" operator="equal">
      <formula>1</formula>
    </cfRule>
  </conditionalFormatting>
  <conditionalFormatting sqref="K1:K35">
    <cfRule type="cellIs" dxfId="2297" priority="12222" operator="lessThan">
      <formula>18</formula>
    </cfRule>
  </conditionalFormatting>
  <conditionalFormatting sqref="A6:H6 J6:K6">
    <cfRule type="expression" dxfId="2296" priority="104">
      <formula>$E6="MC"</formula>
    </cfRule>
  </conditionalFormatting>
  <conditionalFormatting sqref="T6">
    <cfRule type="expression" dxfId="2295" priority="39">
      <formula>FIND("RETIDO",T6)</formula>
    </cfRule>
  </conditionalFormatting>
  <conditionalFormatting sqref="M4:M5">
    <cfRule type="cellIs" dxfId="2294" priority="101" operator="equal">
      <formula>3</formula>
    </cfRule>
    <cfRule type="cellIs" dxfId="2293" priority="102" operator="equal">
      <formula>2</formula>
    </cfRule>
    <cfRule type="cellIs" dxfId="2292" priority="103" operator="equal">
      <formula>1</formula>
    </cfRule>
  </conditionalFormatting>
  <conditionalFormatting sqref="K47:K1048576">
    <cfRule type="cellIs" dxfId="2291" priority="100" operator="lessThan">
      <formula>18</formula>
    </cfRule>
  </conditionalFormatting>
  <conditionalFormatting sqref="I6">
    <cfRule type="expression" dxfId="2290" priority="99">
      <formula>$E6="MC"</formula>
    </cfRule>
  </conditionalFormatting>
  <conditionalFormatting sqref="H7">
    <cfRule type="expression" dxfId="2289" priority="56">
      <formula>$E7="MC"</formula>
    </cfRule>
  </conditionalFormatting>
  <conditionalFormatting sqref="F7 H7">
    <cfRule type="expression" dxfId="2288" priority="53">
      <formula>$E7="MC"</formula>
    </cfRule>
  </conditionalFormatting>
  <conditionalFormatting sqref="F7 H7">
    <cfRule type="expression" dxfId="2287" priority="52">
      <formula>$E7="MC"</formula>
    </cfRule>
  </conditionalFormatting>
  <conditionalFormatting sqref="F7">
    <cfRule type="expression" dxfId="2286" priority="55">
      <formula>$E7="MC"</formula>
    </cfRule>
  </conditionalFormatting>
  <conditionalFormatting sqref="F7 H7">
    <cfRule type="expression" dxfId="2285" priority="54">
      <formula>$E7="MC"</formula>
    </cfRule>
  </conditionalFormatting>
  <conditionalFormatting sqref="F7 H7">
    <cfRule type="expression" dxfId="2284" priority="51">
      <formula>$E7="MC"</formula>
    </cfRule>
  </conditionalFormatting>
  <conditionalFormatting sqref="F7 H7">
    <cfRule type="expression" dxfId="2283" priority="48">
      <formula>$E7="MC"</formula>
    </cfRule>
  </conditionalFormatting>
  <conditionalFormatting sqref="F7 H7">
    <cfRule type="expression" dxfId="2282" priority="49">
      <formula>$E7="MC"</formula>
    </cfRule>
  </conditionalFormatting>
  <conditionalFormatting sqref="F7 H7">
    <cfRule type="expression" dxfId="2281" priority="50">
      <formula>$E7="MC"</formula>
    </cfRule>
  </conditionalFormatting>
  <conditionalFormatting sqref="D7">
    <cfRule type="expression" dxfId="2280" priority="47">
      <formula>$E7="MC"</formula>
    </cfRule>
  </conditionalFormatting>
  <conditionalFormatting sqref="B7:C7">
    <cfRule type="expression" dxfId="2279" priority="46">
      <formula>$E7="MC"</formula>
    </cfRule>
  </conditionalFormatting>
  <conditionalFormatting sqref="M6">
    <cfRule type="cellIs" dxfId="2278" priority="43" operator="equal">
      <formula>3</formula>
    </cfRule>
    <cfRule type="cellIs" dxfId="2277" priority="44" operator="equal">
      <formula>2</formula>
    </cfRule>
    <cfRule type="cellIs" dxfId="2276" priority="45" operator="equal">
      <formula>1</formula>
    </cfRule>
  </conditionalFormatting>
  <conditionalFormatting sqref="I7">
    <cfRule type="expression" dxfId="2275" priority="38">
      <formula>$E7="MC"</formula>
    </cfRule>
  </conditionalFormatting>
  <conditionalFormatting sqref="B8:D8 F8:H8">
    <cfRule type="expression" dxfId="2274" priority="31">
      <formula>$E8="MC"</formula>
    </cfRule>
  </conditionalFormatting>
  <conditionalFormatting sqref="B10:D10 F10:H10">
    <cfRule type="expression" dxfId="2273" priority="32">
      <formula>$E10="MC"</formula>
    </cfRule>
  </conditionalFormatting>
  <conditionalFormatting sqref="B9:D9 F9:H9">
    <cfRule type="expression" dxfId="2272" priority="30">
      <formula>$E9="MC"</formula>
    </cfRule>
  </conditionalFormatting>
  <conditionalFormatting sqref="B11:D11 F11:H11">
    <cfRule type="expression" dxfId="2271" priority="25">
      <formula>$E11="MC"</formula>
    </cfRule>
  </conditionalFormatting>
  <conditionalFormatting sqref="B26:C26">
    <cfRule type="expression" dxfId="2270" priority="8">
      <formula>$E26="MC"</formula>
    </cfRule>
  </conditionalFormatting>
  <conditionalFormatting sqref="E26">
    <cfRule type="expression" dxfId="2269" priority="7">
      <formula>$E26="MC"</formula>
    </cfRule>
  </conditionalFormatting>
  <conditionalFormatting sqref="F26:H26">
    <cfRule type="expression" dxfId="2268" priority="6">
      <formula>$E26="MC"</formula>
    </cfRule>
  </conditionalFormatting>
  <conditionalFormatting sqref="I26">
    <cfRule type="expression" dxfId="2267" priority="5">
      <formula>$E26="MC"</formula>
    </cfRule>
  </conditionalFormatting>
  <conditionalFormatting sqref="B27:C27">
    <cfRule type="expression" dxfId="2266" priority="4">
      <formula>$E27="MC"</formula>
    </cfRule>
  </conditionalFormatting>
  <conditionalFormatting sqref="E27">
    <cfRule type="expression" dxfId="2265" priority="3">
      <formula>$E27="MC"</formula>
    </cfRule>
  </conditionalFormatting>
  <conditionalFormatting sqref="F27:H27">
    <cfRule type="expression" dxfId="2264" priority="2">
      <formula>$E27="MC"</formula>
    </cfRule>
  </conditionalFormatting>
  <conditionalFormatting sqref="I27">
    <cfRule type="expression" dxfId="2263" priority="1">
      <formula>$E27="MC"</formula>
    </cfRule>
  </conditionalFormatting>
  <dataValidations disablePrompts="1" count="2">
    <dataValidation type="date" allowBlank="1" showInputMessage="1" showErrorMessage="1" errorTitle="Data Invalida" error="Você deve inserir uma data no formato XX/XX/XXXX" promptTitle="Insira uma Data" prompt="Favor inserir uma data válida no formato: XX/XX/XXXX" sqref="F8:F10">
      <formula1>1</formula1>
      <formula2>2958465</formula2>
    </dataValidation>
    <dataValidation type="list" allowBlank="1" showInputMessage="1" showErrorMessage="1" sqref="T7:T21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65" orientation="portrait" horizontalDpi="360" verticalDpi="360" r:id="rId1"/>
  <colBreaks count="1" manualBreakCount="1">
    <brk id="10" max="3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9" id="{FCC14956-A4A3-495F-9FCE-651D549D3ACE}">
            <xm:f>'[LISTA PILOTO - EJA - 1º SEM - 2025.xlsx]2ª'!#REF!="MC"</xm:f>
            <x14:dxf>
              <font>
                <b/>
                <i val="0"/>
                <color rgb="FFFF0000"/>
              </font>
            </x14:dxf>
          </x14:cfRule>
          <xm:sqref>A8 A33 A35 A10 A12 A14 A16 A18 A20 A22 A24 A26 A28 A30:A31</xm:sqref>
        </x14:conditionalFormatting>
        <x14:conditionalFormatting xmlns:xm="http://schemas.microsoft.com/office/excel/2006/main">
          <x14:cfRule type="expression" priority="41567" id="{CAECEEF9-2D35-45C4-B1AE-E4DD05A44331}">
            <xm:f>'7ª'!$E16="MC"</xm:f>
            <x14:dxf>
              <font>
                <b/>
                <i val="0"/>
                <color rgb="FFFF0000"/>
              </font>
            </x14:dxf>
          </x14:cfRule>
          <xm:sqref>A23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0066"/>
  </sheetPr>
  <dimension ref="A1:V47"/>
  <sheetViews>
    <sheetView view="pageBreakPreview" zoomScale="70" zoomScaleNormal="55" zoomScaleSheetLayoutView="70" workbookViewId="0">
      <pane xSplit="3" ySplit="5" topLeftCell="D21" activePane="bottomRight" state="frozen"/>
      <selection sqref="A1:XFD1048576"/>
      <selection pane="topRight" sqref="A1:XFD1048576"/>
      <selection pane="bottomLeft" sqref="A1:XFD1048576"/>
      <selection pane="bottomRight" activeCell="A30" sqref="A30:XFD30"/>
    </sheetView>
  </sheetViews>
  <sheetFormatPr defaultRowHeight="17.25" x14ac:dyDescent="0.3"/>
  <cols>
    <col min="1" max="1" width="4.7109375" style="273" customWidth="1"/>
    <col min="2" max="2" width="7.7109375" style="273" customWidth="1"/>
    <col min="3" max="3" width="58.28515625" style="514" customWidth="1"/>
    <col min="4" max="4" width="3.7109375" style="258" customWidth="1"/>
    <col min="5" max="5" width="4.7109375" style="258" customWidth="1"/>
    <col min="6" max="6" width="19.85546875" style="274" bestFit="1" customWidth="1"/>
    <col min="7" max="7" width="25.85546875" style="273" bestFit="1" customWidth="1"/>
    <col min="8" max="8" width="15.7109375" style="275" bestFit="1" customWidth="1"/>
    <col min="9" max="9" width="20.7109375" style="514" customWidth="1"/>
    <col min="10" max="10" width="18.28515625" style="289" bestFit="1" customWidth="1"/>
    <col min="11" max="11" width="7.85546875" style="276" customWidth="1"/>
    <col min="12" max="12" width="30.7109375" style="19" customWidth="1"/>
    <col min="13" max="13" width="10" style="258" bestFit="1" customWidth="1"/>
    <col min="14" max="15" width="14.140625" style="258" bestFit="1" customWidth="1"/>
    <col min="16" max="16" width="10.7109375" style="258" bestFit="1" customWidth="1"/>
    <col min="17" max="17" width="14.7109375" style="258" bestFit="1" customWidth="1"/>
    <col min="18" max="18" width="8.42578125" style="258" bestFit="1" customWidth="1"/>
    <col min="19" max="19" width="11.85546875" style="258" bestFit="1" customWidth="1"/>
    <col min="20" max="21" width="9.140625" style="258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68" t="s">
        <v>0</v>
      </c>
      <c r="D1" s="568"/>
      <c r="E1" s="568"/>
      <c r="F1" s="568"/>
      <c r="G1" s="568"/>
      <c r="H1" s="568"/>
      <c r="I1" s="255"/>
      <c r="J1" s="254"/>
      <c r="K1" s="254"/>
      <c r="L1" s="19"/>
    </row>
    <row r="2" spans="1:22" s="273" customFormat="1" x14ac:dyDescent="0.25">
      <c r="A2" s="254"/>
      <c r="B2" s="254"/>
      <c r="C2" s="568" t="s">
        <v>1</v>
      </c>
      <c r="D2" s="568"/>
      <c r="E2" s="568"/>
      <c r="F2" s="568"/>
      <c r="G2" s="568"/>
      <c r="H2" s="568"/>
      <c r="I2" s="505"/>
      <c r="J2" s="505"/>
      <c r="K2" s="505"/>
      <c r="L2" s="19"/>
    </row>
    <row r="3" spans="1:22" s="273" customFormat="1" x14ac:dyDescent="0.25">
      <c r="A3" s="254"/>
      <c r="B3" s="254"/>
      <c r="C3" s="568" t="s">
        <v>2</v>
      </c>
      <c r="D3" s="568"/>
      <c r="E3" s="568"/>
      <c r="F3" s="568"/>
      <c r="G3" s="568"/>
      <c r="H3" s="568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68" t="s">
        <v>362</v>
      </c>
      <c r="D4" s="568"/>
      <c r="E4" s="568"/>
      <c r="F4" s="568"/>
      <c r="G4" s="568"/>
      <c r="H4" s="568"/>
      <c r="I4" s="278"/>
      <c r="J4" s="505"/>
      <c r="K4" s="505"/>
      <c r="L4" s="19"/>
      <c r="M4" s="256"/>
    </row>
    <row r="5" spans="1:22" x14ac:dyDescent="0.3">
      <c r="A5" s="569" t="s">
        <v>51</v>
      </c>
      <c r="B5" s="570"/>
      <c r="C5" s="570"/>
      <c r="D5" s="571" t="s">
        <v>44</v>
      </c>
      <c r="E5" s="572"/>
      <c r="F5" s="330"/>
      <c r="G5" s="509" t="s">
        <v>35</v>
      </c>
      <c r="H5" s="510">
        <f ca="1">TODAY()</f>
        <v>45931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</row>
    <row r="6" spans="1:22" x14ac:dyDescent="0.3">
      <c r="A6" s="457" t="s">
        <v>24</v>
      </c>
      <c r="B6" s="457" t="s">
        <v>8</v>
      </c>
      <c r="C6" s="458" t="s">
        <v>9</v>
      </c>
      <c r="D6" s="459" t="s">
        <v>10</v>
      </c>
      <c r="E6" s="459" t="s">
        <v>25</v>
      </c>
      <c r="F6" s="460" t="s">
        <v>12</v>
      </c>
      <c r="G6" s="457" t="s">
        <v>13</v>
      </c>
      <c r="H6" s="461" t="s">
        <v>14</v>
      </c>
      <c r="I6" s="462" t="s">
        <v>57</v>
      </c>
      <c r="J6" s="463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454">
        <v>1</v>
      </c>
      <c r="B7" s="342">
        <v>18378</v>
      </c>
      <c r="C7" s="518" t="s">
        <v>123</v>
      </c>
      <c r="D7" s="340" t="s">
        <v>16</v>
      </c>
      <c r="E7" s="327" t="str">
        <f>IF(ISNUMBER(FIND("TE",I7)),"TE",IF(ISNUMBER(FIND("MCC",I7)),"MCC",IF(ISNUMBER(FIND("MC",I7)),"MC","MA")))</f>
        <v>MA</v>
      </c>
      <c r="F7" s="346">
        <v>38204</v>
      </c>
      <c r="G7" s="340"/>
      <c r="H7" s="348">
        <v>7142872</v>
      </c>
      <c r="I7" s="345"/>
      <c r="J7" s="368" t="str">
        <f t="shared" ref="J7:J15" ca="1" si="0">IF(K7="","",IF(K7&gt;29,"DISP.IDADE",""))</f>
        <v/>
      </c>
      <c r="K7" s="329">
        <f t="shared" ref="K7:K35" ca="1" si="1">IF(F7="","",INT((TODAY()-F7)/365.25))</f>
        <v>21</v>
      </c>
      <c r="L7" s="93" t="s">
        <v>305</v>
      </c>
      <c r="M7" s="373" t="s">
        <v>26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>
        <v>1251769969</v>
      </c>
    </row>
    <row r="8" spans="1:22" s="520" customFormat="1" ht="20.100000000000001" customHeight="1" x14ac:dyDescent="0.3">
      <c r="A8" s="454">
        <v>2</v>
      </c>
      <c r="B8" s="466">
        <v>18909</v>
      </c>
      <c r="C8" s="366" t="s">
        <v>437</v>
      </c>
      <c r="D8" s="366" t="s">
        <v>16</v>
      </c>
      <c r="E8" s="327" t="str">
        <f>IF(COUNTIF(I8,"*MC*")=1,"MC",IF(COUNTIF(I8,"*NCOM*")=1,"NCOM",IF(C8="","","MA")))</f>
        <v>MA</v>
      </c>
      <c r="F8" s="465">
        <v>32042</v>
      </c>
      <c r="G8" s="366"/>
      <c r="H8" s="366"/>
      <c r="I8" s="366"/>
      <c r="J8" s="368" t="str">
        <f t="shared" ca="1" si="0"/>
        <v>DISP.IDADE</v>
      </c>
      <c r="K8" s="329">
        <f t="shared" ca="1" si="1"/>
        <v>38</v>
      </c>
      <c r="L8" s="93" t="s">
        <v>305</v>
      </c>
      <c r="M8" s="373" t="s">
        <v>26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366"/>
    </row>
    <row r="9" spans="1:22" s="520" customFormat="1" ht="20.100000000000001" customHeight="1" x14ac:dyDescent="0.25">
      <c r="A9" s="454">
        <v>3</v>
      </c>
      <c r="B9" s="342">
        <v>18893</v>
      </c>
      <c r="C9" s="340" t="s">
        <v>416</v>
      </c>
      <c r="D9" s="343" t="s">
        <v>16</v>
      </c>
      <c r="E9" s="327" t="str">
        <f>IF(COUNTIF(I9,"*MC*")=1,"MC",IF(COUNTIF(I9,"*NCOM*")=1,"NCOM",IF(C9="","","MA")))</f>
        <v>MA</v>
      </c>
      <c r="F9" s="344">
        <v>32111</v>
      </c>
      <c r="G9" s="343"/>
      <c r="H9" s="343" t="s">
        <v>417</v>
      </c>
      <c r="I9" s="342"/>
      <c r="J9" s="368" t="str">
        <f t="shared" ca="1" si="0"/>
        <v>DISP.IDADE</v>
      </c>
      <c r="K9" s="329">
        <f t="shared" ca="1" si="1"/>
        <v>37</v>
      </c>
      <c r="L9" s="93" t="s">
        <v>305</v>
      </c>
      <c r="M9" s="373" t="s">
        <v>26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2"/>
    </row>
    <row r="10" spans="1:22" s="520" customFormat="1" ht="20.100000000000001" customHeight="1" x14ac:dyDescent="0.3">
      <c r="A10" s="454">
        <v>4</v>
      </c>
      <c r="B10" s="466">
        <v>18907</v>
      </c>
      <c r="C10" s="366" t="s">
        <v>450</v>
      </c>
      <c r="D10" s="366" t="s">
        <v>17</v>
      </c>
      <c r="E10" s="366" t="str">
        <f>IF(COUNTIF(I10,"*MC*")=1,"MC",IF(COUNTIF(I10,"*NCOM*")=1,"NCOM",IF(C10="","","MA")))</f>
        <v>MA</v>
      </c>
      <c r="F10" s="465">
        <v>25646</v>
      </c>
      <c r="G10" s="366"/>
      <c r="H10" s="366">
        <v>212981237</v>
      </c>
      <c r="I10" s="366"/>
      <c r="J10" s="368" t="str">
        <f t="shared" ca="1" si="0"/>
        <v>DISP.IDADE</v>
      </c>
      <c r="K10" s="329">
        <f t="shared" ca="1" si="1"/>
        <v>55</v>
      </c>
      <c r="L10" s="93" t="s">
        <v>305</v>
      </c>
      <c r="M10" s="373" t="s">
        <v>26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366"/>
    </row>
    <row r="11" spans="1:22" s="513" customFormat="1" ht="20.100000000000001" customHeight="1" x14ac:dyDescent="0.25">
      <c r="A11" s="454">
        <v>5</v>
      </c>
      <c r="B11" s="167">
        <v>18924</v>
      </c>
      <c r="C11" s="452" t="s">
        <v>425</v>
      </c>
      <c r="D11" s="452" t="s">
        <v>16</v>
      </c>
      <c r="E11" s="327" t="str">
        <f>IF(COUNTIF(I11,"*MC*")=1,"MC",IF(COUNTIF(I11,"*NCOM*")=1,"NCOM",IF(C11="","","MA")))</f>
        <v>MA</v>
      </c>
      <c r="F11" s="30">
        <v>31224</v>
      </c>
      <c r="G11" s="452">
        <v>1002353051</v>
      </c>
      <c r="H11" s="452"/>
      <c r="I11" s="452"/>
      <c r="J11" s="368" t="str">
        <f t="shared" ca="1" si="0"/>
        <v>DISP.IDADE</v>
      </c>
      <c r="K11" s="329">
        <f t="shared" ca="1" si="1"/>
        <v>40</v>
      </c>
      <c r="L11" s="93" t="s">
        <v>305</v>
      </c>
      <c r="M11" s="373" t="s">
        <v>26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/>
      <c r="U11" s="517"/>
      <c r="V11" s="452"/>
    </row>
    <row r="12" spans="1:22" s="513" customFormat="1" ht="20.100000000000001" customHeight="1" x14ac:dyDescent="0.25">
      <c r="A12" s="454">
        <v>6</v>
      </c>
      <c r="B12" s="342">
        <v>18849</v>
      </c>
      <c r="C12" s="350" t="s">
        <v>298</v>
      </c>
      <c r="D12" s="340" t="s">
        <v>16</v>
      </c>
      <c r="E12" s="327" t="str">
        <f>IF(ISNUMBER(FIND("TE",I12)),"TE",IF(ISNUMBER(FIND("MCC",I12)),"MCC",IF(ISNUMBER(FIND("MC",I12)),"MC","MA")))</f>
        <v>MA</v>
      </c>
      <c r="F12" s="346">
        <v>34965</v>
      </c>
      <c r="G12" s="340"/>
      <c r="H12" s="350" t="s">
        <v>363</v>
      </c>
      <c r="I12" s="345"/>
      <c r="J12" s="368" t="str">
        <f t="shared" ca="1" si="0"/>
        <v>DISP.IDADE</v>
      </c>
      <c r="K12" s="329">
        <f t="shared" ca="1" si="1"/>
        <v>30</v>
      </c>
      <c r="L12" s="93" t="s">
        <v>305</v>
      </c>
      <c r="M12" s="373" t="s">
        <v>26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1">
        <v>34595265808</v>
      </c>
    </row>
    <row r="13" spans="1:22" s="513" customFormat="1" ht="20.100000000000001" customHeight="1" x14ac:dyDescent="0.25">
      <c r="A13" s="454">
        <v>7</v>
      </c>
      <c r="B13" s="342">
        <v>18494</v>
      </c>
      <c r="C13" s="518" t="s">
        <v>225</v>
      </c>
      <c r="D13" s="340" t="s">
        <v>16</v>
      </c>
      <c r="E13" s="327" t="str">
        <f>IF(ISNUMBER(FIND("TE",I13)),"TE",IF(ISNUMBER(FIND("MCC",I13)),"MCC",IF(ISNUMBER(FIND("MC",I13)),"MC","MA")))</f>
        <v>MA</v>
      </c>
      <c r="F13" s="346">
        <v>28207</v>
      </c>
      <c r="G13" s="340"/>
      <c r="H13" s="348" t="s">
        <v>226</v>
      </c>
      <c r="I13" s="345"/>
      <c r="J13" s="368" t="str">
        <f t="shared" ca="1" si="0"/>
        <v>DISP.IDADE</v>
      </c>
      <c r="K13" s="329">
        <f t="shared" ca="1" si="1"/>
        <v>48</v>
      </c>
      <c r="L13" s="93" t="s">
        <v>305</v>
      </c>
      <c r="M13" s="373" t="s">
        <v>26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1">
        <v>21875878866</v>
      </c>
    </row>
    <row r="14" spans="1:22" s="513" customFormat="1" ht="20.100000000000001" customHeight="1" x14ac:dyDescent="0.3">
      <c r="A14" s="454">
        <v>8</v>
      </c>
      <c r="B14" s="466">
        <v>17409</v>
      </c>
      <c r="C14" s="366" t="s">
        <v>431</v>
      </c>
      <c r="D14" s="366" t="s">
        <v>16</v>
      </c>
      <c r="E14" s="327" t="str">
        <f>IF(COUNTIF(I14,"*MC*")=1,"MC",IF(COUNTIF(I14,"*NCOM*")=1,"NCOM",IF(C14="","","MA")))</f>
        <v>MA</v>
      </c>
      <c r="F14" s="465">
        <v>37551</v>
      </c>
      <c r="G14" s="366">
        <v>1057976672</v>
      </c>
      <c r="H14" s="366"/>
      <c r="I14" s="366"/>
      <c r="J14" s="368" t="str">
        <f t="shared" ca="1" si="0"/>
        <v/>
      </c>
      <c r="K14" s="329">
        <f t="shared" ca="1" si="1"/>
        <v>22</v>
      </c>
      <c r="L14" s="93" t="s">
        <v>305</v>
      </c>
      <c r="M14" s="373" t="s">
        <v>26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52"/>
    </row>
    <row r="15" spans="1:22" s="513" customFormat="1" ht="20.100000000000001" customHeight="1" x14ac:dyDescent="0.3">
      <c r="A15" s="454">
        <v>9</v>
      </c>
      <c r="B15" s="466">
        <v>13988</v>
      </c>
      <c r="C15" s="366" t="s">
        <v>441</v>
      </c>
      <c r="D15" s="366" t="s">
        <v>17</v>
      </c>
      <c r="E15" s="366" t="str">
        <f>IF(COUNTIF(I15,"*MC*")=1,"MC",IF(COUNTIF(I15,"*NCOM*")=1,"NCOM",IF(C15="","","MA")))</f>
        <v>MA</v>
      </c>
      <c r="F15" s="465">
        <v>39191</v>
      </c>
      <c r="G15" s="366">
        <v>1098519164</v>
      </c>
      <c r="H15" s="366"/>
      <c r="I15" s="366"/>
      <c r="J15" s="368" t="str">
        <f t="shared" ca="1" si="0"/>
        <v/>
      </c>
      <c r="K15" s="329">
        <f t="shared" ca="1" si="1"/>
        <v>18</v>
      </c>
      <c r="L15" s="93" t="s">
        <v>305</v>
      </c>
      <c r="M15" s="373" t="s">
        <v>26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366"/>
    </row>
    <row r="16" spans="1:22" s="513" customFormat="1" ht="19.5" customHeight="1" x14ac:dyDescent="0.25">
      <c r="A16" s="454">
        <v>10</v>
      </c>
      <c r="B16" s="342">
        <v>18896</v>
      </c>
      <c r="C16" s="343" t="s">
        <v>412</v>
      </c>
      <c r="D16" s="343" t="s">
        <v>16</v>
      </c>
      <c r="E16" s="327" t="str">
        <f>IF(COUNTIF(I16,"*MC*")=1,"MC",IF(COUNTIF(I16,"*NCOM*")=1,"NCOM",IF(C16="","","MA")))</f>
        <v>MA</v>
      </c>
      <c r="F16" s="344">
        <v>39252</v>
      </c>
      <c r="G16" s="343"/>
      <c r="H16" s="343" t="s">
        <v>413</v>
      </c>
      <c r="I16" s="342"/>
      <c r="J16" s="414" t="s">
        <v>187</v>
      </c>
      <c r="K16" s="329">
        <f t="shared" ca="1" si="1"/>
        <v>18</v>
      </c>
      <c r="L16" s="93" t="s">
        <v>305</v>
      </c>
      <c r="M16" s="373" t="s">
        <v>26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52">
        <v>57930220826</v>
      </c>
    </row>
    <row r="17" spans="1:22" s="513" customFormat="1" ht="20.100000000000001" customHeight="1" x14ac:dyDescent="0.25">
      <c r="A17" s="454">
        <v>11</v>
      </c>
      <c r="B17" s="342">
        <v>18534</v>
      </c>
      <c r="C17" s="518" t="s">
        <v>231</v>
      </c>
      <c r="D17" s="340" t="s">
        <v>17</v>
      </c>
      <c r="E17" s="327" t="str">
        <f>IF(ISNUMBER(FIND("TE",I17)),"TE",IF(ISNUMBER(FIND("MCC",I17)),"MCC",IF(ISNUMBER(FIND("MC",I17)),"MC","MA")))</f>
        <v>MA</v>
      </c>
      <c r="F17" s="346">
        <v>34824</v>
      </c>
      <c r="G17" s="340" t="s">
        <v>247</v>
      </c>
      <c r="H17" s="350" t="s">
        <v>364</v>
      </c>
      <c r="I17" s="345"/>
      <c r="J17" s="414" t="s">
        <v>187</v>
      </c>
      <c r="K17" s="329">
        <f t="shared" ca="1" si="1"/>
        <v>30</v>
      </c>
      <c r="L17" s="93" t="s">
        <v>305</v>
      </c>
      <c r="M17" s="373" t="s">
        <v>26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452">
        <v>45425203829</v>
      </c>
    </row>
    <row r="18" spans="1:22" s="513" customFormat="1" ht="20.100000000000001" customHeight="1" x14ac:dyDescent="0.25">
      <c r="A18" s="454">
        <v>12</v>
      </c>
      <c r="B18" s="342">
        <v>15276</v>
      </c>
      <c r="C18" s="518" t="s">
        <v>238</v>
      </c>
      <c r="D18" s="340" t="s">
        <v>17</v>
      </c>
      <c r="E18" s="327" t="str">
        <f>IF(ISNUMBER(FIND("TE",I18)),"TE",IF(ISNUMBER(FIND("MCC",I18)),"MCC",IF(ISNUMBER(FIND("MC",I18)),"MC","MA")))</f>
        <v>MA</v>
      </c>
      <c r="F18" s="346">
        <v>39102</v>
      </c>
      <c r="G18" s="340" t="s">
        <v>239</v>
      </c>
      <c r="H18" s="350" t="s">
        <v>365</v>
      </c>
      <c r="I18" s="345"/>
      <c r="J18" s="368" t="str">
        <f t="shared" ref="J18:J35" ca="1" si="2">IF(K18="","",IF(K18&gt;29,"DISP.IDADE",""))</f>
        <v/>
      </c>
      <c r="K18" s="329">
        <f t="shared" ca="1" si="1"/>
        <v>18</v>
      </c>
      <c r="L18" s="93" t="s">
        <v>305</v>
      </c>
      <c r="M18" s="373" t="s">
        <v>26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>
        <v>1923546805</v>
      </c>
    </row>
    <row r="19" spans="1:22" s="513" customFormat="1" ht="20.100000000000001" customHeight="1" x14ac:dyDescent="0.25">
      <c r="A19" s="454">
        <v>13</v>
      </c>
      <c r="B19" s="353">
        <v>18140</v>
      </c>
      <c r="C19" s="518" t="s">
        <v>79</v>
      </c>
      <c r="D19" s="340" t="s">
        <v>17</v>
      </c>
      <c r="E19" s="327" t="str">
        <f>IF(ISNUMBER(FIND("TE",I19)),"TE",IF(ISNUMBER(FIND("MCC",I19)),"MCC",IF(ISNUMBER(FIND("MC",I19)),"MC","MA")))</f>
        <v>MA</v>
      </c>
      <c r="F19" s="346">
        <v>29821</v>
      </c>
      <c r="G19" s="347" t="s">
        <v>84</v>
      </c>
      <c r="H19" s="350" t="s">
        <v>84</v>
      </c>
      <c r="I19" s="345"/>
      <c r="J19" s="368" t="str">
        <f t="shared" ca="1" si="2"/>
        <v>DISP.IDADE</v>
      </c>
      <c r="K19" s="329">
        <f t="shared" ca="1" si="1"/>
        <v>44</v>
      </c>
      <c r="L19" s="93" t="s">
        <v>305</v>
      </c>
      <c r="M19" s="373" t="s">
        <v>26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>
        <v>30288249810</v>
      </c>
    </row>
    <row r="20" spans="1:22" s="513" customFormat="1" ht="20.100000000000001" customHeight="1" x14ac:dyDescent="0.25">
      <c r="A20" s="454">
        <v>14</v>
      </c>
      <c r="B20" s="342">
        <v>18898</v>
      </c>
      <c r="C20" s="343" t="s">
        <v>395</v>
      </c>
      <c r="D20" s="343" t="s">
        <v>17</v>
      </c>
      <c r="E20" s="328" t="str">
        <f>IF(COUNTIF(I20,"*MC*")=1,"MC",IF(COUNTIF(I20,"*NCOM*")=1,"NCOM",IF(C20="","","MA")))</f>
        <v>MA</v>
      </c>
      <c r="F20" s="344">
        <v>29386</v>
      </c>
      <c r="G20" s="343"/>
      <c r="H20" s="343" t="s">
        <v>396</v>
      </c>
      <c r="I20" s="342"/>
      <c r="J20" s="368" t="str">
        <f t="shared" ca="1" si="2"/>
        <v>DISP.IDADE</v>
      </c>
      <c r="K20" s="329">
        <f t="shared" ca="1" si="1"/>
        <v>45</v>
      </c>
      <c r="L20" s="93" t="s">
        <v>305</v>
      </c>
      <c r="M20" s="373" t="s">
        <v>26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6"/>
      <c r="U20" s="517"/>
      <c r="V20" s="452">
        <v>28428187843</v>
      </c>
    </row>
    <row r="21" spans="1:22" s="513" customFormat="1" ht="20.100000000000001" customHeight="1" x14ac:dyDescent="0.3">
      <c r="A21" s="454">
        <v>15</v>
      </c>
      <c r="B21" s="466">
        <v>18913</v>
      </c>
      <c r="C21" s="366" t="s">
        <v>434</v>
      </c>
      <c r="D21" s="366" t="s">
        <v>16</v>
      </c>
      <c r="E21" s="327" t="str">
        <f>IF(COUNTIF(I21,"*MC*")=1,"MC",IF(COUNTIF(I21,"*NCOM*")=1,"NCOM",IF(C21="","","MA")))</f>
        <v>MA</v>
      </c>
      <c r="F21" s="465">
        <v>23927</v>
      </c>
      <c r="G21" s="366">
        <v>1212465945</v>
      </c>
      <c r="H21" s="366"/>
      <c r="I21" s="366"/>
      <c r="J21" s="368" t="str">
        <f t="shared" ca="1" si="2"/>
        <v>DISP.IDADE</v>
      </c>
      <c r="K21" s="329">
        <f t="shared" ca="1" si="1"/>
        <v>60</v>
      </c>
      <c r="L21" s="93" t="s">
        <v>305</v>
      </c>
      <c r="M21" s="373" t="s">
        <v>26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516"/>
      <c r="U21" s="517"/>
      <c r="V21" s="366"/>
    </row>
    <row r="22" spans="1:22" s="513" customFormat="1" ht="20.100000000000001" customHeight="1" x14ac:dyDescent="0.25">
      <c r="A22" s="454">
        <v>16</v>
      </c>
      <c r="B22" s="342">
        <v>18901</v>
      </c>
      <c r="C22" s="343" t="s">
        <v>397</v>
      </c>
      <c r="D22" s="343" t="s">
        <v>16</v>
      </c>
      <c r="E22" s="327" t="str">
        <f>IF(COUNTIF(I22,"*MC*")=1,"MC",IF(COUNTIF(I22,"*NCOM*")=1,"NCOM",IF(C22="","","MA")))</f>
        <v>MA</v>
      </c>
      <c r="F22" s="344">
        <v>31133</v>
      </c>
      <c r="G22" s="343"/>
      <c r="H22" s="343" t="s">
        <v>398</v>
      </c>
      <c r="I22" s="342"/>
      <c r="J22" s="368" t="str">
        <f t="shared" ca="1" si="2"/>
        <v>DISP.IDADE</v>
      </c>
      <c r="K22" s="329">
        <f t="shared" ca="1" si="1"/>
        <v>40</v>
      </c>
      <c r="L22" s="93" t="s">
        <v>305</v>
      </c>
      <c r="M22" s="373" t="s">
        <v>26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516"/>
      <c r="U22" s="517"/>
      <c r="V22" s="449" t="s">
        <v>399</v>
      </c>
    </row>
    <row r="23" spans="1:22" ht="20.100000000000001" customHeight="1" x14ac:dyDescent="0.3">
      <c r="A23" s="454">
        <v>17</v>
      </c>
      <c r="B23" s="342">
        <v>18309</v>
      </c>
      <c r="C23" s="518" t="s">
        <v>112</v>
      </c>
      <c r="D23" s="340" t="s">
        <v>16</v>
      </c>
      <c r="E23" s="327" t="str">
        <f>IF(ISNUMBER(FIND("TE",I23)),"TE",IF(ISNUMBER(FIND("MCC",I23)),"MCC",IF(ISNUMBER(FIND("MC",I23)),"MC","MA")))</f>
        <v>MA</v>
      </c>
      <c r="F23" s="346">
        <v>32317</v>
      </c>
      <c r="G23" s="347"/>
      <c r="H23" s="350" t="s">
        <v>113</v>
      </c>
      <c r="I23" s="345"/>
      <c r="J23" s="368" t="str">
        <f t="shared" ca="1" si="2"/>
        <v>DISP.IDADE</v>
      </c>
      <c r="K23" s="329">
        <f t="shared" ca="1" si="1"/>
        <v>37</v>
      </c>
      <c r="L23" s="93" t="s">
        <v>305</v>
      </c>
      <c r="M23" s="373" t="s">
        <v>26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516"/>
      <c r="U23" s="517"/>
      <c r="V23" s="452">
        <v>39511603817</v>
      </c>
    </row>
    <row r="24" spans="1:22" ht="20.100000000000001" customHeight="1" x14ac:dyDescent="0.3">
      <c r="A24" s="454">
        <v>18</v>
      </c>
      <c r="B24" s="342">
        <v>14616</v>
      </c>
      <c r="C24" s="343" t="s">
        <v>389</v>
      </c>
      <c r="D24" s="343" t="s">
        <v>16</v>
      </c>
      <c r="E24" s="327" t="str">
        <f>IF(COUNTIF(I24,"*MC*")=1,"MC",IF(COUNTIF(I24,"*NCOM*")=1,"NCOM",IF(C24="","","MA")))</f>
        <v>MA</v>
      </c>
      <c r="F24" s="344">
        <v>39181</v>
      </c>
      <c r="G24" s="343"/>
      <c r="H24" s="343" t="s">
        <v>390</v>
      </c>
      <c r="I24" s="342"/>
      <c r="J24" s="368" t="str">
        <f t="shared" ca="1" si="2"/>
        <v/>
      </c>
      <c r="K24" s="329">
        <f t="shared" ca="1" si="1"/>
        <v>18</v>
      </c>
      <c r="L24" s="93" t="s">
        <v>305</v>
      </c>
      <c r="M24" s="373" t="s">
        <v>26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516"/>
      <c r="U24" s="517"/>
      <c r="V24" s="449" t="s">
        <v>391</v>
      </c>
    </row>
    <row r="25" spans="1:22" s="525" customFormat="1" ht="20.100000000000001" customHeight="1" x14ac:dyDescent="0.3">
      <c r="A25" s="454">
        <v>19</v>
      </c>
      <c r="B25" s="467">
        <v>18894</v>
      </c>
      <c r="C25" s="524" t="s">
        <v>414</v>
      </c>
      <c r="D25" s="467" t="s">
        <v>16</v>
      </c>
      <c r="E25" s="492" t="str">
        <f>IF(COUNTIF(I25,"*MC*")=1,"MC",IF(COUNTIF(I25,"*NCOM*")=1,"NCOM",IF(C25="","","MA")))</f>
        <v>MC</v>
      </c>
      <c r="F25" s="493">
        <v>23006</v>
      </c>
      <c r="G25" s="467"/>
      <c r="H25" s="467" t="s">
        <v>415</v>
      </c>
      <c r="I25" s="467" t="s">
        <v>462</v>
      </c>
      <c r="J25" s="368" t="str">
        <f t="shared" ca="1" si="2"/>
        <v>DISP.IDADE</v>
      </c>
      <c r="K25" s="329">
        <f t="shared" ca="1" si="1"/>
        <v>62</v>
      </c>
      <c r="L25" s="93" t="s">
        <v>305</v>
      </c>
      <c r="M25" s="373" t="s">
        <v>26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516" t="s">
        <v>386</v>
      </c>
      <c r="U25" s="517" t="s">
        <v>567</v>
      </c>
      <c r="V25" s="38">
        <v>47997559434</v>
      </c>
    </row>
    <row r="26" spans="1:22" ht="19.5" customHeight="1" x14ac:dyDescent="0.3">
      <c r="A26" s="454">
        <v>20</v>
      </c>
      <c r="B26" s="342">
        <v>18479</v>
      </c>
      <c r="C26" s="519" t="s">
        <v>216</v>
      </c>
      <c r="D26" s="340" t="s">
        <v>17</v>
      </c>
      <c r="E26" s="327" t="str">
        <f>IF(ISNUMBER(FIND("TE",I26)),"TE",IF(ISNUMBER(FIND("MCC",I26)),"MCC",IF(ISNUMBER(FIND("MC",I26)),"MC","MA")))</f>
        <v>MA</v>
      </c>
      <c r="F26" s="346">
        <v>38824</v>
      </c>
      <c r="G26" s="347" t="s">
        <v>245</v>
      </c>
      <c r="H26" s="350" t="s">
        <v>366</v>
      </c>
      <c r="I26" s="345"/>
      <c r="J26" s="368" t="str">
        <f t="shared" ca="1" si="2"/>
        <v/>
      </c>
      <c r="K26" s="329">
        <f t="shared" ca="1" si="1"/>
        <v>19</v>
      </c>
      <c r="L26" s="93" t="s">
        <v>305</v>
      </c>
      <c r="M26" s="373" t="s">
        <v>26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516"/>
      <c r="U26" s="517"/>
      <c r="V26" s="452">
        <v>56887459833</v>
      </c>
    </row>
    <row r="27" spans="1:22" ht="20.100000000000001" customHeight="1" x14ac:dyDescent="0.3">
      <c r="A27" s="454">
        <v>21</v>
      </c>
      <c r="B27" s="342">
        <v>18532</v>
      </c>
      <c r="C27" s="518" t="s">
        <v>230</v>
      </c>
      <c r="D27" s="340" t="s">
        <v>17</v>
      </c>
      <c r="E27" s="327" t="str">
        <f>IF(ISNUMBER(FIND("TE",I27)),"TE",IF(ISNUMBER(FIND("MCC",I27)),"MCC",IF(ISNUMBER(FIND("MC",I27)),"MC","MA")))</f>
        <v>MA</v>
      </c>
      <c r="F27" s="346">
        <v>27456</v>
      </c>
      <c r="G27" s="340" t="s">
        <v>246</v>
      </c>
      <c r="H27" s="350" t="s">
        <v>367</v>
      </c>
      <c r="I27" s="345"/>
      <c r="J27" s="368" t="str">
        <f t="shared" ca="1" si="2"/>
        <v>DISP.IDADE</v>
      </c>
      <c r="K27" s="329">
        <f t="shared" ca="1" si="1"/>
        <v>50</v>
      </c>
      <c r="L27" s="93" t="s">
        <v>305</v>
      </c>
      <c r="M27" s="373" t="s">
        <v>26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516"/>
      <c r="U27" s="517"/>
      <c r="V27" s="452">
        <v>85729566468</v>
      </c>
    </row>
    <row r="28" spans="1:22" ht="20.100000000000001" customHeight="1" x14ac:dyDescent="0.3">
      <c r="A28" s="454">
        <v>22</v>
      </c>
      <c r="B28" s="342">
        <v>16662</v>
      </c>
      <c r="C28" s="518" t="s">
        <v>478</v>
      </c>
      <c r="D28" s="340" t="s">
        <v>17</v>
      </c>
      <c r="E28" s="327" t="s">
        <v>4</v>
      </c>
      <c r="F28" s="346">
        <v>38341</v>
      </c>
      <c r="G28" s="340" t="s">
        <v>479</v>
      </c>
      <c r="H28" s="350"/>
      <c r="I28" s="345" t="s">
        <v>476</v>
      </c>
      <c r="J28" s="368" t="str">
        <f t="shared" ca="1" si="2"/>
        <v/>
      </c>
      <c r="K28" s="329">
        <f t="shared" ca="1" si="1"/>
        <v>20</v>
      </c>
      <c r="L28" s="93" t="s">
        <v>305</v>
      </c>
      <c r="M28" s="373" t="s">
        <v>26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516"/>
      <c r="U28" s="517"/>
      <c r="V28" s="366"/>
    </row>
    <row r="29" spans="1:22" ht="20.100000000000001" customHeight="1" x14ac:dyDescent="0.3">
      <c r="A29" s="454">
        <v>23</v>
      </c>
      <c r="B29" s="342">
        <v>18957</v>
      </c>
      <c r="C29" s="518" t="s">
        <v>511</v>
      </c>
      <c r="D29" s="340" t="s">
        <v>16</v>
      </c>
      <c r="E29" s="327" t="s">
        <v>4</v>
      </c>
      <c r="F29" s="346">
        <v>30630</v>
      </c>
      <c r="G29" s="340"/>
      <c r="H29" s="350"/>
      <c r="I29" s="345" t="s">
        <v>504</v>
      </c>
      <c r="J29" s="368" t="str">
        <f t="shared" ca="1" si="2"/>
        <v>DISP.IDADE</v>
      </c>
      <c r="K29" s="329">
        <f t="shared" ca="1" si="1"/>
        <v>41</v>
      </c>
      <c r="L29" s="93" t="s">
        <v>305</v>
      </c>
      <c r="M29" s="373" t="s">
        <v>26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516"/>
      <c r="U29" s="517"/>
      <c r="V29" s="366">
        <v>33070358861</v>
      </c>
    </row>
    <row r="30" spans="1:22" ht="20.100000000000001" customHeight="1" x14ac:dyDescent="0.3">
      <c r="A30" s="454">
        <v>24</v>
      </c>
      <c r="B30" s="342">
        <v>18963</v>
      </c>
      <c r="C30" s="518" t="s">
        <v>517</v>
      </c>
      <c r="D30" s="366" t="s">
        <v>17</v>
      </c>
      <c r="E30" s="366" t="s">
        <v>4</v>
      </c>
      <c r="F30" s="346">
        <v>39238</v>
      </c>
      <c r="G30" s="366" t="s">
        <v>518</v>
      </c>
      <c r="H30" s="366"/>
      <c r="I30" s="345" t="s">
        <v>504</v>
      </c>
      <c r="J30" s="368" t="str">
        <f t="shared" ca="1" si="2"/>
        <v/>
      </c>
      <c r="K30" s="329">
        <f t="shared" ca="1" si="1"/>
        <v>18</v>
      </c>
      <c r="L30" s="93" t="s">
        <v>305</v>
      </c>
      <c r="M30" s="373" t="s">
        <v>26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366"/>
      <c r="U30" s="366"/>
      <c r="V30" s="366">
        <v>55977031882</v>
      </c>
    </row>
    <row r="31" spans="1:22" ht="20.100000000000001" customHeight="1" x14ac:dyDescent="0.3">
      <c r="A31" s="454">
        <v>25</v>
      </c>
      <c r="B31" s="342">
        <v>18850</v>
      </c>
      <c r="C31" s="518" t="s">
        <v>544</v>
      </c>
      <c r="D31" s="366" t="s">
        <v>17</v>
      </c>
      <c r="E31" s="366" t="s">
        <v>4</v>
      </c>
      <c r="F31" s="346">
        <v>39092</v>
      </c>
      <c r="G31" s="366" t="s">
        <v>545</v>
      </c>
      <c r="H31" s="366"/>
      <c r="I31" s="345" t="s">
        <v>541</v>
      </c>
      <c r="J31" s="368" t="str">
        <f t="shared" ca="1" si="2"/>
        <v/>
      </c>
      <c r="K31" s="329">
        <f t="shared" ca="1" si="1"/>
        <v>18</v>
      </c>
      <c r="L31" s="93" t="s">
        <v>305</v>
      </c>
      <c r="M31" s="373" t="s">
        <v>26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366"/>
      <c r="U31" s="366"/>
      <c r="V31" s="366">
        <v>58115459836</v>
      </c>
    </row>
    <row r="32" spans="1:22" ht="20.100000000000001" customHeight="1" x14ac:dyDescent="0.3">
      <c r="A32" s="454">
        <v>26</v>
      </c>
      <c r="B32" s="342">
        <v>18966</v>
      </c>
      <c r="C32" s="518" t="s">
        <v>546</v>
      </c>
      <c r="D32" s="366" t="s">
        <v>16</v>
      </c>
      <c r="E32" s="366" t="s">
        <v>547</v>
      </c>
      <c r="F32" s="346">
        <v>39208</v>
      </c>
      <c r="G32" s="366" t="s">
        <v>548</v>
      </c>
      <c r="H32" s="366"/>
      <c r="I32" s="345" t="s">
        <v>541</v>
      </c>
      <c r="J32" s="368" t="str">
        <f t="shared" ca="1" si="2"/>
        <v/>
      </c>
      <c r="K32" s="329">
        <f t="shared" ca="1" si="1"/>
        <v>18</v>
      </c>
      <c r="L32" s="93" t="s">
        <v>305</v>
      </c>
      <c r="M32" s="373" t="s">
        <v>26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366"/>
      <c r="U32" s="366"/>
      <c r="V32" s="366"/>
    </row>
    <row r="33" spans="1:22" ht="20.100000000000001" customHeight="1" x14ac:dyDescent="0.3">
      <c r="A33" s="454">
        <v>27</v>
      </c>
      <c r="B33" s="342">
        <v>18967</v>
      </c>
      <c r="C33" s="518" t="s">
        <v>549</v>
      </c>
      <c r="D33" s="366" t="s">
        <v>17</v>
      </c>
      <c r="E33" s="366" t="s">
        <v>4</v>
      </c>
      <c r="F33" s="346">
        <v>38950</v>
      </c>
      <c r="G33" s="366" t="s">
        <v>550</v>
      </c>
      <c r="H33" s="366"/>
      <c r="I33" s="345" t="s">
        <v>541</v>
      </c>
      <c r="J33" s="368" t="str">
        <f t="shared" ca="1" si="2"/>
        <v/>
      </c>
      <c r="K33" s="329">
        <f t="shared" ca="1" si="1"/>
        <v>19</v>
      </c>
      <c r="L33" s="93" t="s">
        <v>305</v>
      </c>
      <c r="M33" s="373" t="s">
        <v>26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366"/>
      <c r="U33" s="366"/>
      <c r="V33" s="366"/>
    </row>
    <row r="34" spans="1:22" ht="20.100000000000001" customHeight="1" x14ac:dyDescent="0.3">
      <c r="A34" s="454">
        <v>28</v>
      </c>
      <c r="B34" s="342">
        <v>18338</v>
      </c>
      <c r="C34" s="366" t="s">
        <v>568</v>
      </c>
      <c r="D34" s="366" t="s">
        <v>17</v>
      </c>
      <c r="E34" s="366" t="s">
        <v>4</v>
      </c>
      <c r="F34" s="465">
        <v>39253</v>
      </c>
      <c r="G34" s="366" t="s">
        <v>569</v>
      </c>
      <c r="H34" s="366" t="s">
        <v>570</v>
      </c>
      <c r="I34" s="345" t="s">
        <v>571</v>
      </c>
      <c r="J34" s="368" t="str">
        <f t="shared" ca="1" si="2"/>
        <v/>
      </c>
      <c r="K34" s="329">
        <f t="shared" ca="1" si="1"/>
        <v>18</v>
      </c>
      <c r="L34" s="93" t="s">
        <v>305</v>
      </c>
      <c r="M34" s="373" t="s">
        <v>26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366"/>
      <c r="U34" s="366"/>
      <c r="V34" s="366">
        <v>53057483801</v>
      </c>
    </row>
    <row r="35" spans="1:22" ht="20.100000000000001" customHeight="1" x14ac:dyDescent="0.3">
      <c r="A35" s="454">
        <v>29</v>
      </c>
      <c r="B35" s="366"/>
      <c r="C35" s="366"/>
      <c r="D35" s="366"/>
      <c r="E35" s="366"/>
      <c r="F35" s="366"/>
      <c r="G35" s="366"/>
      <c r="H35" s="366"/>
      <c r="I35" s="366"/>
      <c r="J35" s="368" t="str">
        <f t="shared" ca="1" si="2"/>
        <v/>
      </c>
      <c r="K35" s="329" t="str">
        <f t="shared" ca="1" si="1"/>
        <v/>
      </c>
      <c r="L35" s="93" t="s">
        <v>305</v>
      </c>
      <c r="M35" s="373" t="s">
        <v>26</v>
      </c>
      <c r="N35" s="452" t="s">
        <v>26</v>
      </c>
      <c r="O35" s="452" t="s">
        <v>26</v>
      </c>
      <c r="P35" s="452" t="s">
        <v>26</v>
      </c>
      <c r="Q35" s="452" t="s">
        <v>26</v>
      </c>
      <c r="R35" s="452" t="s">
        <v>26</v>
      </c>
      <c r="S35" s="452" t="s">
        <v>26</v>
      </c>
      <c r="T35" s="366"/>
      <c r="U35" s="366"/>
      <c r="V35" s="366"/>
    </row>
    <row r="36" spans="1:22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258"/>
      <c r="B38" s="258"/>
      <c r="C38" s="258"/>
      <c r="F38" s="258"/>
      <c r="G38" s="258"/>
      <c r="H38" s="258"/>
      <c r="I38" s="258"/>
      <c r="J38" s="258"/>
      <c r="K38" s="258"/>
    </row>
    <row r="39" spans="1:22" x14ac:dyDescent="0.3">
      <c r="A39" s="258"/>
      <c r="B39" s="258"/>
      <c r="C39" s="258"/>
      <c r="F39" s="258"/>
      <c r="G39" s="258"/>
      <c r="H39" s="258"/>
      <c r="I39" s="258"/>
      <c r="J39" s="258"/>
      <c r="K39" s="258"/>
    </row>
    <row r="40" spans="1:22" x14ac:dyDescent="0.3">
      <c r="A40" s="258"/>
      <c r="B40" s="258"/>
      <c r="C40" s="258"/>
      <c r="F40" s="258"/>
      <c r="G40" s="258"/>
      <c r="H40" s="258"/>
      <c r="I40" s="258"/>
      <c r="J40" s="258"/>
      <c r="K40" s="258"/>
    </row>
    <row r="41" spans="1:22" x14ac:dyDescent="0.3">
      <c r="A41" s="258"/>
      <c r="B41" s="258"/>
      <c r="C41" s="258"/>
      <c r="F41" s="258"/>
      <c r="G41" s="258"/>
      <c r="H41" s="258"/>
      <c r="I41" s="258"/>
      <c r="J41" s="258"/>
      <c r="K41" s="258"/>
    </row>
    <row r="42" spans="1:22" x14ac:dyDescent="0.3">
      <c r="A42" s="258"/>
      <c r="B42" s="258"/>
      <c r="C42" s="258"/>
      <c r="F42" s="258"/>
      <c r="G42" s="258"/>
      <c r="H42" s="258"/>
      <c r="I42" s="258"/>
      <c r="J42" s="258"/>
      <c r="K42" s="258"/>
    </row>
    <row r="43" spans="1:22" x14ac:dyDescent="0.3">
      <c r="A43" s="258"/>
      <c r="B43" s="258"/>
      <c r="C43" s="258"/>
      <c r="F43" s="258"/>
      <c r="G43" s="258"/>
      <c r="H43" s="258"/>
      <c r="I43" s="258"/>
      <c r="J43" s="258"/>
      <c r="K43" s="258"/>
    </row>
    <row r="44" spans="1:22" x14ac:dyDescent="0.3">
      <c r="A44" s="258"/>
      <c r="B44" s="258"/>
      <c r="C44" s="258"/>
      <c r="F44" s="258"/>
      <c r="G44" s="258"/>
      <c r="H44" s="258"/>
      <c r="I44" s="258"/>
      <c r="J44" s="258"/>
      <c r="K44" s="258"/>
    </row>
    <row r="45" spans="1:22" x14ac:dyDescent="0.3">
      <c r="A45" s="258"/>
      <c r="B45" s="258"/>
      <c r="C45" s="258"/>
      <c r="F45" s="258"/>
      <c r="G45" s="258"/>
      <c r="H45" s="258"/>
      <c r="I45" s="258"/>
      <c r="J45" s="258"/>
      <c r="K45" s="258"/>
    </row>
    <row r="46" spans="1:22" x14ac:dyDescent="0.3">
      <c r="A46" s="258"/>
      <c r="B46" s="258"/>
      <c r="C46" s="258"/>
      <c r="F46" s="258"/>
      <c r="G46" s="258"/>
      <c r="H46" s="258"/>
      <c r="I46" s="258"/>
      <c r="J46" s="258"/>
      <c r="K46" s="258"/>
    </row>
    <row r="47" spans="1:22" x14ac:dyDescent="0.3">
      <c r="A47" s="258"/>
      <c r="B47" s="258"/>
      <c r="C47" s="258"/>
      <c r="F47" s="258"/>
      <c r="G47" s="258"/>
      <c r="H47" s="258"/>
      <c r="I47" s="258"/>
      <c r="J47" s="258"/>
      <c r="K47" s="258"/>
    </row>
  </sheetData>
  <sheetProtection formatCells="0" selectLockedCells="1"/>
  <autoFilter ref="A6:K6">
    <sortState ref="A7:M44">
      <sortCondition ref="C6"/>
    </sortState>
  </autoFilter>
  <sortState ref="A7:V36">
    <sortCondition ref="C7:C36"/>
  </sortState>
  <mergeCells count="6">
    <mergeCell ref="C1:H1"/>
    <mergeCell ref="C2:H2"/>
    <mergeCell ref="C3:H3"/>
    <mergeCell ref="C4:H4"/>
    <mergeCell ref="A5:C5"/>
    <mergeCell ref="D5:E5"/>
  </mergeCells>
  <conditionalFormatting sqref="A6:K6 B9:D9 F9:H10 E7:E15 J7:J35 A7:A35">
    <cfRule type="expression" dxfId="2260" priority="19677">
      <formula>$E6="MC"</formula>
    </cfRule>
  </conditionalFormatting>
  <conditionalFormatting sqref="M4:M5 M7:M35">
    <cfRule type="cellIs" dxfId="2259" priority="19513" operator="equal">
      <formula>3</formula>
    </cfRule>
    <cfRule type="cellIs" dxfId="2258" priority="19514" operator="equal">
      <formula>2</formula>
    </cfRule>
    <cfRule type="cellIs" dxfId="2257" priority="19515" operator="equal">
      <formula>1</formula>
    </cfRule>
  </conditionalFormatting>
  <conditionalFormatting sqref="K4:K6">
    <cfRule type="cellIs" dxfId="2256" priority="19437" operator="lessThan">
      <formula>18</formula>
    </cfRule>
  </conditionalFormatting>
  <conditionalFormatting sqref="K48:K1048576 K1:K35">
    <cfRule type="cellIs" dxfId="2255" priority="19137" operator="lessThan">
      <formula>18</formula>
    </cfRule>
  </conditionalFormatting>
  <conditionalFormatting sqref="A5">
    <cfRule type="expression" dxfId="2254" priority="41336">
      <formula>$D5="MC"</formula>
    </cfRule>
  </conditionalFormatting>
  <conditionalFormatting sqref="E17">
    <cfRule type="expression" dxfId="2253" priority="136">
      <formula>$E17="MC"</formula>
    </cfRule>
  </conditionalFormatting>
  <conditionalFormatting sqref="E16 E18:E25">
    <cfRule type="expression" dxfId="2252" priority="135">
      <formula>$E16="MC"</formula>
    </cfRule>
  </conditionalFormatting>
  <conditionalFormatting sqref="M6">
    <cfRule type="cellIs" dxfId="2251" priority="96" operator="equal">
      <formula>3</formula>
    </cfRule>
    <cfRule type="cellIs" dxfId="2250" priority="97" operator="equal">
      <formula>2</formula>
    </cfRule>
    <cfRule type="cellIs" dxfId="2249" priority="98" operator="equal">
      <formula>1</formula>
    </cfRule>
  </conditionalFormatting>
  <conditionalFormatting sqref="T6">
    <cfRule type="expression" dxfId="2248" priority="89">
      <formula>FIND("RETIDO",T6)</formula>
    </cfRule>
  </conditionalFormatting>
  <conditionalFormatting sqref="B10:D10">
    <cfRule type="expression" dxfId="2247" priority="78">
      <formula>$E10="MC"</formula>
    </cfRule>
  </conditionalFormatting>
  <conditionalFormatting sqref="B7:D7 F7:H7">
    <cfRule type="expression" dxfId="2246" priority="77">
      <formula>$E7="MC"</formula>
    </cfRule>
  </conditionalFormatting>
  <conditionalFormatting sqref="B8:D8 F8:H8">
    <cfRule type="expression" dxfId="2245" priority="72">
      <formula>$E8="MC"</formula>
    </cfRule>
  </conditionalFormatting>
  <conditionalFormatting sqref="H12">
    <cfRule type="expression" dxfId="2244" priority="69">
      <formula>$E12="MC"</formula>
    </cfRule>
  </conditionalFormatting>
  <conditionalFormatting sqref="F12:H12">
    <cfRule type="expression" dxfId="2243" priority="66">
      <formula>$E12="MC"</formula>
    </cfRule>
  </conditionalFormatting>
  <conditionalFormatting sqref="F12:H12">
    <cfRule type="expression" dxfId="2242" priority="65">
      <formula>$E12="MC"</formula>
    </cfRule>
  </conditionalFormatting>
  <conditionalFormatting sqref="F12:G12">
    <cfRule type="expression" dxfId="2241" priority="68">
      <formula>$E12="MC"</formula>
    </cfRule>
  </conditionalFormatting>
  <conditionalFormatting sqref="F12:H12">
    <cfRule type="expression" dxfId="2240" priority="67">
      <formula>$E12="MC"</formula>
    </cfRule>
  </conditionalFormatting>
  <conditionalFormatting sqref="F12:H12">
    <cfRule type="expression" dxfId="2239" priority="64">
      <formula>$E12="MC"</formula>
    </cfRule>
  </conditionalFormatting>
  <conditionalFormatting sqref="F12:H12">
    <cfRule type="expression" dxfId="2238" priority="61">
      <formula>$E12="MC"</formula>
    </cfRule>
  </conditionalFormatting>
  <conditionalFormatting sqref="F12:H12">
    <cfRule type="expression" dxfId="2237" priority="62">
      <formula>$E12="MC"</formula>
    </cfRule>
  </conditionalFormatting>
  <conditionalFormatting sqref="F12:H12">
    <cfRule type="expression" dxfId="2236" priority="63">
      <formula>$E12="MC"</formula>
    </cfRule>
  </conditionalFormatting>
  <conditionalFormatting sqref="D12">
    <cfRule type="expression" dxfId="2235" priority="60">
      <formula>$E12="MC"</formula>
    </cfRule>
  </conditionalFormatting>
  <conditionalFormatting sqref="B12:C12">
    <cfRule type="expression" dxfId="2234" priority="59">
      <formula>$E12="MC"</formula>
    </cfRule>
  </conditionalFormatting>
  <conditionalFormatting sqref="B20:C20">
    <cfRule type="expression" dxfId="2233" priority="41545">
      <formula>#REF!="MC"</formula>
    </cfRule>
  </conditionalFormatting>
  <dataValidations count="2">
    <dataValidation type="date" allowBlank="1" showInputMessage="1" showErrorMessage="1" errorTitle="Data Invalida" error="Você deve inserir uma data no formato XX/XX/XXXX" promptTitle="Insira uma Data" prompt="Favor inserir uma data válida no formato: XX/XX/XXXX" sqref="F7:F10">
      <formula1>1</formula1>
      <formula2>2958465</formula2>
    </dataValidation>
    <dataValidation type="list" allowBlank="1" showInputMessage="1" showErrorMessage="1" sqref="T7:T29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5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99"/>
  </sheetPr>
  <dimension ref="A1:V39"/>
  <sheetViews>
    <sheetView view="pageBreakPreview" topLeftCell="A4" zoomScale="70" zoomScaleNormal="100" zoomScaleSheetLayoutView="70" workbookViewId="0">
      <pane xSplit="3" ySplit="2" topLeftCell="D6" activePane="bottomRight" state="frozen"/>
      <selection sqref="A1:XFD1048576"/>
      <selection pane="topRight" sqref="A1:XFD1048576"/>
      <selection pane="bottomLeft" sqref="A1:XFD1048576"/>
      <selection pane="bottomRight" activeCell="A13" sqref="A13:XFD13"/>
    </sheetView>
  </sheetViews>
  <sheetFormatPr defaultRowHeight="17.25" x14ac:dyDescent="0.3"/>
  <cols>
    <col min="1" max="1" width="4.7109375" style="273" customWidth="1"/>
    <col min="2" max="2" width="9.28515625" style="273" customWidth="1"/>
    <col min="3" max="3" width="40.7109375" style="514" customWidth="1"/>
    <col min="4" max="4" width="3.7109375" style="258" customWidth="1"/>
    <col min="5" max="5" width="4.7109375" style="258" customWidth="1"/>
    <col min="6" max="6" width="14" style="274" bestFit="1" customWidth="1"/>
    <col min="7" max="7" width="14.7109375" style="273" customWidth="1"/>
    <col min="8" max="8" width="12.7109375" style="275" customWidth="1"/>
    <col min="9" max="9" width="28.42578125" style="514" customWidth="1"/>
    <col min="10" max="10" width="18.28515625" style="289" bestFit="1" customWidth="1"/>
    <col min="11" max="11" width="7.85546875" style="276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1" width="9.140625" style="258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68" t="s">
        <v>0</v>
      </c>
      <c r="D1" s="568"/>
      <c r="E1" s="568"/>
      <c r="F1" s="568"/>
      <c r="G1" s="568"/>
      <c r="H1" s="568"/>
      <c r="I1" s="255"/>
      <c r="J1" s="254"/>
      <c r="K1" s="254"/>
      <c r="L1" s="19"/>
    </row>
    <row r="2" spans="1:22" s="273" customFormat="1" x14ac:dyDescent="0.25">
      <c r="A2" s="254"/>
      <c r="B2" s="254"/>
      <c r="C2" s="568" t="s">
        <v>1</v>
      </c>
      <c r="D2" s="568"/>
      <c r="E2" s="568"/>
      <c r="F2" s="568"/>
      <c r="G2" s="568"/>
      <c r="H2" s="568"/>
      <c r="I2" s="505"/>
      <c r="J2" s="505"/>
      <c r="K2" s="505"/>
      <c r="L2" s="19"/>
    </row>
    <row r="3" spans="1:22" s="273" customFormat="1" x14ac:dyDescent="0.25">
      <c r="A3" s="254"/>
      <c r="B3" s="254"/>
      <c r="C3" s="568" t="s">
        <v>2</v>
      </c>
      <c r="D3" s="568"/>
      <c r="E3" s="568"/>
      <c r="F3" s="568"/>
      <c r="G3" s="568"/>
      <c r="H3" s="568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68" t="s">
        <v>362</v>
      </c>
      <c r="D4" s="568"/>
      <c r="E4" s="568"/>
      <c r="F4" s="568"/>
      <c r="G4" s="568"/>
      <c r="H4" s="568"/>
      <c r="I4" s="278" t="s">
        <v>6</v>
      </c>
      <c r="J4" s="505"/>
      <c r="K4" s="505"/>
      <c r="L4" s="19"/>
      <c r="M4" s="256"/>
    </row>
    <row r="5" spans="1:22" x14ac:dyDescent="0.3">
      <c r="A5" s="569" t="s">
        <v>39</v>
      </c>
      <c r="B5" s="570"/>
      <c r="C5" s="570"/>
      <c r="D5" s="571" t="s">
        <v>44</v>
      </c>
      <c r="E5" s="572"/>
      <c r="F5" s="330"/>
      <c r="G5" s="509" t="s">
        <v>35</v>
      </c>
      <c r="H5" s="510">
        <f ca="1">TODAY()</f>
        <v>45931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</row>
    <row r="6" spans="1:22" x14ac:dyDescent="0.3">
      <c r="A6" s="457" t="s">
        <v>24</v>
      </c>
      <c r="B6" s="457" t="s">
        <v>8</v>
      </c>
      <c r="C6" s="458" t="s">
        <v>9</v>
      </c>
      <c r="D6" s="459" t="s">
        <v>10</v>
      </c>
      <c r="E6" s="459" t="s">
        <v>25</v>
      </c>
      <c r="F6" s="460" t="s">
        <v>12</v>
      </c>
      <c r="G6" s="457" t="s">
        <v>13</v>
      </c>
      <c r="H6" s="461" t="s">
        <v>14</v>
      </c>
      <c r="I6" s="462" t="s">
        <v>57</v>
      </c>
      <c r="J6" s="463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20" customFormat="1" ht="20.100000000000001" customHeight="1" x14ac:dyDescent="0.25">
      <c r="A7" s="454">
        <v>1</v>
      </c>
      <c r="B7" s="353">
        <v>18762</v>
      </c>
      <c r="C7" s="343" t="s">
        <v>264</v>
      </c>
      <c r="D7" s="343" t="s">
        <v>16</v>
      </c>
      <c r="E7" s="328" t="str">
        <f>IF(ISNUMBER(FIND("TE",I7)),"TE",IF(ISNUMBER(FIND("MCC",I7)),"MCC",IF(ISNUMBER(FIND("MC",I7)),"MC","MA")))</f>
        <v>MA</v>
      </c>
      <c r="F7" s="344">
        <v>36277</v>
      </c>
      <c r="G7" s="343"/>
      <c r="H7" s="343" t="s">
        <v>265</v>
      </c>
      <c r="I7" s="345"/>
      <c r="J7" s="368" t="s">
        <v>581</v>
      </c>
      <c r="K7" s="329">
        <f t="shared" ref="K7:K30" ca="1" si="0">IF(F7="","",INT((TODAY()-F7)/365.25))</f>
        <v>26</v>
      </c>
      <c r="L7" s="93" t="s">
        <v>305</v>
      </c>
      <c r="M7" s="373" t="s">
        <v>26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1">
        <v>44061871897</v>
      </c>
    </row>
    <row r="8" spans="1:22" s="520" customFormat="1" ht="20.100000000000001" customHeight="1" x14ac:dyDescent="0.25">
      <c r="A8" s="454">
        <v>2</v>
      </c>
      <c r="B8" s="342">
        <v>17680</v>
      </c>
      <c r="C8" s="521" t="s">
        <v>65</v>
      </c>
      <c r="D8" s="377" t="s">
        <v>17</v>
      </c>
      <c r="E8" s="328" t="str">
        <f>IF(ISNUMBER(FIND("TE",I8)),"TE",IF(ISNUMBER(FIND("MCC",I8)),"MCC",IF(ISNUMBER(FIND("MC",I8)),"MC","MA")))</f>
        <v>MA</v>
      </c>
      <c r="F8" s="378">
        <v>33444</v>
      </c>
      <c r="G8" s="377" t="s">
        <v>76</v>
      </c>
      <c r="H8" s="379" t="s">
        <v>66</v>
      </c>
      <c r="I8" s="472" t="s">
        <v>6</v>
      </c>
      <c r="J8" s="368" t="str">
        <f t="shared" ref="J8:J14" ca="1" si="1">IF(K8="","",IF(K8&gt;29,"DISP.IDADE",""))</f>
        <v>DISP.IDADE</v>
      </c>
      <c r="K8" s="329">
        <f t="shared" ca="1" si="0"/>
        <v>34</v>
      </c>
      <c r="L8" s="93" t="s">
        <v>306</v>
      </c>
      <c r="M8" s="373" t="s">
        <v>26</v>
      </c>
      <c r="N8" s="452" t="s">
        <v>26</v>
      </c>
      <c r="O8" s="452" t="s">
        <v>333</v>
      </c>
      <c r="P8" s="452" t="s">
        <v>332</v>
      </c>
      <c r="Q8" s="452" t="s">
        <v>26</v>
      </c>
      <c r="R8" s="452" t="s">
        <v>305</v>
      </c>
      <c r="S8" s="452" t="s">
        <v>315</v>
      </c>
      <c r="T8" s="516"/>
      <c r="U8" s="517"/>
      <c r="V8" s="451">
        <v>33541561807</v>
      </c>
    </row>
    <row r="9" spans="1:22" s="520" customFormat="1" ht="20.100000000000001" customHeight="1" x14ac:dyDescent="0.25">
      <c r="A9" s="454">
        <v>3</v>
      </c>
      <c r="B9" s="353">
        <v>10691</v>
      </c>
      <c r="C9" s="518" t="s">
        <v>257</v>
      </c>
      <c r="D9" s="352" t="s">
        <v>17</v>
      </c>
      <c r="E9" s="328" t="str">
        <f>IF(ISNUMBER(FIND("TE",I9)),"TE",IF(ISNUMBER(FIND("MCC",I9)),"MCC",IF(ISNUMBER(FIND("MC",I9)),"MC","MA")))</f>
        <v>MA</v>
      </c>
      <c r="F9" s="354">
        <v>32987</v>
      </c>
      <c r="G9" s="347" t="s">
        <v>258</v>
      </c>
      <c r="H9" s="343" t="s">
        <v>258</v>
      </c>
      <c r="I9" s="345"/>
      <c r="J9" s="368" t="str">
        <f t="shared" ca="1" si="1"/>
        <v>DISP.IDADE</v>
      </c>
      <c r="K9" s="329">
        <f t="shared" ref="K9" ca="1" si="2">IF(F9="","",INT((TODAY()-F9)/365.25))</f>
        <v>35</v>
      </c>
      <c r="L9" s="93" t="s">
        <v>305</v>
      </c>
      <c r="M9" s="373" t="s">
        <v>26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1">
        <v>41203246803</v>
      </c>
    </row>
    <row r="10" spans="1:22" s="520" customFormat="1" ht="20.100000000000001" customHeight="1" x14ac:dyDescent="0.25">
      <c r="A10" s="454">
        <v>4</v>
      </c>
      <c r="B10" s="353">
        <v>17897</v>
      </c>
      <c r="C10" s="518" t="s">
        <v>73</v>
      </c>
      <c r="D10" s="347" t="s">
        <v>17</v>
      </c>
      <c r="E10" s="328" t="str">
        <f>IF(ISNUMBER(FIND("TE",I10)),"TE",IF(ISNUMBER(FIND("MCC",I10)),"MCC",IF(ISNUMBER(FIND("MC",I10)),"MC","MA")))</f>
        <v>MA</v>
      </c>
      <c r="F10" s="354">
        <v>31894</v>
      </c>
      <c r="G10" s="347" t="s">
        <v>77</v>
      </c>
      <c r="H10" s="349" t="s">
        <v>375</v>
      </c>
      <c r="I10" s="345"/>
      <c r="J10" s="368" t="str">
        <f t="shared" ca="1" si="1"/>
        <v>DISP.IDADE</v>
      </c>
      <c r="K10" s="329">
        <f t="shared" ref="K10:K26" ca="1" si="3">IF(F10="","",INT((TODAY()-F10)/365.25))</f>
        <v>38</v>
      </c>
      <c r="L10" s="93" t="s">
        <v>305</v>
      </c>
      <c r="M10" s="373" t="s">
        <v>26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1">
        <v>4855641570</v>
      </c>
    </row>
    <row r="11" spans="1:22" s="520" customFormat="1" ht="20.100000000000001" customHeight="1" x14ac:dyDescent="0.25">
      <c r="A11" s="454">
        <v>5</v>
      </c>
      <c r="B11" s="342">
        <v>6267</v>
      </c>
      <c r="C11" s="341" t="s">
        <v>439</v>
      </c>
      <c r="D11" s="343" t="s">
        <v>16</v>
      </c>
      <c r="E11" s="327" t="str">
        <f>IF(COUNTIF(I11,"*MC*")=1,"MC",IF(COUNTIF(I11,"*NCOM*")=1,"NCOM",IF(C11="","","MA")))</f>
        <v>MA</v>
      </c>
      <c r="F11" s="344">
        <v>27084</v>
      </c>
      <c r="G11" s="343" t="s">
        <v>440</v>
      </c>
      <c r="H11" s="341"/>
      <c r="I11" s="341"/>
      <c r="J11" s="368" t="str">
        <f t="shared" ca="1" si="1"/>
        <v>DISP.IDADE</v>
      </c>
      <c r="K11" s="329">
        <f t="shared" ca="1" si="3"/>
        <v>51</v>
      </c>
      <c r="L11" s="93" t="s">
        <v>305</v>
      </c>
      <c r="M11" s="373" t="s">
        <v>26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/>
      <c r="U11" s="517"/>
      <c r="V11" s="452"/>
    </row>
    <row r="12" spans="1:22" s="520" customFormat="1" ht="20.100000000000001" customHeight="1" x14ac:dyDescent="0.25">
      <c r="A12" s="454">
        <v>6</v>
      </c>
      <c r="B12" s="353">
        <v>18763</v>
      </c>
      <c r="C12" s="518" t="s">
        <v>282</v>
      </c>
      <c r="D12" s="347" t="s">
        <v>17</v>
      </c>
      <c r="E12" s="328" t="str">
        <f>IF(ISNUMBER(FIND("TE",I12)),"TE",IF(ISNUMBER(FIND("MCC",I12)),"MCC",IF(ISNUMBER(FIND("MC",I12)),"MC","MA")))</f>
        <v>MA</v>
      </c>
      <c r="F12" s="354">
        <v>38753</v>
      </c>
      <c r="G12" s="347"/>
      <c r="H12" s="349" t="s">
        <v>376</v>
      </c>
      <c r="I12" s="345"/>
      <c r="J12" s="368" t="str">
        <f t="shared" ca="1" si="1"/>
        <v/>
      </c>
      <c r="K12" s="329">
        <f t="shared" ca="1" si="3"/>
        <v>19</v>
      </c>
      <c r="L12" s="93" t="s">
        <v>305</v>
      </c>
      <c r="M12" s="373" t="s">
        <v>26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1">
        <v>51831633833</v>
      </c>
    </row>
    <row r="13" spans="1:22" s="513" customFormat="1" ht="20.100000000000001" customHeight="1" x14ac:dyDescent="0.25">
      <c r="A13" s="454">
        <v>7</v>
      </c>
      <c r="B13" s="167">
        <v>18897</v>
      </c>
      <c r="C13" s="452" t="s">
        <v>408</v>
      </c>
      <c r="D13" s="452" t="s">
        <v>17</v>
      </c>
      <c r="E13" s="452" t="str">
        <f>IF(ISNUMBER(FIND("TE",I13)),"TE",IF(ISNUMBER(FIND("MCC",I13)),"MCC",IF(ISNUMBER(FIND("MC",I13)),"MC","MA")))</f>
        <v>MA</v>
      </c>
      <c r="F13" s="30">
        <v>21238</v>
      </c>
      <c r="G13" s="452"/>
      <c r="H13" s="452" t="s">
        <v>409</v>
      </c>
      <c r="I13" s="158"/>
      <c r="J13" s="368" t="str">
        <f t="shared" ca="1" si="1"/>
        <v>DISP.IDADE</v>
      </c>
      <c r="K13" s="329">
        <f t="shared" ca="1" si="3"/>
        <v>67</v>
      </c>
      <c r="L13" s="93" t="s">
        <v>305</v>
      </c>
      <c r="M13" s="373" t="s">
        <v>26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2">
        <v>85019380849</v>
      </c>
    </row>
    <row r="14" spans="1:22" s="513" customFormat="1" ht="20.100000000000001" customHeight="1" x14ac:dyDescent="0.25">
      <c r="A14" s="454">
        <v>8</v>
      </c>
      <c r="B14" s="342">
        <v>18835</v>
      </c>
      <c r="C14" s="343" t="s">
        <v>353</v>
      </c>
      <c r="D14" s="343" t="s">
        <v>17</v>
      </c>
      <c r="E14" s="328" t="str">
        <f>IF(ISNUMBER(FIND("TE",I14)),"TE",IF(ISNUMBER(FIND("MCC",I14)),"MCC",IF(ISNUMBER(FIND("MC",I14)),"MC","MA")))</f>
        <v>MA</v>
      </c>
      <c r="F14" s="344">
        <v>39112</v>
      </c>
      <c r="G14" s="343">
        <v>1227437542</v>
      </c>
      <c r="H14" s="341" t="s">
        <v>377</v>
      </c>
      <c r="I14" s="345"/>
      <c r="J14" s="368" t="str">
        <f t="shared" ca="1" si="1"/>
        <v/>
      </c>
      <c r="K14" s="329">
        <f t="shared" ca="1" si="3"/>
        <v>18</v>
      </c>
      <c r="L14" s="93" t="s">
        <v>305</v>
      </c>
      <c r="M14" s="373" t="s">
        <v>26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51"/>
    </row>
    <row r="15" spans="1:22" s="513" customFormat="1" ht="20.100000000000001" customHeight="1" x14ac:dyDescent="0.25">
      <c r="A15" s="454">
        <v>9</v>
      </c>
      <c r="B15" s="342">
        <v>18895</v>
      </c>
      <c r="C15" s="341" t="s">
        <v>411</v>
      </c>
      <c r="D15" s="343" t="s">
        <v>17</v>
      </c>
      <c r="E15" s="327" t="str">
        <f>IF(COUNTIF(I15,"*MC*")=1,"MC",IF(COUNTIF(I15,"*NCOM*")=1,"NCOM",IF(C15="","","MA")))</f>
        <v>MA</v>
      </c>
      <c r="F15" s="344">
        <v>38479</v>
      </c>
      <c r="G15" s="343"/>
      <c r="H15" s="341">
        <v>666396206</v>
      </c>
      <c r="I15" s="345"/>
      <c r="J15" s="368" t="s">
        <v>56</v>
      </c>
      <c r="K15" s="329">
        <f t="shared" ca="1" si="3"/>
        <v>20</v>
      </c>
      <c r="L15" s="93" t="s">
        <v>305</v>
      </c>
      <c r="M15" s="373" t="s">
        <v>26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452">
        <v>58099319877</v>
      </c>
    </row>
    <row r="16" spans="1:22" s="513" customFormat="1" ht="20.100000000000001" customHeight="1" x14ac:dyDescent="0.25">
      <c r="A16" s="454">
        <v>10</v>
      </c>
      <c r="B16" s="342">
        <v>18537</v>
      </c>
      <c r="C16" s="522" t="s">
        <v>236</v>
      </c>
      <c r="D16" s="343" t="s">
        <v>16</v>
      </c>
      <c r="E16" s="328" t="str">
        <f t="shared" ref="E16:E21" si="4">IF(ISNUMBER(FIND("TE",I16)),"TE",IF(ISNUMBER(FIND("MCC",I16)),"MCC",IF(ISNUMBER(FIND("MC",I16)),"MC","MA")))</f>
        <v>MA</v>
      </c>
      <c r="F16" s="344">
        <v>25914</v>
      </c>
      <c r="G16" s="343"/>
      <c r="H16" s="341" t="s">
        <v>237</v>
      </c>
      <c r="I16" s="345"/>
      <c r="J16" s="368" t="str">
        <f t="shared" ref="J16:J33" ca="1" si="5">IF(K16="","",IF(K16&gt;29,"DISP.IDADE",""))</f>
        <v>DISP.IDADE</v>
      </c>
      <c r="K16" s="329">
        <f t="shared" ca="1" si="3"/>
        <v>54</v>
      </c>
      <c r="L16" s="93" t="s">
        <v>305</v>
      </c>
      <c r="M16" s="373" t="s">
        <v>26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52">
        <v>19944095842</v>
      </c>
    </row>
    <row r="17" spans="1:22" s="513" customFormat="1" ht="20.100000000000001" customHeight="1" x14ac:dyDescent="0.25">
      <c r="A17" s="454">
        <v>11</v>
      </c>
      <c r="B17" s="342">
        <v>18536</v>
      </c>
      <c r="C17" s="522" t="s">
        <v>232</v>
      </c>
      <c r="D17" s="343" t="s">
        <v>16</v>
      </c>
      <c r="E17" s="328" t="str">
        <f t="shared" si="4"/>
        <v>MA</v>
      </c>
      <c r="F17" s="344">
        <v>20584</v>
      </c>
      <c r="G17" s="343"/>
      <c r="H17" s="341" t="s">
        <v>233</v>
      </c>
      <c r="I17" s="345"/>
      <c r="J17" s="368" t="str">
        <f t="shared" ca="1" si="5"/>
        <v>DISP.IDADE</v>
      </c>
      <c r="K17" s="329">
        <f t="shared" ca="1" si="3"/>
        <v>69</v>
      </c>
      <c r="L17" s="93" t="s">
        <v>305</v>
      </c>
      <c r="M17" s="373" t="s">
        <v>26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452">
        <v>2536906841</v>
      </c>
    </row>
    <row r="18" spans="1:22" s="513" customFormat="1" ht="20.100000000000001" customHeight="1" x14ac:dyDescent="0.25">
      <c r="A18" s="454">
        <v>12</v>
      </c>
      <c r="B18" s="342">
        <v>7720</v>
      </c>
      <c r="C18" s="522" t="s">
        <v>273</v>
      </c>
      <c r="D18" s="343" t="s">
        <v>17</v>
      </c>
      <c r="E18" s="328" t="str">
        <f t="shared" si="4"/>
        <v>MA</v>
      </c>
      <c r="F18" s="344">
        <v>27778</v>
      </c>
      <c r="G18" s="343"/>
      <c r="H18" s="341" t="s">
        <v>378</v>
      </c>
      <c r="I18" s="345"/>
      <c r="J18" s="368" t="str">
        <f t="shared" ca="1" si="5"/>
        <v>DISP.IDADE</v>
      </c>
      <c r="K18" s="329">
        <f t="shared" ca="1" si="3"/>
        <v>49</v>
      </c>
      <c r="L18" s="93" t="s">
        <v>305</v>
      </c>
      <c r="M18" s="373" t="s">
        <v>26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>
        <v>25645238893</v>
      </c>
    </row>
    <row r="19" spans="1:22" s="513" customFormat="1" ht="20.100000000000001" customHeight="1" x14ac:dyDescent="0.25">
      <c r="A19" s="454">
        <v>13</v>
      </c>
      <c r="B19" s="342">
        <v>15119</v>
      </c>
      <c r="C19" s="343" t="s">
        <v>267</v>
      </c>
      <c r="D19" s="343" t="s">
        <v>16</v>
      </c>
      <c r="E19" s="328" t="str">
        <f>IF(ISNUMBER(FIND("TE",I19)),"TE",IF(ISNUMBER(FIND("MCC",I19)),"MCC",IF(ISNUMBER(FIND("MC",I19)),"MC","MA")))</f>
        <v>MA</v>
      </c>
      <c r="F19" s="344">
        <v>35486</v>
      </c>
      <c r="G19" s="343"/>
      <c r="H19" s="343" t="s">
        <v>268</v>
      </c>
      <c r="I19" s="345"/>
      <c r="J19" s="368" t="str">
        <f t="shared" ca="1" si="5"/>
        <v/>
      </c>
      <c r="K19" s="329">
        <f t="shared" ca="1" si="3"/>
        <v>28</v>
      </c>
      <c r="L19" s="93" t="s">
        <v>305</v>
      </c>
      <c r="M19" s="373" t="s">
        <v>26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>
        <v>50420423850</v>
      </c>
    </row>
    <row r="20" spans="1:22" s="513" customFormat="1" ht="20.100000000000001" customHeight="1" x14ac:dyDescent="0.25">
      <c r="A20" s="454">
        <v>14</v>
      </c>
      <c r="B20" s="353">
        <v>15860</v>
      </c>
      <c r="C20" s="518" t="s">
        <v>60</v>
      </c>
      <c r="D20" s="347" t="s">
        <v>17</v>
      </c>
      <c r="E20" s="328" t="str">
        <f t="shared" si="4"/>
        <v>MA</v>
      </c>
      <c r="F20" s="354">
        <v>28232</v>
      </c>
      <c r="G20" s="347" t="s">
        <v>61</v>
      </c>
      <c r="H20" s="349" t="s">
        <v>62</v>
      </c>
      <c r="I20" s="345"/>
      <c r="J20" s="368" t="str">
        <f t="shared" ca="1" si="5"/>
        <v>DISP.IDADE</v>
      </c>
      <c r="K20" s="329">
        <f t="shared" ca="1" si="3"/>
        <v>48</v>
      </c>
      <c r="L20" s="93" t="s">
        <v>305</v>
      </c>
      <c r="M20" s="373" t="s">
        <v>26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6"/>
      <c r="U20" s="517"/>
      <c r="V20" s="452">
        <v>25794538813</v>
      </c>
    </row>
    <row r="21" spans="1:22" s="513" customFormat="1" ht="20.100000000000001" customHeight="1" x14ac:dyDescent="0.25">
      <c r="A21" s="454">
        <v>15</v>
      </c>
      <c r="B21" s="342">
        <v>17549</v>
      </c>
      <c r="C21" s="343" t="s">
        <v>354</v>
      </c>
      <c r="D21" s="343" t="s">
        <v>16</v>
      </c>
      <c r="E21" s="328" t="str">
        <f t="shared" si="4"/>
        <v>MA</v>
      </c>
      <c r="F21" s="344">
        <v>36908</v>
      </c>
      <c r="G21" s="343" t="s">
        <v>274</v>
      </c>
      <c r="H21" s="343" t="s">
        <v>275</v>
      </c>
      <c r="I21" s="345"/>
      <c r="J21" s="368" t="str">
        <f t="shared" ca="1" si="5"/>
        <v/>
      </c>
      <c r="K21" s="329">
        <f t="shared" ca="1" si="3"/>
        <v>24</v>
      </c>
      <c r="L21" s="93" t="s">
        <v>305</v>
      </c>
      <c r="M21" s="373" t="s">
        <v>26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516"/>
      <c r="U21" s="517"/>
      <c r="V21" s="452">
        <v>23940381870</v>
      </c>
    </row>
    <row r="22" spans="1:22" s="513" customFormat="1" ht="20.100000000000001" customHeight="1" x14ac:dyDescent="0.25">
      <c r="A22" s="454">
        <v>16</v>
      </c>
      <c r="B22" s="342">
        <v>17675</v>
      </c>
      <c r="C22" s="341" t="s">
        <v>473</v>
      </c>
      <c r="D22" s="343" t="s">
        <v>17</v>
      </c>
      <c r="E22" s="327" t="str">
        <f t="shared" ref="E22:E31" si="6">IF(COUNTIF(I22,"*MC*")=1,"MC",IF(COUNTIF(I22,"*NCOM*")=1,"NCOM",IF(C22="","","MA")))</f>
        <v>MA</v>
      </c>
      <c r="F22" s="344">
        <v>38099</v>
      </c>
      <c r="G22" s="343" t="s">
        <v>474</v>
      </c>
      <c r="H22" s="341" t="s">
        <v>475</v>
      </c>
      <c r="I22" s="345" t="s">
        <v>476</v>
      </c>
      <c r="J22" s="368" t="str">
        <f t="shared" ca="1" si="5"/>
        <v/>
      </c>
      <c r="K22" s="329">
        <f t="shared" ca="1" si="3"/>
        <v>21</v>
      </c>
      <c r="L22" s="93" t="s">
        <v>305</v>
      </c>
      <c r="M22" s="373" t="s">
        <v>26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452"/>
      <c r="U22" s="452"/>
      <c r="V22" s="452">
        <v>58190215841</v>
      </c>
    </row>
    <row r="23" spans="1:22" s="513" customFormat="1" ht="20.100000000000001" customHeight="1" x14ac:dyDescent="0.25">
      <c r="A23" s="454">
        <v>17</v>
      </c>
      <c r="B23" s="342">
        <v>18946</v>
      </c>
      <c r="C23" s="341" t="s">
        <v>480</v>
      </c>
      <c r="D23" s="343" t="s">
        <v>17</v>
      </c>
      <c r="E23" s="327" t="str">
        <f t="shared" si="6"/>
        <v>MA</v>
      </c>
      <c r="F23" s="344">
        <v>38474</v>
      </c>
      <c r="G23" s="343" t="s">
        <v>481</v>
      </c>
      <c r="H23" s="341"/>
      <c r="I23" s="345" t="s">
        <v>476</v>
      </c>
      <c r="J23" s="368" t="str">
        <f t="shared" ca="1" si="5"/>
        <v/>
      </c>
      <c r="K23" s="329">
        <f t="shared" ca="1" si="3"/>
        <v>20</v>
      </c>
      <c r="L23" s="93" t="s">
        <v>305</v>
      </c>
      <c r="M23" s="373" t="s">
        <v>26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452"/>
      <c r="U23" s="452"/>
      <c r="V23" s="452"/>
    </row>
    <row r="24" spans="1:22" s="513" customFormat="1" ht="20.100000000000001" customHeight="1" x14ac:dyDescent="0.25">
      <c r="A24" s="454">
        <v>18</v>
      </c>
      <c r="B24" s="342">
        <v>18833</v>
      </c>
      <c r="C24" s="341" t="s">
        <v>482</v>
      </c>
      <c r="D24" s="343" t="s">
        <v>16</v>
      </c>
      <c r="E24" s="327" t="str">
        <f t="shared" si="6"/>
        <v>MA</v>
      </c>
      <c r="F24" s="344">
        <v>39113</v>
      </c>
      <c r="G24" s="343" t="s">
        <v>483</v>
      </c>
      <c r="H24" s="341"/>
      <c r="I24" s="345" t="s">
        <v>476</v>
      </c>
      <c r="J24" s="368" t="str">
        <f t="shared" ca="1" si="5"/>
        <v/>
      </c>
      <c r="K24" s="329">
        <f t="shared" ca="1" si="3"/>
        <v>18</v>
      </c>
      <c r="L24" s="93" t="s">
        <v>305</v>
      </c>
      <c r="M24" s="373" t="s">
        <v>26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452"/>
      <c r="U24" s="452"/>
      <c r="V24" s="452"/>
    </row>
    <row r="25" spans="1:22" s="513" customFormat="1" ht="20.100000000000001" customHeight="1" x14ac:dyDescent="0.25">
      <c r="A25" s="454">
        <v>19</v>
      </c>
      <c r="B25" s="342">
        <v>18949</v>
      </c>
      <c r="C25" s="341" t="s">
        <v>490</v>
      </c>
      <c r="D25" s="343" t="s">
        <v>16</v>
      </c>
      <c r="E25" s="327" t="str">
        <f t="shared" si="6"/>
        <v>MA</v>
      </c>
      <c r="F25" s="344">
        <v>39267</v>
      </c>
      <c r="G25" s="343" t="s">
        <v>491</v>
      </c>
      <c r="H25" s="341">
        <v>575896590</v>
      </c>
      <c r="I25" s="345" t="s">
        <v>476</v>
      </c>
      <c r="J25" s="368" t="str">
        <f t="shared" ca="1" si="5"/>
        <v/>
      </c>
      <c r="K25" s="329">
        <f t="shared" ca="1" si="3"/>
        <v>18</v>
      </c>
      <c r="L25" s="93" t="s">
        <v>305</v>
      </c>
      <c r="M25" s="373" t="s">
        <v>26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452"/>
      <c r="U25" s="452"/>
      <c r="V25" s="452">
        <v>1478436859</v>
      </c>
    </row>
    <row r="26" spans="1:22" s="513" customFormat="1" ht="20.100000000000001" customHeight="1" x14ac:dyDescent="0.25">
      <c r="A26" s="454">
        <v>20</v>
      </c>
      <c r="B26" s="342">
        <v>18951</v>
      </c>
      <c r="C26" s="341" t="s">
        <v>495</v>
      </c>
      <c r="D26" s="343" t="s">
        <v>16</v>
      </c>
      <c r="E26" s="327" t="str">
        <f t="shared" si="6"/>
        <v>MA</v>
      </c>
      <c r="F26" s="344">
        <v>31450</v>
      </c>
      <c r="G26" s="343">
        <v>330483262</v>
      </c>
      <c r="H26" s="341"/>
      <c r="I26" s="345" t="s">
        <v>476</v>
      </c>
      <c r="J26" s="368" t="str">
        <f t="shared" ca="1" si="5"/>
        <v>DISP.IDADE</v>
      </c>
      <c r="K26" s="329">
        <f t="shared" ca="1" si="3"/>
        <v>39</v>
      </c>
      <c r="L26" s="93" t="s">
        <v>305</v>
      </c>
      <c r="M26" s="373" t="s">
        <v>26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452"/>
      <c r="U26" s="452"/>
      <c r="V26" s="452"/>
    </row>
    <row r="27" spans="1:22" s="513" customFormat="1" ht="20.100000000000001" customHeight="1" x14ac:dyDescent="0.25">
      <c r="A27" s="454">
        <v>21</v>
      </c>
      <c r="B27" s="343"/>
      <c r="C27" s="341"/>
      <c r="D27" s="343"/>
      <c r="E27" s="327" t="str">
        <f>IF(COUNTIF(I27,"*MC*")=1,"MC",IF(COUNTIF(I27,"*NCOM*")=1,"NCOM",IF(C27="","","MA")))</f>
        <v/>
      </c>
      <c r="F27" s="344"/>
      <c r="G27" s="343"/>
      <c r="H27" s="341"/>
      <c r="I27" s="341"/>
      <c r="J27" s="368" t="str">
        <f t="shared" ca="1" si="5"/>
        <v/>
      </c>
      <c r="K27" s="329" t="str">
        <f t="shared" ca="1" si="0"/>
        <v/>
      </c>
      <c r="L27" s="93"/>
      <c r="M27" s="452"/>
      <c r="N27" s="452"/>
      <c r="O27" s="452"/>
      <c r="P27" s="452"/>
      <c r="Q27" s="452"/>
      <c r="R27" s="452"/>
      <c r="S27" s="452"/>
      <c r="T27" s="452"/>
      <c r="U27" s="452"/>
      <c r="V27" s="452"/>
    </row>
    <row r="28" spans="1:22" s="513" customFormat="1" ht="20.100000000000001" customHeight="1" x14ac:dyDescent="0.25">
      <c r="A28" s="454">
        <v>22</v>
      </c>
      <c r="B28" s="343"/>
      <c r="C28" s="341"/>
      <c r="D28" s="343"/>
      <c r="E28" s="327" t="str">
        <f t="shared" si="6"/>
        <v/>
      </c>
      <c r="F28" s="344"/>
      <c r="G28" s="343"/>
      <c r="H28" s="341"/>
      <c r="I28" s="341"/>
      <c r="J28" s="368" t="str">
        <f t="shared" ca="1" si="5"/>
        <v/>
      </c>
      <c r="K28" s="329" t="str">
        <f t="shared" ca="1" si="0"/>
        <v/>
      </c>
      <c r="L28" s="93"/>
      <c r="M28" s="452"/>
      <c r="N28" s="452"/>
      <c r="O28" s="452"/>
      <c r="P28" s="452"/>
      <c r="Q28" s="452"/>
      <c r="R28" s="452"/>
      <c r="S28" s="452"/>
      <c r="T28" s="452"/>
      <c r="U28" s="452"/>
      <c r="V28" s="452"/>
    </row>
    <row r="29" spans="1:22" s="513" customFormat="1" ht="20.100000000000001" customHeight="1" x14ac:dyDescent="0.25">
      <c r="A29" s="454">
        <v>23</v>
      </c>
      <c r="B29" s="343"/>
      <c r="C29" s="341"/>
      <c r="D29" s="343"/>
      <c r="E29" s="328" t="str">
        <f t="shared" si="6"/>
        <v/>
      </c>
      <c r="F29" s="344"/>
      <c r="G29" s="343"/>
      <c r="H29" s="341"/>
      <c r="I29" s="341"/>
      <c r="J29" s="368" t="str">
        <f t="shared" ca="1" si="5"/>
        <v/>
      </c>
      <c r="K29" s="329" t="str">
        <f t="shared" ca="1" si="0"/>
        <v/>
      </c>
      <c r="L29" s="93"/>
      <c r="M29" s="452"/>
      <c r="N29" s="452"/>
      <c r="O29" s="452"/>
      <c r="P29" s="452"/>
      <c r="Q29" s="452"/>
      <c r="R29" s="452"/>
      <c r="S29" s="452"/>
      <c r="T29" s="452"/>
      <c r="U29" s="452"/>
      <c r="V29" s="452"/>
    </row>
    <row r="30" spans="1:22" s="513" customFormat="1" ht="20.100000000000001" customHeight="1" x14ac:dyDescent="0.25">
      <c r="A30" s="454">
        <v>24</v>
      </c>
      <c r="B30" s="343"/>
      <c r="C30" s="341"/>
      <c r="D30" s="343"/>
      <c r="E30" s="327" t="str">
        <f t="shared" si="6"/>
        <v/>
      </c>
      <c r="F30" s="344"/>
      <c r="G30" s="343"/>
      <c r="H30" s="341"/>
      <c r="I30" s="341"/>
      <c r="J30" s="368" t="str">
        <f t="shared" ca="1" si="5"/>
        <v/>
      </c>
      <c r="K30" s="329" t="str">
        <f t="shared" ca="1" si="0"/>
        <v/>
      </c>
      <c r="L30" s="93"/>
      <c r="M30" s="452"/>
      <c r="N30" s="452"/>
      <c r="O30" s="452"/>
      <c r="P30" s="452"/>
      <c r="Q30" s="452"/>
      <c r="R30" s="452"/>
      <c r="S30" s="452"/>
      <c r="T30" s="452"/>
      <c r="U30" s="452"/>
      <c r="V30" s="452"/>
    </row>
    <row r="31" spans="1:22" s="513" customFormat="1" ht="20.100000000000001" customHeight="1" x14ac:dyDescent="0.25">
      <c r="A31" s="454">
        <v>25</v>
      </c>
      <c r="B31" s="452"/>
      <c r="C31" s="32"/>
      <c r="D31" s="452"/>
      <c r="E31" s="327" t="str">
        <f t="shared" si="6"/>
        <v/>
      </c>
      <c r="F31" s="30"/>
      <c r="G31" s="452"/>
      <c r="H31" s="32"/>
      <c r="I31" s="32"/>
      <c r="J31" s="368" t="str">
        <f t="shared" si="5"/>
        <v/>
      </c>
      <c r="K31" s="365"/>
      <c r="L31" s="93"/>
      <c r="M31" s="452"/>
      <c r="N31" s="452"/>
      <c r="O31" s="452"/>
      <c r="P31" s="452"/>
      <c r="Q31" s="452"/>
      <c r="R31" s="452"/>
      <c r="S31" s="452"/>
      <c r="T31" s="452"/>
      <c r="U31" s="452"/>
      <c r="V31" s="452"/>
    </row>
    <row r="32" spans="1:22" ht="20.100000000000001" customHeight="1" x14ac:dyDescent="0.3">
      <c r="A32" s="454">
        <v>26</v>
      </c>
      <c r="B32" s="266"/>
      <c r="C32" s="523"/>
      <c r="D32" s="366"/>
      <c r="E32" s="366"/>
      <c r="F32" s="269"/>
      <c r="G32" s="266"/>
      <c r="H32" s="271"/>
      <c r="I32" s="523"/>
      <c r="J32" s="368" t="str">
        <f t="shared" si="5"/>
        <v/>
      </c>
      <c r="K32" s="367"/>
      <c r="L32" s="93"/>
      <c r="M32" s="366"/>
      <c r="N32" s="366"/>
      <c r="O32" s="366"/>
      <c r="P32" s="366"/>
      <c r="Q32" s="366"/>
      <c r="R32" s="366"/>
      <c r="S32" s="366"/>
      <c r="T32" s="366"/>
      <c r="U32" s="366"/>
      <c r="V32" s="366"/>
    </row>
    <row r="33" spans="1:22" ht="20.100000000000001" customHeight="1" x14ac:dyDescent="0.3">
      <c r="A33" s="454">
        <v>27</v>
      </c>
      <c r="B33" s="266"/>
      <c r="C33" s="523"/>
      <c r="D33" s="366"/>
      <c r="E33" s="366"/>
      <c r="F33" s="269"/>
      <c r="G33" s="266"/>
      <c r="H33" s="271"/>
      <c r="I33" s="523"/>
      <c r="J33" s="368" t="str">
        <f t="shared" si="5"/>
        <v/>
      </c>
      <c r="K33" s="367"/>
      <c r="L33" s="93"/>
      <c r="M33" s="366"/>
      <c r="N33" s="366"/>
      <c r="O33" s="366"/>
      <c r="P33" s="366"/>
      <c r="Q33" s="366"/>
      <c r="R33" s="366"/>
      <c r="S33" s="366"/>
      <c r="T33" s="366"/>
      <c r="U33" s="366"/>
      <c r="V33" s="366"/>
    </row>
    <row r="34" spans="1:22" x14ac:dyDescent="0.3">
      <c r="A34" s="454">
        <v>28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366"/>
      <c r="N34" s="366"/>
      <c r="O34" s="366"/>
      <c r="P34" s="366"/>
      <c r="Q34" s="366"/>
      <c r="R34" s="366"/>
      <c r="S34" s="366"/>
      <c r="T34" s="366"/>
      <c r="U34" s="366"/>
      <c r="V34" s="366"/>
    </row>
    <row r="35" spans="1:22" x14ac:dyDescent="0.3">
      <c r="A35" s="454">
        <v>29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366"/>
      <c r="N35" s="366"/>
      <c r="O35" s="366"/>
      <c r="P35" s="366"/>
      <c r="Q35" s="366"/>
      <c r="R35" s="366"/>
      <c r="S35" s="366"/>
      <c r="T35" s="366"/>
      <c r="U35" s="366"/>
      <c r="V35" s="366"/>
    </row>
    <row r="36" spans="1:22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</sheetData>
  <sheetProtection formatCells="0" selectLockedCells="1"/>
  <autoFilter ref="A6:K6">
    <sortState ref="A7:M31">
      <sortCondition ref="C6"/>
    </sortState>
  </autoFilter>
  <sortState ref="A7:V35">
    <sortCondition ref="C7:C35"/>
  </sortState>
  <mergeCells count="6">
    <mergeCell ref="C1:H1"/>
    <mergeCell ref="C2:H2"/>
    <mergeCell ref="C3:H3"/>
    <mergeCell ref="C4:H4"/>
    <mergeCell ref="A5:C5"/>
    <mergeCell ref="D5:E5"/>
  </mergeCells>
  <conditionalFormatting sqref="A6:H6 J6:K6 E12:E17 A7:A35 J7:J33">
    <cfRule type="expression" dxfId="2232" priority="32081">
      <formula>$E6="MC"</formula>
    </cfRule>
  </conditionalFormatting>
  <conditionalFormatting sqref="M4:M5 M7:M8">
    <cfRule type="cellIs" dxfId="2231" priority="32047" operator="equal">
      <formula>3</formula>
    </cfRule>
    <cfRule type="cellIs" dxfId="2230" priority="32048" operator="equal">
      <formula>2</formula>
    </cfRule>
    <cfRule type="cellIs" dxfId="2229" priority="32049" operator="equal">
      <formula>1</formula>
    </cfRule>
  </conditionalFormatting>
  <conditionalFormatting sqref="K31:K33 K40:K1048576 K1:K8 K27:K29">
    <cfRule type="cellIs" dxfId="2228" priority="31602" operator="lessThan">
      <formula>18</formula>
    </cfRule>
  </conditionalFormatting>
  <conditionalFormatting sqref="I6">
    <cfRule type="expression" dxfId="2227" priority="4113">
      <formula>$E6="MC"</formula>
    </cfRule>
  </conditionalFormatting>
  <conditionalFormatting sqref="A5">
    <cfRule type="expression" dxfId="2226" priority="41266">
      <formula>$D5="MC"</formula>
    </cfRule>
  </conditionalFormatting>
  <conditionalFormatting sqref="K30">
    <cfRule type="cellIs" dxfId="2225" priority="134" operator="lessThan">
      <formula>18</formula>
    </cfRule>
  </conditionalFormatting>
  <conditionalFormatting sqref="K30">
    <cfRule type="cellIs" dxfId="2224" priority="133" operator="lessThan">
      <formula>18</formula>
    </cfRule>
  </conditionalFormatting>
  <conditionalFormatting sqref="E20 E29">
    <cfRule type="expression" dxfId="2223" priority="75">
      <formula>$E20="MC"</formula>
    </cfRule>
  </conditionalFormatting>
  <conditionalFormatting sqref="E19 E21:E22 E25 E27:E28 E30:E31">
    <cfRule type="expression" dxfId="2222" priority="74">
      <formula>$E19="MC"</formula>
    </cfRule>
  </conditionalFormatting>
  <conditionalFormatting sqref="M6">
    <cfRule type="cellIs" dxfId="2221" priority="42" operator="equal">
      <formula>3</formula>
    </cfRule>
    <cfRule type="cellIs" dxfId="2220" priority="43" operator="equal">
      <formula>2</formula>
    </cfRule>
    <cfRule type="cellIs" dxfId="2219" priority="44" operator="equal">
      <formula>1</formula>
    </cfRule>
  </conditionalFormatting>
  <conditionalFormatting sqref="T6">
    <cfRule type="expression" dxfId="2218" priority="41">
      <formula>FIND("RETIDO",T6)</formula>
    </cfRule>
  </conditionalFormatting>
  <conditionalFormatting sqref="E7:E11">
    <cfRule type="expression" dxfId="2217" priority="36">
      <formula>$E7="MC"</formula>
    </cfRule>
  </conditionalFormatting>
  <conditionalFormatting sqref="B7">
    <cfRule type="expression" dxfId="2216" priority="31">
      <formula>$E7="MC"</formula>
    </cfRule>
  </conditionalFormatting>
  <conditionalFormatting sqref="B9:D11 F9:H11">
    <cfRule type="expression" dxfId="2215" priority="29">
      <formula>$E9="MC"</formula>
    </cfRule>
  </conditionalFormatting>
  <conditionalFormatting sqref="B8:D8 F8:H8">
    <cfRule type="expression" dxfId="2214" priority="30">
      <formula>$E8="MC"</formula>
    </cfRule>
  </conditionalFormatting>
  <conditionalFormatting sqref="E23">
    <cfRule type="expression" dxfId="2213" priority="11">
      <formula>$E23="MC"</formula>
    </cfRule>
  </conditionalFormatting>
  <conditionalFormatting sqref="E24">
    <cfRule type="expression" dxfId="2212" priority="10">
      <formula>$E24="MC"</formula>
    </cfRule>
  </conditionalFormatting>
  <conditionalFormatting sqref="E26">
    <cfRule type="expression" dxfId="2211" priority="5">
      <formula>$E26="MC"</formula>
    </cfRule>
  </conditionalFormatting>
  <conditionalFormatting sqref="M9:M26">
    <cfRule type="cellIs" dxfId="2210" priority="2" operator="equal">
      <formula>3</formula>
    </cfRule>
    <cfRule type="cellIs" dxfId="2209" priority="3" operator="equal">
      <formula>2</formula>
    </cfRule>
    <cfRule type="cellIs" dxfId="2208" priority="4" operator="equal">
      <formula>1</formula>
    </cfRule>
  </conditionalFormatting>
  <conditionalFormatting sqref="K9:K26">
    <cfRule type="cellIs" dxfId="2207" priority="1" operator="lessThan">
      <formula>18</formula>
    </cfRule>
  </conditionalFormatting>
  <dataValidations count="2">
    <dataValidation type="date" allowBlank="1" showInputMessage="1" showErrorMessage="1" errorTitle="Data Invalida" error="Você deve inserir uma data no formato XX/XX/XXXX" promptTitle="Insira uma Data" prompt="Favor inserir uma data válida no formato: XX/XX/XXXX" sqref="F7:F13">
      <formula1>1</formula1>
      <formula2>2958465</formula2>
    </dataValidation>
    <dataValidation type="list" allowBlank="1" showInputMessage="1" showErrorMessage="1" sqref="T7:T21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6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V96"/>
  <sheetViews>
    <sheetView tabSelected="1" view="pageBreakPreview" topLeftCell="A4" zoomScale="70" zoomScaleNormal="55" zoomScaleSheetLayoutView="70" workbookViewId="0">
      <selection activeCell="J8" sqref="J8"/>
    </sheetView>
  </sheetViews>
  <sheetFormatPr defaultColWidth="9.140625" defaultRowHeight="17.25" x14ac:dyDescent="0.25"/>
  <cols>
    <col min="1" max="1" width="5.5703125" style="273" customWidth="1"/>
    <col min="2" max="2" width="10" style="273" customWidth="1"/>
    <col min="3" max="3" width="63.28515625" style="275" bestFit="1" customWidth="1"/>
    <col min="4" max="4" width="3.7109375" style="273" customWidth="1"/>
    <col min="5" max="5" width="4.7109375" style="273" customWidth="1"/>
    <col min="6" max="6" width="16" style="274" customWidth="1"/>
    <col min="7" max="7" width="21" style="273" customWidth="1"/>
    <col min="8" max="8" width="15.85546875" style="275" customWidth="1"/>
    <col min="9" max="9" width="22" style="275" bestFit="1" customWidth="1"/>
    <col min="10" max="10" width="21.85546875" style="275" customWidth="1"/>
    <col min="11" max="11" width="7.85546875" style="289" customWidth="1"/>
    <col min="12" max="12" width="30.7109375" style="19" customWidth="1"/>
    <col min="13" max="13" width="15.7109375" style="273" bestFit="1" customWidth="1"/>
    <col min="14" max="14" width="33.140625" style="273" bestFit="1" customWidth="1"/>
    <col min="15" max="15" width="14.42578125" style="273" bestFit="1" customWidth="1"/>
    <col min="16" max="16" width="16" style="273" bestFit="1" customWidth="1"/>
    <col min="17" max="17" width="22.42578125" style="273" bestFit="1" customWidth="1"/>
    <col min="18" max="18" width="12.5703125" style="273" customWidth="1"/>
    <col min="19" max="19" width="17.140625" style="273" bestFit="1" customWidth="1"/>
    <col min="20" max="20" width="10.5703125" style="273" bestFit="1" customWidth="1"/>
    <col min="21" max="21" width="12.5703125" style="273" bestFit="1" customWidth="1"/>
    <col min="22" max="22" width="25.7109375" style="273" customWidth="1"/>
    <col min="23" max="16384" width="9.140625" style="273"/>
  </cols>
  <sheetData>
    <row r="1" spans="1:22" x14ac:dyDescent="0.25">
      <c r="A1" s="277"/>
      <c r="B1" s="277"/>
      <c r="C1" s="574" t="s">
        <v>0</v>
      </c>
      <c r="D1" s="574"/>
      <c r="E1" s="574"/>
      <c r="F1" s="574"/>
      <c r="G1" s="574"/>
      <c r="H1" s="574"/>
      <c r="I1" s="255"/>
      <c r="J1" s="255"/>
      <c r="K1" s="254"/>
    </row>
    <row r="2" spans="1:22" x14ac:dyDescent="0.25">
      <c r="A2" s="277"/>
      <c r="B2" s="277"/>
      <c r="C2" s="574" t="s">
        <v>1</v>
      </c>
      <c r="D2" s="574"/>
      <c r="E2" s="574"/>
      <c r="F2" s="574"/>
      <c r="G2" s="574"/>
      <c r="H2" s="574"/>
      <c r="I2" s="505"/>
      <c r="J2" s="505"/>
      <c r="K2" s="505"/>
    </row>
    <row r="3" spans="1:22" x14ac:dyDescent="0.25">
      <c r="A3" s="277"/>
      <c r="B3" s="277"/>
      <c r="C3" s="574" t="s">
        <v>2</v>
      </c>
      <c r="D3" s="574"/>
      <c r="E3" s="574"/>
      <c r="F3" s="574"/>
      <c r="G3" s="574"/>
      <c r="H3" s="574"/>
      <c r="I3" s="254"/>
      <c r="J3" s="254"/>
      <c r="K3" s="254"/>
    </row>
    <row r="4" spans="1:22" ht="18" thickBot="1" x14ac:dyDescent="0.3">
      <c r="A4" s="277"/>
      <c r="B4" s="277"/>
      <c r="C4" s="568" t="s">
        <v>362</v>
      </c>
      <c r="D4" s="568"/>
      <c r="E4" s="568"/>
      <c r="F4" s="568"/>
      <c r="G4" s="568"/>
      <c r="H4" s="568"/>
      <c r="I4" s="278"/>
      <c r="J4" s="505"/>
      <c r="K4" s="505"/>
      <c r="M4" s="256"/>
    </row>
    <row r="5" spans="1:22" s="258" customFormat="1" x14ac:dyDescent="0.3">
      <c r="A5" s="569" t="s">
        <v>40</v>
      </c>
      <c r="B5" s="570"/>
      <c r="C5" s="570"/>
      <c r="D5" s="571" t="s">
        <v>44</v>
      </c>
      <c r="E5" s="572"/>
      <c r="F5" s="330"/>
      <c r="G5" s="509" t="s">
        <v>35</v>
      </c>
      <c r="H5" s="510">
        <f ca="1">TODAY()</f>
        <v>45931</v>
      </c>
      <c r="I5" s="515" t="s">
        <v>43</v>
      </c>
      <c r="J5" s="515"/>
      <c r="K5" s="331"/>
      <c r="L5" s="19"/>
      <c r="M5" s="257"/>
      <c r="N5" s="19"/>
      <c r="O5" s="19"/>
      <c r="P5" s="19"/>
      <c r="Q5" s="19"/>
      <c r="R5" s="19"/>
    </row>
    <row r="6" spans="1:22" s="258" customFormat="1" x14ac:dyDescent="0.3">
      <c r="A6" s="457" t="s">
        <v>24</v>
      </c>
      <c r="B6" s="457" t="s">
        <v>8</v>
      </c>
      <c r="C6" s="458" t="s">
        <v>9</v>
      </c>
      <c r="D6" s="459" t="s">
        <v>10</v>
      </c>
      <c r="E6" s="459" t="s">
        <v>25</v>
      </c>
      <c r="F6" s="460" t="s">
        <v>12</v>
      </c>
      <c r="G6" s="457" t="s">
        <v>13</v>
      </c>
      <c r="H6" s="461" t="s">
        <v>14</v>
      </c>
      <c r="I6" s="462" t="s">
        <v>57</v>
      </c>
      <c r="J6" s="461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454">
        <v>1</v>
      </c>
      <c r="B7" s="342">
        <v>18048</v>
      </c>
      <c r="C7" s="350" t="s">
        <v>283</v>
      </c>
      <c r="D7" s="340" t="s">
        <v>17</v>
      </c>
      <c r="E7" s="266" t="str">
        <f t="shared" ref="E7:E12" si="0">IF(COUNTIF(I7,"*MC*")=1,"MC",IF(COUNTIF(I7,"*NCOM*")=1,"NCOM",IF(C7="","","MA")))</f>
        <v>MA</v>
      </c>
      <c r="F7" s="346">
        <v>36935</v>
      </c>
      <c r="G7" s="340"/>
      <c r="H7" s="350" t="s">
        <v>379</v>
      </c>
      <c r="I7" s="345"/>
      <c r="J7" s="368" t="s">
        <v>187</v>
      </c>
      <c r="K7" s="329">
        <f t="shared" ref="K7:K42" ca="1" si="1">IF(F7="","",INT((TODAY()-F7)/365.25))</f>
        <v>24</v>
      </c>
      <c r="L7" s="93" t="s">
        <v>305</v>
      </c>
      <c r="M7" s="373" t="s">
        <v>26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0" t="s">
        <v>340</v>
      </c>
    </row>
    <row r="8" spans="1:22" s="513" customFormat="1" ht="20.100000000000001" customHeight="1" x14ac:dyDescent="0.25">
      <c r="A8" s="454">
        <v>2</v>
      </c>
      <c r="B8" s="342">
        <v>18900</v>
      </c>
      <c r="C8" s="341" t="s">
        <v>403</v>
      </c>
      <c r="D8" s="343" t="s">
        <v>17</v>
      </c>
      <c r="E8" s="327" t="str">
        <f t="shared" si="0"/>
        <v>MA</v>
      </c>
      <c r="F8" s="344">
        <v>38538</v>
      </c>
      <c r="G8" s="343">
        <v>1063028115</v>
      </c>
      <c r="H8" s="341" t="s">
        <v>404</v>
      </c>
      <c r="I8" s="345"/>
      <c r="J8" s="368" t="str">
        <f t="shared" ref="J7:J15" ca="1" si="2">IF(K8="","",IF(K8&gt;29,"DISP.IDADE",""))</f>
        <v/>
      </c>
      <c r="K8" s="329">
        <f t="shared" ca="1" si="1"/>
        <v>20</v>
      </c>
      <c r="L8" s="93" t="s">
        <v>305</v>
      </c>
      <c r="M8" s="373" t="s">
        <v>26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452">
        <v>50889284830</v>
      </c>
    </row>
    <row r="9" spans="1:22" s="513" customFormat="1" ht="20.100000000000001" customHeight="1" x14ac:dyDescent="0.25">
      <c r="A9" s="454">
        <v>3</v>
      </c>
      <c r="B9" s="353">
        <v>18119</v>
      </c>
      <c r="C9" s="518" t="s">
        <v>80</v>
      </c>
      <c r="D9" s="347" t="s">
        <v>16</v>
      </c>
      <c r="E9" s="266" t="str">
        <f t="shared" si="0"/>
        <v>MA</v>
      </c>
      <c r="F9" s="354">
        <v>22363</v>
      </c>
      <c r="G9" s="355" t="s">
        <v>85</v>
      </c>
      <c r="H9" s="347" t="s">
        <v>81</v>
      </c>
      <c r="I9" s="345"/>
      <c r="J9" s="368" t="str">
        <f t="shared" ca="1" si="2"/>
        <v>DISP.IDADE</v>
      </c>
      <c r="K9" s="329">
        <f t="shared" ca="1" si="1"/>
        <v>64</v>
      </c>
      <c r="L9" s="93" t="s">
        <v>305</v>
      </c>
      <c r="M9" s="373" t="s">
        <v>26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0" t="s">
        <v>341</v>
      </c>
    </row>
    <row r="10" spans="1:22" s="513" customFormat="1" ht="20.100000000000001" customHeight="1" x14ac:dyDescent="0.25">
      <c r="A10" s="454">
        <v>4</v>
      </c>
      <c r="B10" s="259">
        <v>18928</v>
      </c>
      <c r="C10" s="264" t="s">
        <v>451</v>
      </c>
      <c r="D10" s="535" t="s">
        <v>17</v>
      </c>
      <c r="E10" s="535" t="str">
        <f t="shared" si="0"/>
        <v>MC</v>
      </c>
      <c r="F10" s="536">
        <v>39214</v>
      </c>
      <c r="G10" s="535">
        <v>1084196700</v>
      </c>
      <c r="H10" s="264"/>
      <c r="I10" s="264" t="s">
        <v>584</v>
      </c>
      <c r="J10" s="368" t="str">
        <f t="shared" ca="1" si="2"/>
        <v/>
      </c>
      <c r="K10" s="464">
        <f t="shared" ca="1" si="1"/>
        <v>18</v>
      </c>
      <c r="L10" s="93" t="s">
        <v>305</v>
      </c>
      <c r="M10" s="373" t="s">
        <v>26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266"/>
    </row>
    <row r="11" spans="1:22" s="513" customFormat="1" ht="20.100000000000001" customHeight="1" x14ac:dyDescent="0.25">
      <c r="A11" s="454">
        <v>5</v>
      </c>
      <c r="B11" s="167">
        <v>18926</v>
      </c>
      <c r="C11" s="32" t="s">
        <v>423</v>
      </c>
      <c r="D11" s="452" t="s">
        <v>16</v>
      </c>
      <c r="E11" s="327" t="str">
        <f t="shared" si="0"/>
        <v>MA</v>
      </c>
      <c r="F11" s="30">
        <v>38782</v>
      </c>
      <c r="G11" s="452"/>
      <c r="H11" s="32"/>
      <c r="I11" s="32"/>
      <c r="J11" s="368" t="str">
        <f t="shared" ca="1" si="2"/>
        <v/>
      </c>
      <c r="K11" s="464">
        <f t="shared" ca="1" si="1"/>
        <v>19</v>
      </c>
      <c r="L11" s="93" t="s">
        <v>305</v>
      </c>
      <c r="M11" s="373" t="s">
        <v>26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/>
      <c r="U11" s="517"/>
      <c r="V11" s="452"/>
    </row>
    <row r="12" spans="1:22" s="513" customFormat="1" ht="20.100000000000001" customHeight="1" x14ac:dyDescent="0.25">
      <c r="A12" s="454">
        <v>6</v>
      </c>
      <c r="B12" s="535">
        <v>18914</v>
      </c>
      <c r="C12" s="264" t="s">
        <v>442</v>
      </c>
      <c r="D12" s="535" t="s">
        <v>16</v>
      </c>
      <c r="E12" s="535" t="str">
        <f t="shared" si="0"/>
        <v>MC</v>
      </c>
      <c r="F12" s="536">
        <v>32378</v>
      </c>
      <c r="G12" s="535" t="s">
        <v>464</v>
      </c>
      <c r="H12" s="264"/>
      <c r="I12" s="264" t="s">
        <v>580</v>
      </c>
      <c r="J12" s="368" t="str">
        <f t="shared" ca="1" si="2"/>
        <v>DISP.IDADE</v>
      </c>
      <c r="K12" s="464">
        <f t="shared" ca="1" si="1"/>
        <v>37</v>
      </c>
      <c r="L12" s="93" t="s">
        <v>305</v>
      </c>
      <c r="M12" s="373" t="s">
        <v>26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266"/>
    </row>
    <row r="13" spans="1:22" s="513" customFormat="1" ht="20.100000000000001" customHeight="1" x14ac:dyDescent="0.25">
      <c r="A13" s="454">
        <v>7</v>
      </c>
      <c r="B13" s="353">
        <v>18489</v>
      </c>
      <c r="C13" s="518" t="s">
        <v>220</v>
      </c>
      <c r="D13" s="347" t="s">
        <v>16</v>
      </c>
      <c r="E13" s="266" t="str">
        <f t="shared" ref="E13:E76" si="3">IF(COUNTIF(I13,"*MC*")=1,"MC",IF(COUNTIF(I13,"*NCOM*")=1,"NCOM",IF(C13="","","MA")))</f>
        <v>MA</v>
      </c>
      <c r="F13" s="354">
        <v>29094</v>
      </c>
      <c r="G13" s="347" t="s">
        <v>221</v>
      </c>
      <c r="H13" s="349" t="s">
        <v>221</v>
      </c>
      <c r="I13" s="345"/>
      <c r="J13" s="368" t="str">
        <f t="shared" ca="1" si="2"/>
        <v>DISP.IDADE</v>
      </c>
      <c r="K13" s="329">
        <f t="shared" ca="1" si="1"/>
        <v>46</v>
      </c>
      <c r="L13" s="93" t="s">
        <v>305</v>
      </c>
      <c r="M13" s="373" t="s">
        <v>26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0" t="s">
        <v>342</v>
      </c>
    </row>
    <row r="14" spans="1:22" s="513" customFormat="1" ht="20.100000000000001" customHeight="1" x14ac:dyDescent="0.25">
      <c r="A14" s="454">
        <v>8</v>
      </c>
      <c r="B14" s="259">
        <v>18921</v>
      </c>
      <c r="C14" s="271" t="s">
        <v>424</v>
      </c>
      <c r="D14" s="266" t="s">
        <v>16</v>
      </c>
      <c r="E14" s="327" t="str">
        <f t="shared" si="3"/>
        <v>MA</v>
      </c>
      <c r="F14" s="30">
        <v>39175</v>
      </c>
      <c r="G14" s="452">
        <v>1077171845</v>
      </c>
      <c r="H14" s="271"/>
      <c r="I14" s="271"/>
      <c r="J14" s="368" t="str">
        <f t="shared" ca="1" si="2"/>
        <v/>
      </c>
      <c r="K14" s="464">
        <f t="shared" ca="1" si="1"/>
        <v>18</v>
      </c>
      <c r="L14" s="93" t="s">
        <v>305</v>
      </c>
      <c r="M14" s="373" t="s">
        <v>26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266"/>
    </row>
    <row r="15" spans="1:22" s="513" customFormat="1" ht="20.100000000000001" customHeight="1" x14ac:dyDescent="0.25">
      <c r="A15" s="454">
        <v>9</v>
      </c>
      <c r="B15" s="353">
        <v>17686</v>
      </c>
      <c r="C15" s="519" t="s">
        <v>227</v>
      </c>
      <c r="D15" s="347" t="s">
        <v>17</v>
      </c>
      <c r="E15" s="266" t="str">
        <f t="shared" si="3"/>
        <v>MA</v>
      </c>
      <c r="F15" s="354">
        <v>38797</v>
      </c>
      <c r="G15" s="347" t="s">
        <v>228</v>
      </c>
      <c r="H15" s="347" t="s">
        <v>229</v>
      </c>
      <c r="I15" s="345"/>
      <c r="J15" s="368" t="str">
        <f t="shared" ca="1" si="2"/>
        <v/>
      </c>
      <c r="K15" s="329">
        <f t="shared" ca="1" si="1"/>
        <v>19</v>
      </c>
      <c r="L15" s="93" t="s">
        <v>305</v>
      </c>
      <c r="M15" s="373" t="s">
        <v>26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450" t="s">
        <v>343</v>
      </c>
    </row>
    <row r="16" spans="1:22" s="513" customFormat="1" ht="20.100000000000001" customHeight="1" x14ac:dyDescent="0.25">
      <c r="A16" s="454">
        <v>10</v>
      </c>
      <c r="B16" s="353">
        <v>18485</v>
      </c>
      <c r="C16" s="518" t="s">
        <v>244</v>
      </c>
      <c r="D16" s="347" t="s">
        <v>17</v>
      </c>
      <c r="E16" s="266" t="str">
        <f t="shared" si="3"/>
        <v>MA</v>
      </c>
      <c r="F16" s="354">
        <v>38107</v>
      </c>
      <c r="G16" s="347" t="s">
        <v>219</v>
      </c>
      <c r="H16" s="355" t="s">
        <v>380</v>
      </c>
      <c r="I16" s="345"/>
      <c r="J16" s="368" t="s">
        <v>56</v>
      </c>
      <c r="K16" s="329">
        <f t="shared" ca="1" si="1"/>
        <v>21</v>
      </c>
      <c r="L16" s="93" t="s">
        <v>305</v>
      </c>
      <c r="M16" s="373" t="s">
        <v>26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50" t="s">
        <v>344</v>
      </c>
    </row>
    <row r="17" spans="1:22" s="513" customFormat="1" ht="20.100000000000001" customHeight="1" x14ac:dyDescent="0.25">
      <c r="A17" s="454">
        <v>11</v>
      </c>
      <c r="B17" s="259">
        <v>18915</v>
      </c>
      <c r="C17" s="271" t="s">
        <v>438</v>
      </c>
      <c r="D17" s="266" t="s">
        <v>16</v>
      </c>
      <c r="E17" s="327" t="str">
        <f t="shared" si="3"/>
        <v>MA</v>
      </c>
      <c r="F17" s="269">
        <v>38893</v>
      </c>
      <c r="G17" s="266">
        <v>1066524129</v>
      </c>
      <c r="H17" s="271"/>
      <c r="I17" s="271"/>
      <c r="J17" s="368" t="str">
        <f t="shared" ref="J17:J23" ca="1" si="4">IF(K17="","",IF(K17&gt;29,"DISP.IDADE",""))</f>
        <v/>
      </c>
      <c r="K17" s="464">
        <f t="shared" ca="1" si="1"/>
        <v>19</v>
      </c>
      <c r="L17" s="93" t="s">
        <v>305</v>
      </c>
      <c r="M17" s="373" t="s">
        <v>26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266"/>
    </row>
    <row r="18" spans="1:22" s="513" customFormat="1" ht="20.100000000000001" customHeight="1" x14ac:dyDescent="0.25">
      <c r="A18" s="454">
        <v>12</v>
      </c>
      <c r="B18" s="342">
        <v>15848</v>
      </c>
      <c r="C18" s="341" t="s">
        <v>435</v>
      </c>
      <c r="D18" s="343" t="s">
        <v>16</v>
      </c>
      <c r="E18" s="266" t="str">
        <f t="shared" si="3"/>
        <v>MA</v>
      </c>
      <c r="F18" s="344">
        <v>33913</v>
      </c>
      <c r="G18" s="343" t="s">
        <v>436</v>
      </c>
      <c r="H18" s="341"/>
      <c r="I18" s="341"/>
      <c r="J18" s="368" t="str">
        <f t="shared" ca="1" si="4"/>
        <v>DISP.IDADE</v>
      </c>
      <c r="K18" s="329">
        <f t="shared" ca="1" si="1"/>
        <v>32</v>
      </c>
      <c r="L18" s="93" t="s">
        <v>305</v>
      </c>
      <c r="M18" s="373" t="s">
        <v>26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/>
    </row>
    <row r="19" spans="1:22" s="513" customFormat="1" ht="20.100000000000001" customHeight="1" x14ac:dyDescent="0.25">
      <c r="A19" s="454">
        <v>13</v>
      </c>
      <c r="B19" s="342">
        <v>13386</v>
      </c>
      <c r="C19" s="341" t="s">
        <v>392</v>
      </c>
      <c r="D19" s="343" t="s">
        <v>17</v>
      </c>
      <c r="E19" s="266" t="str">
        <f t="shared" si="3"/>
        <v>MA</v>
      </c>
      <c r="F19" s="344">
        <v>38810</v>
      </c>
      <c r="G19" s="343" t="s">
        <v>393</v>
      </c>
      <c r="H19" s="341" t="s">
        <v>394</v>
      </c>
      <c r="I19" s="345"/>
      <c r="J19" s="368" t="str">
        <f t="shared" ca="1" si="4"/>
        <v/>
      </c>
      <c r="K19" s="329">
        <f t="shared" ca="1" si="1"/>
        <v>19</v>
      </c>
      <c r="L19" s="93" t="s">
        <v>305</v>
      </c>
      <c r="M19" s="373" t="s">
        <v>26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>
        <v>53934567850</v>
      </c>
    </row>
    <row r="20" spans="1:22" s="513" customFormat="1" ht="20.100000000000001" customHeight="1" x14ac:dyDescent="0.25">
      <c r="A20" s="454">
        <v>14</v>
      </c>
      <c r="B20" s="353">
        <v>18395</v>
      </c>
      <c r="C20" s="518" t="s">
        <v>124</v>
      </c>
      <c r="D20" s="347" t="s">
        <v>16</v>
      </c>
      <c r="E20" s="327" t="str">
        <f t="shared" si="3"/>
        <v>MA</v>
      </c>
      <c r="F20" s="354">
        <v>27629</v>
      </c>
      <c r="G20" s="347" t="s">
        <v>248</v>
      </c>
      <c r="H20" s="355" t="s">
        <v>381</v>
      </c>
      <c r="I20" s="345"/>
      <c r="J20" s="368" t="str">
        <f t="shared" ca="1" si="4"/>
        <v>DISP.IDADE</v>
      </c>
      <c r="K20" s="329">
        <f t="shared" ca="1" si="1"/>
        <v>50</v>
      </c>
      <c r="L20" s="93" t="s">
        <v>305</v>
      </c>
      <c r="M20" s="373" t="s">
        <v>26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6"/>
      <c r="U20" s="517"/>
      <c r="V20" s="450" t="s">
        <v>345</v>
      </c>
    </row>
    <row r="21" spans="1:22" s="513" customFormat="1" ht="20.100000000000001" customHeight="1" x14ac:dyDescent="0.25">
      <c r="A21" s="454">
        <v>15</v>
      </c>
      <c r="B21" s="259">
        <v>18855</v>
      </c>
      <c r="C21" s="271" t="s">
        <v>443</v>
      </c>
      <c r="D21" s="266" t="s">
        <v>16</v>
      </c>
      <c r="E21" s="266" t="str">
        <f t="shared" si="3"/>
        <v>MA</v>
      </c>
      <c r="F21" s="269">
        <v>39017</v>
      </c>
      <c r="G21" s="266"/>
      <c r="H21" s="271" t="s">
        <v>444</v>
      </c>
      <c r="I21" s="271"/>
      <c r="J21" s="368" t="s">
        <v>187</v>
      </c>
      <c r="K21" s="464">
        <f t="shared" ca="1" si="1"/>
        <v>18</v>
      </c>
      <c r="L21" s="93" t="s">
        <v>305</v>
      </c>
      <c r="M21" s="373" t="s">
        <v>26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516"/>
      <c r="U21" s="517"/>
      <c r="V21" s="266"/>
    </row>
    <row r="22" spans="1:22" ht="20.100000000000001" customHeight="1" x14ac:dyDescent="0.25">
      <c r="A22" s="454">
        <v>16</v>
      </c>
      <c r="B22" s="342">
        <v>15889</v>
      </c>
      <c r="C22" s="350" t="s">
        <v>286</v>
      </c>
      <c r="D22" s="340" t="s">
        <v>16</v>
      </c>
      <c r="E22" s="266" t="str">
        <f t="shared" si="3"/>
        <v>MA</v>
      </c>
      <c r="F22" s="346">
        <v>34877</v>
      </c>
      <c r="G22" s="340"/>
      <c r="H22" s="350" t="s">
        <v>287</v>
      </c>
      <c r="I22" s="345"/>
      <c r="J22" s="368" t="str">
        <f t="shared" ca="1" si="4"/>
        <v>DISP.IDADE</v>
      </c>
      <c r="K22" s="329">
        <f t="shared" ca="1" si="1"/>
        <v>30</v>
      </c>
      <c r="L22" s="93" t="s">
        <v>305</v>
      </c>
      <c r="M22" s="373" t="s">
        <v>26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516"/>
      <c r="U22" s="517"/>
      <c r="V22" s="450" t="s">
        <v>346</v>
      </c>
    </row>
    <row r="23" spans="1:22" x14ac:dyDescent="0.25">
      <c r="A23" s="454">
        <v>17</v>
      </c>
      <c r="B23" s="353">
        <v>18492</v>
      </c>
      <c r="C23" s="518" t="s">
        <v>222</v>
      </c>
      <c r="D23" s="347" t="s">
        <v>17</v>
      </c>
      <c r="E23" s="327" t="str">
        <f t="shared" si="3"/>
        <v>MA</v>
      </c>
      <c r="F23" s="354">
        <v>38694</v>
      </c>
      <c r="G23" s="347" t="s">
        <v>223</v>
      </c>
      <c r="H23" s="349" t="s">
        <v>224</v>
      </c>
      <c r="I23" s="345"/>
      <c r="J23" s="368" t="str">
        <f t="shared" ca="1" si="4"/>
        <v/>
      </c>
      <c r="K23" s="329">
        <f t="shared" ca="1" si="1"/>
        <v>19</v>
      </c>
      <c r="L23" s="93" t="s">
        <v>305</v>
      </c>
      <c r="M23" s="373" t="s">
        <v>26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516"/>
      <c r="U23" s="517"/>
      <c r="V23" s="450" t="s">
        <v>347</v>
      </c>
    </row>
    <row r="24" spans="1:22" x14ac:dyDescent="0.25">
      <c r="A24" s="454">
        <v>18</v>
      </c>
      <c r="B24" s="259">
        <v>18905</v>
      </c>
      <c r="C24" s="271" t="s">
        <v>449</v>
      </c>
      <c r="D24" s="266" t="s">
        <v>16</v>
      </c>
      <c r="E24" s="266" t="str">
        <f t="shared" si="3"/>
        <v>MA</v>
      </c>
      <c r="F24" s="269">
        <v>39214</v>
      </c>
      <c r="G24" s="266">
        <v>1090774783</v>
      </c>
      <c r="H24" s="271"/>
      <c r="I24" s="271"/>
      <c r="J24" s="368" t="s">
        <v>56</v>
      </c>
      <c r="K24" s="464">
        <f t="shared" ca="1" si="1"/>
        <v>18</v>
      </c>
      <c r="L24" s="93" t="s">
        <v>305</v>
      </c>
      <c r="M24" s="373" t="s">
        <v>26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516"/>
      <c r="U24" s="517"/>
      <c r="V24" s="266"/>
    </row>
    <row r="25" spans="1:22" x14ac:dyDescent="0.25">
      <c r="A25" s="454">
        <v>19</v>
      </c>
      <c r="B25" s="342">
        <v>18778</v>
      </c>
      <c r="C25" s="518" t="s">
        <v>335</v>
      </c>
      <c r="D25" s="340" t="s">
        <v>16</v>
      </c>
      <c r="E25" s="266" t="str">
        <f t="shared" si="3"/>
        <v>MA</v>
      </c>
      <c r="F25" s="346">
        <v>38945</v>
      </c>
      <c r="G25" s="340"/>
      <c r="H25" s="350" t="s">
        <v>382</v>
      </c>
      <c r="I25" s="345"/>
      <c r="J25" s="368" t="str">
        <f t="shared" ref="J25:J42" ca="1" si="5">IF(K25="","",IF(K25&gt;29,"DISP.IDADE",""))</f>
        <v/>
      </c>
      <c r="K25" s="329">
        <f t="shared" ca="1" si="1"/>
        <v>19</v>
      </c>
      <c r="L25" s="93" t="s">
        <v>305</v>
      </c>
      <c r="M25" s="373" t="s">
        <v>26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516"/>
      <c r="U25" s="517"/>
      <c r="V25" s="450" t="s">
        <v>348</v>
      </c>
    </row>
    <row r="26" spans="1:22" x14ac:dyDescent="0.25">
      <c r="A26" s="454">
        <v>20</v>
      </c>
      <c r="B26" s="342">
        <v>18706</v>
      </c>
      <c r="C26" s="518" t="s">
        <v>259</v>
      </c>
      <c r="D26" s="340" t="s">
        <v>16</v>
      </c>
      <c r="E26" s="327" t="str">
        <f t="shared" si="3"/>
        <v>MA</v>
      </c>
      <c r="F26" s="346">
        <v>28909</v>
      </c>
      <c r="G26" s="340">
        <v>1130491067</v>
      </c>
      <c r="H26" s="350" t="s">
        <v>260</v>
      </c>
      <c r="I26" s="345"/>
      <c r="J26" s="368" t="str">
        <f t="shared" ca="1" si="5"/>
        <v>DISP.IDADE</v>
      </c>
      <c r="K26" s="329">
        <f t="shared" ca="1" si="1"/>
        <v>46</v>
      </c>
      <c r="L26" s="93" t="s">
        <v>305</v>
      </c>
      <c r="M26" s="373" t="s">
        <v>26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516"/>
      <c r="U26" s="517"/>
      <c r="V26" s="450" t="s">
        <v>349</v>
      </c>
    </row>
    <row r="27" spans="1:22" x14ac:dyDescent="0.25">
      <c r="A27" s="454">
        <v>21</v>
      </c>
      <c r="B27" s="342">
        <v>13098</v>
      </c>
      <c r="C27" s="518" t="s">
        <v>295</v>
      </c>
      <c r="D27" s="340" t="s">
        <v>16</v>
      </c>
      <c r="E27" s="266" t="str">
        <f t="shared" si="3"/>
        <v>MA</v>
      </c>
      <c r="F27" s="346">
        <v>29588</v>
      </c>
      <c r="G27" s="340"/>
      <c r="H27" s="350" t="s">
        <v>383</v>
      </c>
      <c r="I27" s="345"/>
      <c r="J27" s="368" t="str">
        <f t="shared" ca="1" si="5"/>
        <v>DISP.IDADE</v>
      </c>
      <c r="K27" s="329">
        <f t="shared" ca="1" si="1"/>
        <v>44</v>
      </c>
      <c r="L27" s="93" t="s">
        <v>305</v>
      </c>
      <c r="M27" s="373" t="s">
        <v>26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516"/>
      <c r="U27" s="517"/>
      <c r="V27" s="450" t="s">
        <v>350</v>
      </c>
    </row>
    <row r="28" spans="1:22" x14ac:dyDescent="0.25">
      <c r="A28" s="454">
        <v>22</v>
      </c>
      <c r="B28" s="342">
        <v>18764</v>
      </c>
      <c r="C28" s="518" t="s">
        <v>266</v>
      </c>
      <c r="D28" s="340" t="s">
        <v>16</v>
      </c>
      <c r="E28" s="266" t="str">
        <f t="shared" si="3"/>
        <v>MA</v>
      </c>
      <c r="F28" s="346">
        <v>26781</v>
      </c>
      <c r="G28" s="340"/>
      <c r="H28" s="350" t="s">
        <v>384</v>
      </c>
      <c r="I28" s="345"/>
      <c r="J28" s="368" t="str">
        <f t="shared" ca="1" si="5"/>
        <v>DISP.IDADE</v>
      </c>
      <c r="K28" s="329">
        <f t="shared" ca="1" si="1"/>
        <v>52</v>
      </c>
      <c r="L28" s="93" t="s">
        <v>305</v>
      </c>
      <c r="M28" s="373" t="s">
        <v>26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516"/>
      <c r="U28" s="517"/>
      <c r="V28" s="450" t="s">
        <v>351</v>
      </c>
    </row>
    <row r="29" spans="1:22" x14ac:dyDescent="0.25">
      <c r="A29" s="454">
        <v>23</v>
      </c>
      <c r="B29" s="342">
        <v>10938</v>
      </c>
      <c r="C29" s="350" t="s">
        <v>292</v>
      </c>
      <c r="D29" s="340" t="s">
        <v>17</v>
      </c>
      <c r="E29" s="327" t="str">
        <f t="shared" si="3"/>
        <v>MA</v>
      </c>
      <c r="F29" s="346">
        <v>26456</v>
      </c>
      <c r="G29" s="340"/>
      <c r="H29" s="350" t="s">
        <v>385</v>
      </c>
      <c r="I29" s="345"/>
      <c r="J29" s="368" t="str">
        <f t="shared" ca="1" si="5"/>
        <v>DISP.IDADE</v>
      </c>
      <c r="K29" s="329">
        <f t="shared" ca="1" si="1"/>
        <v>53</v>
      </c>
      <c r="L29" s="93" t="s">
        <v>305</v>
      </c>
      <c r="M29" s="373" t="s">
        <v>26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516"/>
      <c r="U29" s="517"/>
      <c r="V29" s="450" t="s">
        <v>352</v>
      </c>
    </row>
    <row r="30" spans="1:22" s="513" customFormat="1" ht="20.100000000000001" customHeight="1" x14ac:dyDescent="0.25">
      <c r="A30" s="454">
        <v>24</v>
      </c>
      <c r="B30" s="259">
        <v>18920</v>
      </c>
      <c r="C30" s="271" t="s">
        <v>427</v>
      </c>
      <c r="D30" s="266" t="s">
        <v>16</v>
      </c>
      <c r="E30" s="266" t="str">
        <f t="shared" si="3"/>
        <v>MA</v>
      </c>
      <c r="F30" s="269">
        <v>37943</v>
      </c>
      <c r="G30" s="266"/>
      <c r="H30" s="271"/>
      <c r="I30" s="271"/>
      <c r="J30" s="368" t="str">
        <f t="shared" ca="1" si="5"/>
        <v/>
      </c>
      <c r="K30" s="464">
        <f t="shared" ca="1" si="1"/>
        <v>21</v>
      </c>
      <c r="L30" s="93" t="s">
        <v>305</v>
      </c>
      <c r="M30" s="373" t="s">
        <v>26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516"/>
      <c r="U30" s="517"/>
      <c r="V30" s="266"/>
    </row>
    <row r="31" spans="1:22" x14ac:dyDescent="0.25">
      <c r="A31" s="454">
        <v>25</v>
      </c>
      <c r="B31" s="259">
        <v>18944</v>
      </c>
      <c r="C31" s="271" t="s">
        <v>477</v>
      </c>
      <c r="D31" s="266" t="s">
        <v>17</v>
      </c>
      <c r="E31" s="266" t="str">
        <f t="shared" si="3"/>
        <v>MA</v>
      </c>
      <c r="F31" s="269">
        <v>39242</v>
      </c>
      <c r="G31" s="266">
        <v>1088655650</v>
      </c>
      <c r="H31" s="271"/>
      <c r="I31" s="271"/>
      <c r="J31" s="368" t="str">
        <f t="shared" ca="1" si="5"/>
        <v/>
      </c>
      <c r="K31" s="464">
        <f t="shared" ca="1" si="1"/>
        <v>18</v>
      </c>
      <c r="L31" s="93" t="s">
        <v>305</v>
      </c>
      <c r="M31" s="373" t="s">
        <v>26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266"/>
      <c r="U31" s="266"/>
      <c r="V31" s="266"/>
    </row>
    <row r="32" spans="1:22" x14ac:dyDescent="0.25">
      <c r="A32" s="454">
        <v>26</v>
      </c>
      <c r="B32" s="259">
        <v>18945</v>
      </c>
      <c r="C32" s="271" t="s">
        <v>484</v>
      </c>
      <c r="D32" s="266" t="s">
        <v>17</v>
      </c>
      <c r="E32" s="327" t="str">
        <f t="shared" si="3"/>
        <v>MA</v>
      </c>
      <c r="F32" s="269">
        <v>38872</v>
      </c>
      <c r="G32" s="266" t="s">
        <v>485</v>
      </c>
      <c r="H32" s="271" t="s">
        <v>486</v>
      </c>
      <c r="I32" s="271"/>
      <c r="J32" s="368" t="str">
        <f t="shared" ca="1" si="5"/>
        <v/>
      </c>
      <c r="K32" s="464">
        <f t="shared" ca="1" si="1"/>
        <v>19</v>
      </c>
      <c r="L32" s="93" t="s">
        <v>305</v>
      </c>
      <c r="M32" s="373" t="s">
        <v>26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266"/>
      <c r="U32" s="266"/>
      <c r="V32" s="266" t="s">
        <v>487</v>
      </c>
    </row>
    <row r="33" spans="1:22" x14ac:dyDescent="0.25">
      <c r="A33" s="454">
        <v>27</v>
      </c>
      <c r="B33" s="259">
        <v>18948</v>
      </c>
      <c r="C33" s="271" t="s">
        <v>494</v>
      </c>
      <c r="D33" s="266" t="s">
        <v>17</v>
      </c>
      <c r="E33" s="266" t="str">
        <f t="shared" si="3"/>
        <v>MA</v>
      </c>
      <c r="F33" s="269">
        <v>39223</v>
      </c>
      <c r="G33" s="266">
        <v>1114420402</v>
      </c>
      <c r="H33" s="271"/>
      <c r="I33" s="271"/>
      <c r="J33" s="368" t="str">
        <f t="shared" ca="1" si="5"/>
        <v/>
      </c>
      <c r="K33" s="464">
        <f t="shared" ca="1" si="1"/>
        <v>18</v>
      </c>
      <c r="L33" s="93" t="s">
        <v>305</v>
      </c>
      <c r="M33" s="373" t="s">
        <v>26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266"/>
      <c r="U33" s="266"/>
      <c r="V33" s="266"/>
    </row>
    <row r="34" spans="1:22" x14ac:dyDescent="0.25">
      <c r="A34" s="454">
        <v>28</v>
      </c>
      <c r="B34" s="259">
        <v>18950</v>
      </c>
      <c r="C34" s="271" t="s">
        <v>507</v>
      </c>
      <c r="D34" s="266" t="s">
        <v>16</v>
      </c>
      <c r="E34" s="266" t="str">
        <f t="shared" si="3"/>
        <v>MA</v>
      </c>
      <c r="F34" s="269">
        <v>39209</v>
      </c>
      <c r="G34" s="266" t="s">
        <v>508</v>
      </c>
      <c r="H34" s="271" t="s">
        <v>509</v>
      </c>
      <c r="I34" s="271"/>
      <c r="J34" s="368" t="str">
        <f t="shared" ca="1" si="5"/>
        <v/>
      </c>
      <c r="K34" s="464">
        <f t="shared" ca="1" si="1"/>
        <v>18</v>
      </c>
      <c r="L34" s="93" t="s">
        <v>305</v>
      </c>
      <c r="M34" s="373" t="s">
        <v>26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266"/>
      <c r="U34" s="266"/>
      <c r="V34" s="266" t="s">
        <v>510</v>
      </c>
    </row>
    <row r="35" spans="1:22" x14ac:dyDescent="0.25">
      <c r="A35" s="454">
        <v>29</v>
      </c>
      <c r="B35" s="259">
        <v>18952</v>
      </c>
      <c r="C35" s="271" t="s">
        <v>505</v>
      </c>
      <c r="D35" s="266" t="s">
        <v>17</v>
      </c>
      <c r="E35" s="327" t="str">
        <f t="shared" si="3"/>
        <v>MA</v>
      </c>
      <c r="F35" s="269">
        <v>38828</v>
      </c>
      <c r="G35" s="266"/>
      <c r="H35" s="271" t="s">
        <v>506</v>
      </c>
      <c r="I35" s="271"/>
      <c r="J35" s="368" t="str">
        <f t="shared" ca="1" si="5"/>
        <v/>
      </c>
      <c r="K35" s="464">
        <f t="shared" ca="1" si="1"/>
        <v>19</v>
      </c>
      <c r="L35" s="93" t="s">
        <v>305</v>
      </c>
      <c r="M35" s="373" t="s">
        <v>26</v>
      </c>
      <c r="N35" s="452" t="s">
        <v>26</v>
      </c>
      <c r="O35" s="452" t="s">
        <v>26</v>
      </c>
      <c r="P35" s="452" t="s">
        <v>26</v>
      </c>
      <c r="Q35" s="452" t="s">
        <v>26</v>
      </c>
      <c r="R35" s="452" t="s">
        <v>26</v>
      </c>
      <c r="S35" s="452" t="s">
        <v>26</v>
      </c>
      <c r="T35" s="266"/>
      <c r="U35" s="266"/>
      <c r="V35" s="266">
        <v>58125444840</v>
      </c>
    </row>
    <row r="36" spans="1:22" x14ac:dyDescent="0.25">
      <c r="A36" s="454">
        <v>30</v>
      </c>
      <c r="B36" s="259">
        <v>18959</v>
      </c>
      <c r="C36" s="271" t="s">
        <v>512</v>
      </c>
      <c r="D36" s="266" t="s">
        <v>17</v>
      </c>
      <c r="E36" s="266" t="str">
        <f t="shared" si="3"/>
        <v>MA</v>
      </c>
      <c r="F36" s="269">
        <v>39232</v>
      </c>
      <c r="G36" s="266" t="s">
        <v>513</v>
      </c>
      <c r="H36" s="271"/>
      <c r="I36" s="267" t="s">
        <v>504</v>
      </c>
      <c r="J36" s="368" t="str">
        <f t="shared" ca="1" si="5"/>
        <v/>
      </c>
      <c r="K36" s="464">
        <f t="shared" ca="1" si="1"/>
        <v>18</v>
      </c>
      <c r="L36" s="93" t="s">
        <v>305</v>
      </c>
      <c r="M36" s="373" t="s">
        <v>26</v>
      </c>
      <c r="N36" s="452" t="s">
        <v>26</v>
      </c>
      <c r="O36" s="452" t="s">
        <v>26</v>
      </c>
      <c r="P36" s="452" t="s">
        <v>26</v>
      </c>
      <c r="Q36" s="452" t="s">
        <v>26</v>
      </c>
      <c r="R36" s="452" t="s">
        <v>26</v>
      </c>
      <c r="S36" s="452" t="s">
        <v>26</v>
      </c>
      <c r="T36" s="266"/>
      <c r="U36" s="266"/>
      <c r="V36" s="266">
        <v>51577786866</v>
      </c>
    </row>
    <row r="37" spans="1:22" x14ac:dyDescent="0.25">
      <c r="A37" s="454">
        <v>31</v>
      </c>
      <c r="B37" s="259">
        <v>18964</v>
      </c>
      <c r="C37" s="271" t="s">
        <v>522</v>
      </c>
      <c r="D37" s="266" t="s">
        <v>17</v>
      </c>
      <c r="E37" s="266" t="str">
        <f t="shared" si="3"/>
        <v>MA</v>
      </c>
      <c r="F37" s="269">
        <v>39045</v>
      </c>
      <c r="G37" s="266" t="s">
        <v>523</v>
      </c>
      <c r="H37" s="271" t="s">
        <v>524</v>
      </c>
      <c r="I37" s="267" t="s">
        <v>521</v>
      </c>
      <c r="J37" s="368" t="str">
        <f t="shared" ca="1" si="5"/>
        <v/>
      </c>
      <c r="K37" s="263">
        <f t="shared" ca="1" si="1"/>
        <v>18</v>
      </c>
      <c r="L37" s="93" t="s">
        <v>305</v>
      </c>
      <c r="M37" s="373" t="s">
        <v>26</v>
      </c>
      <c r="N37" s="452" t="s">
        <v>26</v>
      </c>
      <c r="O37" s="452" t="s">
        <v>26</v>
      </c>
      <c r="P37" s="452" t="s">
        <v>26</v>
      </c>
      <c r="Q37" s="452" t="s">
        <v>26</v>
      </c>
      <c r="R37" s="452" t="s">
        <v>26</v>
      </c>
      <c r="S37" s="452" t="s">
        <v>26</v>
      </c>
      <c r="T37" s="266"/>
      <c r="U37" s="266"/>
      <c r="V37" s="266" t="s">
        <v>525</v>
      </c>
    </row>
    <row r="38" spans="1:22" x14ac:dyDescent="0.25">
      <c r="A38" s="454">
        <v>32</v>
      </c>
      <c r="B38" s="259">
        <v>18766</v>
      </c>
      <c r="C38" s="271" t="s">
        <v>526</v>
      </c>
      <c r="D38" s="266" t="s">
        <v>16</v>
      </c>
      <c r="E38" s="327" t="str">
        <f t="shared" si="3"/>
        <v>MA</v>
      </c>
      <c r="F38" s="269">
        <v>38657</v>
      </c>
      <c r="G38" s="266" t="s">
        <v>527</v>
      </c>
      <c r="H38" s="271"/>
      <c r="I38" s="267" t="s">
        <v>521</v>
      </c>
      <c r="J38" s="368" t="str">
        <f t="shared" ca="1" si="5"/>
        <v/>
      </c>
      <c r="K38" s="263">
        <f t="shared" ca="1" si="1"/>
        <v>19</v>
      </c>
      <c r="L38" s="93" t="s">
        <v>305</v>
      </c>
      <c r="M38" s="373" t="s">
        <v>26</v>
      </c>
      <c r="N38" s="452" t="s">
        <v>26</v>
      </c>
      <c r="O38" s="452" t="s">
        <v>26</v>
      </c>
      <c r="P38" s="452" t="s">
        <v>26</v>
      </c>
      <c r="Q38" s="452" t="s">
        <v>26</v>
      </c>
      <c r="R38" s="452" t="s">
        <v>26</v>
      </c>
      <c r="S38" s="452" t="s">
        <v>26</v>
      </c>
      <c r="T38" s="266"/>
      <c r="U38" s="266"/>
      <c r="V38" s="266">
        <v>50735030820</v>
      </c>
    </row>
    <row r="39" spans="1:22" x14ac:dyDescent="0.25">
      <c r="A39" s="454">
        <v>33</v>
      </c>
      <c r="B39" s="259">
        <v>13246</v>
      </c>
      <c r="C39" s="271" t="s">
        <v>538</v>
      </c>
      <c r="D39" s="266" t="s">
        <v>16</v>
      </c>
      <c r="E39" s="266" t="str">
        <f t="shared" si="3"/>
        <v>MA</v>
      </c>
      <c r="F39" s="269">
        <v>21415</v>
      </c>
      <c r="G39" s="266" t="s">
        <v>539</v>
      </c>
      <c r="H39" s="271">
        <v>9684010</v>
      </c>
      <c r="I39" s="267" t="s">
        <v>521</v>
      </c>
      <c r="J39" s="368" t="str">
        <f t="shared" ca="1" si="5"/>
        <v>DISP.IDADE</v>
      </c>
      <c r="K39" s="263">
        <f t="shared" ca="1" si="1"/>
        <v>67</v>
      </c>
      <c r="L39" s="93" t="s">
        <v>305</v>
      </c>
      <c r="M39" s="373" t="s">
        <v>26</v>
      </c>
      <c r="N39" s="452" t="s">
        <v>26</v>
      </c>
      <c r="O39" s="452" t="s">
        <v>26</v>
      </c>
      <c r="P39" s="452" t="s">
        <v>26</v>
      </c>
      <c r="Q39" s="452" t="s">
        <v>26</v>
      </c>
      <c r="R39" s="452" t="s">
        <v>26</v>
      </c>
      <c r="S39" s="452" t="s">
        <v>26</v>
      </c>
      <c r="T39" s="266"/>
      <c r="U39" s="266"/>
      <c r="V39" s="266" t="s">
        <v>540</v>
      </c>
    </row>
    <row r="40" spans="1:22" x14ac:dyDescent="0.25">
      <c r="A40" s="454">
        <v>34</v>
      </c>
      <c r="B40" s="259">
        <v>15205</v>
      </c>
      <c r="C40" s="271" t="s">
        <v>542</v>
      </c>
      <c r="D40" s="266" t="s">
        <v>16</v>
      </c>
      <c r="E40" s="266" t="str">
        <f t="shared" si="3"/>
        <v>MA</v>
      </c>
      <c r="F40" s="269">
        <v>31284</v>
      </c>
      <c r="G40" s="266" t="s">
        <v>543</v>
      </c>
      <c r="H40" s="271"/>
      <c r="I40" s="267" t="s">
        <v>541</v>
      </c>
      <c r="J40" s="368" t="str">
        <f t="shared" ca="1" si="5"/>
        <v>DISP.IDADE</v>
      </c>
      <c r="K40" s="263">
        <f t="shared" ca="1" si="1"/>
        <v>40</v>
      </c>
      <c r="L40" s="93" t="s">
        <v>305</v>
      </c>
      <c r="M40" s="373" t="s">
        <v>26</v>
      </c>
      <c r="N40" s="452" t="s">
        <v>26</v>
      </c>
      <c r="O40" s="452" t="s">
        <v>26</v>
      </c>
      <c r="P40" s="452" t="s">
        <v>26</v>
      </c>
      <c r="Q40" s="452" t="s">
        <v>26</v>
      </c>
      <c r="R40" s="452" t="s">
        <v>26</v>
      </c>
      <c r="S40" s="452" t="s">
        <v>26</v>
      </c>
      <c r="T40" s="266"/>
      <c r="U40" s="266"/>
      <c r="V40" s="266"/>
    </row>
    <row r="41" spans="1:22" x14ac:dyDescent="0.25">
      <c r="A41" s="497">
        <v>35</v>
      </c>
      <c r="B41" s="498">
        <v>18968</v>
      </c>
      <c r="C41" s="502" t="s">
        <v>551</v>
      </c>
      <c r="D41" s="499" t="s">
        <v>16</v>
      </c>
      <c r="E41" s="500" t="str">
        <f t="shared" si="3"/>
        <v>MA</v>
      </c>
      <c r="F41" s="501">
        <v>38690</v>
      </c>
      <c r="G41" s="499" t="s">
        <v>552</v>
      </c>
      <c r="H41" s="502" t="s">
        <v>553</v>
      </c>
      <c r="I41" s="531" t="s">
        <v>541</v>
      </c>
      <c r="J41" s="368" t="str">
        <f t="shared" ca="1" si="5"/>
        <v/>
      </c>
      <c r="K41" s="263">
        <f t="shared" ca="1" si="1"/>
        <v>19</v>
      </c>
      <c r="L41" s="93" t="s">
        <v>305</v>
      </c>
      <c r="M41" s="373" t="s">
        <v>26</v>
      </c>
      <c r="N41" s="452" t="s">
        <v>26</v>
      </c>
      <c r="O41" s="452" t="s">
        <v>26</v>
      </c>
      <c r="P41" s="452" t="s">
        <v>26</v>
      </c>
      <c r="Q41" s="452" t="s">
        <v>26</v>
      </c>
      <c r="R41" s="452" t="s">
        <v>26</v>
      </c>
      <c r="S41" s="452" t="s">
        <v>26</v>
      </c>
      <c r="T41" s="499"/>
      <c r="U41" s="499"/>
      <c r="V41" s="499">
        <v>50477602860</v>
      </c>
    </row>
    <row r="42" spans="1:22" x14ac:dyDescent="0.25">
      <c r="A42" s="454">
        <v>36</v>
      </c>
      <c r="B42" s="538">
        <v>15439</v>
      </c>
      <c r="C42" s="539" t="s">
        <v>557</v>
      </c>
      <c r="D42" s="538" t="s">
        <v>17</v>
      </c>
      <c r="E42" s="538" t="str">
        <f t="shared" si="3"/>
        <v>MA</v>
      </c>
      <c r="F42" s="540">
        <v>38536</v>
      </c>
      <c r="G42" s="538" t="s">
        <v>558</v>
      </c>
      <c r="H42" s="539" t="s">
        <v>559</v>
      </c>
      <c r="I42" s="539" t="s">
        <v>582</v>
      </c>
      <c r="J42" s="537" t="str">
        <f t="shared" ca="1" si="5"/>
        <v/>
      </c>
      <c r="K42" s="263">
        <f t="shared" ca="1" si="1"/>
        <v>20</v>
      </c>
      <c r="L42" s="93" t="s">
        <v>306</v>
      </c>
      <c r="M42" s="373" t="s">
        <v>26</v>
      </c>
      <c r="N42" s="452" t="s">
        <v>26</v>
      </c>
      <c r="O42" s="452" t="s">
        <v>26</v>
      </c>
      <c r="P42" s="452" t="s">
        <v>26</v>
      </c>
      <c r="Q42" s="452" t="s">
        <v>26</v>
      </c>
      <c r="R42" s="452" t="s">
        <v>26</v>
      </c>
      <c r="S42" s="452" t="s">
        <v>26</v>
      </c>
      <c r="T42" s="266"/>
      <c r="U42" s="266"/>
      <c r="V42" s="266">
        <v>50149470851</v>
      </c>
    </row>
    <row r="43" spans="1:22" x14ac:dyDescent="0.25">
      <c r="E43" s="503" t="str">
        <f t="shared" si="3"/>
        <v/>
      </c>
    </row>
    <row r="44" spans="1:22" x14ac:dyDescent="0.25">
      <c r="E44" s="327" t="str">
        <f t="shared" si="3"/>
        <v/>
      </c>
    </row>
    <row r="45" spans="1:22" x14ac:dyDescent="0.25">
      <c r="E45" s="266" t="str">
        <f t="shared" si="3"/>
        <v/>
      </c>
    </row>
    <row r="46" spans="1:22" x14ac:dyDescent="0.25">
      <c r="E46" s="266" t="str">
        <f t="shared" si="3"/>
        <v/>
      </c>
    </row>
    <row r="47" spans="1:22" x14ac:dyDescent="0.25">
      <c r="E47" s="327" t="str">
        <f t="shared" si="3"/>
        <v/>
      </c>
    </row>
    <row r="48" spans="1:22" x14ac:dyDescent="0.25">
      <c r="E48" s="266" t="str">
        <f t="shared" si="3"/>
        <v/>
      </c>
    </row>
    <row r="49" spans="5:5" x14ac:dyDescent="0.25">
      <c r="E49" s="266" t="str">
        <f t="shared" si="3"/>
        <v/>
      </c>
    </row>
    <row r="50" spans="5:5" x14ac:dyDescent="0.25">
      <c r="E50" s="327" t="str">
        <f t="shared" si="3"/>
        <v/>
      </c>
    </row>
    <row r="51" spans="5:5" x14ac:dyDescent="0.25">
      <c r="E51" s="266" t="str">
        <f t="shared" si="3"/>
        <v/>
      </c>
    </row>
    <row r="52" spans="5:5" x14ac:dyDescent="0.25">
      <c r="E52" s="266" t="str">
        <f t="shared" si="3"/>
        <v/>
      </c>
    </row>
    <row r="53" spans="5:5" x14ac:dyDescent="0.25">
      <c r="E53" s="327" t="str">
        <f t="shared" si="3"/>
        <v/>
      </c>
    </row>
    <row r="54" spans="5:5" x14ac:dyDescent="0.25">
      <c r="E54" s="266" t="str">
        <f t="shared" si="3"/>
        <v/>
      </c>
    </row>
    <row r="55" spans="5:5" x14ac:dyDescent="0.25">
      <c r="E55" s="266" t="str">
        <f t="shared" si="3"/>
        <v/>
      </c>
    </row>
    <row r="56" spans="5:5" x14ac:dyDescent="0.25">
      <c r="E56" s="327" t="str">
        <f t="shared" si="3"/>
        <v/>
      </c>
    </row>
    <row r="57" spans="5:5" x14ac:dyDescent="0.25">
      <c r="E57" s="266" t="str">
        <f t="shared" si="3"/>
        <v/>
      </c>
    </row>
    <row r="58" spans="5:5" x14ac:dyDescent="0.25">
      <c r="E58" s="266" t="str">
        <f t="shared" si="3"/>
        <v/>
      </c>
    </row>
    <row r="59" spans="5:5" x14ac:dyDescent="0.25">
      <c r="E59" s="327" t="str">
        <f t="shared" si="3"/>
        <v/>
      </c>
    </row>
    <row r="60" spans="5:5" x14ac:dyDescent="0.25">
      <c r="E60" s="266" t="str">
        <f t="shared" si="3"/>
        <v/>
      </c>
    </row>
    <row r="61" spans="5:5" x14ac:dyDescent="0.25">
      <c r="E61" s="266" t="str">
        <f t="shared" si="3"/>
        <v/>
      </c>
    </row>
    <row r="62" spans="5:5" x14ac:dyDescent="0.25">
      <c r="E62" s="327" t="str">
        <f t="shared" si="3"/>
        <v/>
      </c>
    </row>
    <row r="63" spans="5:5" x14ac:dyDescent="0.25">
      <c r="E63" s="266" t="str">
        <f t="shared" si="3"/>
        <v/>
      </c>
    </row>
    <row r="64" spans="5:5" x14ac:dyDescent="0.25">
      <c r="E64" s="266" t="str">
        <f t="shared" si="3"/>
        <v/>
      </c>
    </row>
    <row r="65" spans="5:5" x14ac:dyDescent="0.25">
      <c r="E65" s="327" t="str">
        <f t="shared" si="3"/>
        <v/>
      </c>
    </row>
    <row r="66" spans="5:5" x14ac:dyDescent="0.25">
      <c r="E66" s="266" t="str">
        <f t="shared" si="3"/>
        <v/>
      </c>
    </row>
    <row r="67" spans="5:5" x14ac:dyDescent="0.25">
      <c r="E67" s="266" t="str">
        <f t="shared" si="3"/>
        <v/>
      </c>
    </row>
    <row r="68" spans="5:5" x14ac:dyDescent="0.25">
      <c r="E68" s="327" t="str">
        <f t="shared" si="3"/>
        <v/>
      </c>
    </row>
    <row r="69" spans="5:5" x14ac:dyDescent="0.25">
      <c r="E69" s="266" t="str">
        <f t="shared" si="3"/>
        <v/>
      </c>
    </row>
    <row r="70" spans="5:5" x14ac:dyDescent="0.25">
      <c r="E70" s="266" t="str">
        <f t="shared" si="3"/>
        <v/>
      </c>
    </row>
    <row r="71" spans="5:5" x14ac:dyDescent="0.25">
      <c r="E71" s="327" t="str">
        <f t="shared" si="3"/>
        <v/>
      </c>
    </row>
    <row r="72" spans="5:5" x14ac:dyDescent="0.25">
      <c r="E72" s="266" t="str">
        <f t="shared" si="3"/>
        <v/>
      </c>
    </row>
    <row r="73" spans="5:5" x14ac:dyDescent="0.25">
      <c r="E73" s="266" t="str">
        <f t="shared" si="3"/>
        <v/>
      </c>
    </row>
    <row r="74" spans="5:5" x14ac:dyDescent="0.25">
      <c r="E74" s="327" t="str">
        <f t="shared" si="3"/>
        <v/>
      </c>
    </row>
    <row r="75" spans="5:5" x14ac:dyDescent="0.25">
      <c r="E75" s="266" t="str">
        <f t="shared" si="3"/>
        <v/>
      </c>
    </row>
    <row r="76" spans="5:5" x14ac:dyDescent="0.25">
      <c r="E76" s="266" t="str">
        <f t="shared" si="3"/>
        <v/>
      </c>
    </row>
    <row r="77" spans="5:5" x14ac:dyDescent="0.25">
      <c r="E77" s="327" t="str">
        <f t="shared" ref="E77:E96" si="6">IF(COUNTIF(I77,"*MC*")=1,"MC",IF(COUNTIF(I77,"*NCOM*")=1,"NCOM",IF(C77="","","MA")))</f>
        <v/>
      </c>
    </row>
    <row r="78" spans="5:5" x14ac:dyDescent="0.25">
      <c r="E78" s="266" t="str">
        <f t="shared" si="6"/>
        <v/>
      </c>
    </row>
    <row r="79" spans="5:5" x14ac:dyDescent="0.25">
      <c r="E79" s="266" t="str">
        <f t="shared" si="6"/>
        <v/>
      </c>
    </row>
    <row r="80" spans="5:5" x14ac:dyDescent="0.25">
      <c r="E80" s="327" t="str">
        <f t="shared" si="6"/>
        <v/>
      </c>
    </row>
    <row r="81" spans="5:5" x14ac:dyDescent="0.25">
      <c r="E81" s="266" t="str">
        <f t="shared" si="6"/>
        <v/>
      </c>
    </row>
    <row r="82" spans="5:5" x14ac:dyDescent="0.25">
      <c r="E82" s="266" t="str">
        <f t="shared" si="6"/>
        <v/>
      </c>
    </row>
    <row r="83" spans="5:5" x14ac:dyDescent="0.25">
      <c r="E83" s="327" t="str">
        <f t="shared" si="6"/>
        <v/>
      </c>
    </row>
    <row r="84" spans="5:5" x14ac:dyDescent="0.25">
      <c r="E84" s="266" t="str">
        <f t="shared" si="6"/>
        <v/>
      </c>
    </row>
    <row r="85" spans="5:5" x14ac:dyDescent="0.25">
      <c r="E85" s="266" t="str">
        <f t="shared" si="6"/>
        <v/>
      </c>
    </row>
    <row r="86" spans="5:5" x14ac:dyDescent="0.25">
      <c r="E86" s="327" t="str">
        <f t="shared" si="6"/>
        <v/>
      </c>
    </row>
    <row r="87" spans="5:5" x14ac:dyDescent="0.25">
      <c r="E87" s="266" t="str">
        <f t="shared" si="6"/>
        <v/>
      </c>
    </row>
    <row r="88" spans="5:5" x14ac:dyDescent="0.25">
      <c r="E88" s="266" t="str">
        <f t="shared" si="6"/>
        <v/>
      </c>
    </row>
    <row r="89" spans="5:5" x14ac:dyDescent="0.25">
      <c r="E89" s="327" t="str">
        <f t="shared" si="6"/>
        <v/>
      </c>
    </row>
    <row r="90" spans="5:5" x14ac:dyDescent="0.25">
      <c r="E90" s="266" t="str">
        <f t="shared" si="6"/>
        <v/>
      </c>
    </row>
    <row r="91" spans="5:5" x14ac:dyDescent="0.25">
      <c r="E91" s="266" t="str">
        <f t="shared" si="6"/>
        <v/>
      </c>
    </row>
    <row r="92" spans="5:5" x14ac:dyDescent="0.25">
      <c r="E92" s="327" t="str">
        <f t="shared" si="6"/>
        <v/>
      </c>
    </row>
    <row r="93" spans="5:5" x14ac:dyDescent="0.25">
      <c r="E93" s="266" t="str">
        <f t="shared" si="6"/>
        <v/>
      </c>
    </row>
    <row r="94" spans="5:5" x14ac:dyDescent="0.25">
      <c r="E94" s="266" t="str">
        <f t="shared" si="6"/>
        <v/>
      </c>
    </row>
    <row r="95" spans="5:5" x14ac:dyDescent="0.25">
      <c r="E95" s="327" t="str">
        <f t="shared" si="6"/>
        <v/>
      </c>
    </row>
    <row r="96" spans="5:5" x14ac:dyDescent="0.25">
      <c r="E96" s="266" t="str">
        <f t="shared" si="6"/>
        <v/>
      </c>
    </row>
  </sheetData>
  <sheetProtection formatCells="0" selectLockedCells="1"/>
  <autoFilter ref="A6:J6">
    <sortState ref="A7:J26">
      <sortCondition ref="C6"/>
    </sortState>
  </autoFilter>
  <sortState ref="A7:V35">
    <sortCondition ref="C7:C35"/>
  </sortState>
  <mergeCells count="6">
    <mergeCell ref="C1:H1"/>
    <mergeCell ref="C2:H2"/>
    <mergeCell ref="C3:H3"/>
    <mergeCell ref="C4:H4"/>
    <mergeCell ref="A5:C5"/>
    <mergeCell ref="D5:E5"/>
  </mergeCells>
  <conditionalFormatting sqref="M4:M5 M7:M42">
    <cfRule type="cellIs" dxfId="2206" priority="11533" operator="equal">
      <formula>3</formula>
    </cfRule>
    <cfRule type="cellIs" dxfId="2205" priority="11534" operator="equal">
      <formula>2</formula>
    </cfRule>
    <cfRule type="cellIs" dxfId="2204" priority="11535" operator="equal">
      <formula>1</formula>
    </cfRule>
  </conditionalFormatting>
  <conditionalFormatting sqref="K1:K21 K37:K1048576">
    <cfRule type="cellIs" dxfId="2203" priority="11523" operator="lessThan">
      <formula>18</formula>
    </cfRule>
  </conditionalFormatting>
  <conditionalFormatting sqref="A5 A6:K6">
    <cfRule type="expression" dxfId="2202" priority="11536">
      <formula>#REF!="MC"</formula>
    </cfRule>
  </conditionalFormatting>
  <conditionalFormatting sqref="A7:A33 J7:J42">
    <cfRule type="expression" dxfId="2201" priority="6134">
      <formula>$E7="MC"</formula>
    </cfRule>
  </conditionalFormatting>
  <conditionalFormatting sqref="M6">
    <cfRule type="cellIs" dxfId="2200" priority="105" operator="equal">
      <formula>3</formula>
    </cfRule>
    <cfRule type="cellIs" dxfId="2199" priority="106" operator="equal">
      <formula>2</formula>
    </cfRule>
    <cfRule type="cellIs" dxfId="2198" priority="107" operator="equal">
      <formula>1</formula>
    </cfRule>
  </conditionalFormatting>
  <conditionalFormatting sqref="T6">
    <cfRule type="expression" dxfId="2197" priority="101">
      <formula>FIND("RETIDO",T6)</formula>
    </cfRule>
  </conditionalFormatting>
  <conditionalFormatting sqref="F9:H9 B9:D9 E10:E11 E13:E14 E16:E17 E19:E20 E22:E23 E25:E26 E28:E29 E31:E32 E34:E35 E37:E38 E40:E41 E43:E44 E46:E47 E49:E50 E52:E53 E55:E56 E58:E59 E61:E62 E64:E65 E67:E68 E70:E71 E73:E74 E76:E77 E79:E80 E82:E83 E85:E86 E88:E89 E91:E92 E94:E95 E7:E8">
    <cfRule type="expression" dxfId="2196" priority="89">
      <formula>$E7="MC"</formula>
    </cfRule>
  </conditionalFormatting>
  <conditionalFormatting sqref="B7:D7 F7:H7">
    <cfRule type="expression" dxfId="2195" priority="83">
      <formula>$E7="MC"</formula>
    </cfRule>
  </conditionalFormatting>
  <conditionalFormatting sqref="B8:D8 F8:H8">
    <cfRule type="expression" dxfId="2194" priority="82">
      <formula>$E8="MC"</formula>
    </cfRule>
  </conditionalFormatting>
  <conditionalFormatting sqref="B10">
    <cfRule type="expression" dxfId="2193" priority="81">
      <formula>$E10="MC"</formula>
    </cfRule>
  </conditionalFormatting>
  <conditionalFormatting sqref="K22">
    <cfRule type="cellIs" dxfId="2192" priority="68" operator="lessThan">
      <formula>18</formula>
    </cfRule>
  </conditionalFormatting>
  <conditionalFormatting sqref="K23">
    <cfRule type="cellIs" dxfId="2191" priority="64" operator="lessThan">
      <formula>18</formula>
    </cfRule>
  </conditionalFormatting>
  <conditionalFormatting sqref="K24">
    <cfRule type="cellIs" dxfId="2190" priority="60" operator="lessThan">
      <formula>18</formula>
    </cfRule>
  </conditionalFormatting>
  <conditionalFormatting sqref="K25">
    <cfRule type="cellIs" dxfId="2189" priority="56" operator="lessThan">
      <formula>18</formula>
    </cfRule>
  </conditionalFormatting>
  <conditionalFormatting sqref="K26">
    <cfRule type="cellIs" dxfId="2188" priority="48" operator="lessThan">
      <formula>18</formula>
    </cfRule>
  </conditionalFormatting>
  <conditionalFormatting sqref="K27">
    <cfRule type="cellIs" dxfId="2187" priority="44" operator="lessThan">
      <formula>18</formula>
    </cfRule>
  </conditionalFormatting>
  <conditionalFormatting sqref="K28">
    <cfRule type="cellIs" dxfId="2186" priority="36" operator="lessThan">
      <formula>18</formula>
    </cfRule>
  </conditionalFormatting>
  <conditionalFormatting sqref="K29">
    <cfRule type="cellIs" dxfId="2185" priority="32" operator="lessThan">
      <formula>18</formula>
    </cfRule>
  </conditionalFormatting>
  <conditionalFormatting sqref="K30:K36">
    <cfRule type="cellIs" dxfId="2184" priority="19" operator="lessThan">
      <formula>18</formula>
    </cfRule>
  </conditionalFormatting>
  <conditionalFormatting sqref="E12 E15 E18 E21 E24 E27 E30 E33 E36 E39 E42 E45 E48 E51 E54 E57 E60 E63 E66 E69 E72 E75 E78 E81 E84 E87 E90 E93 E96 E9">
    <cfRule type="expression" dxfId="2183" priority="18">
      <formula>$E9="MC"</formula>
    </cfRule>
  </conditionalFormatting>
  <conditionalFormatting sqref="B12">
    <cfRule type="expression" dxfId="2182" priority="17">
      <formula>$E12="MC"</formula>
    </cfRule>
  </conditionalFormatting>
  <conditionalFormatting sqref="A34:A41">
    <cfRule type="expression" dxfId="2181" priority="41567">
      <formula>$E35="MC"</formula>
    </cfRule>
  </conditionalFormatting>
  <conditionalFormatting sqref="A42">
    <cfRule type="expression" dxfId="2180" priority="1">
      <formula>$E43="MC"</formula>
    </cfRule>
  </conditionalFormatting>
  <dataValidations count="4">
    <dataValidation type="date" allowBlank="1" showInputMessage="1" showErrorMessage="1" errorTitle="Data Invalida" error="Você deve inserir uma data no formato XX/XX/XXXX_x000a_" promptTitle="Insira uma Data" prompt="_x000a_Favor inserir uma data válida no formato: XX/XX/XXXX" sqref="F12:F15">
      <formula1>1</formula1>
      <formula2>2958465</formula2>
    </dataValidation>
    <dataValidation type="date" allowBlank="1" showInputMessage="1" showErrorMessage="1" errorTitle="Data Invalida" error="Você deve inserir uma data no formato XX/XX/XXXX_x000a_" promptTitle="Insira uma Data" prompt="Favor inserir uma data válida no formato: XX/XX/XXXX" sqref="F7:F11">
      <formula1>1</formula1>
      <formula2>2958465</formula2>
    </dataValidation>
    <dataValidation type="date" allowBlank="1" showInputMessage="1" showErrorMessage="1" errorTitle="Data Invalida" error="Você deve inserir uma data no formato XX/XX/XXXX" promptTitle="Insira uma Data" prompt="Favor inserir uma data válida no formato: XX/XX/XXXX" sqref="F20">
      <formula1>1</formula1>
      <formula2>2958465</formula2>
    </dataValidation>
    <dataValidation type="list" allowBlank="1" showInputMessage="1" showErrorMessage="1" sqref="T7:T30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54" orientation="portrait" r:id="rId1"/>
  <colBreaks count="1" manualBreakCount="1">
    <brk id="1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2"/>
  <sheetViews>
    <sheetView topLeftCell="A7" zoomScale="70" zoomScaleNormal="70" workbookViewId="0">
      <selection activeCell="B5" sqref="B5"/>
    </sheetView>
  </sheetViews>
  <sheetFormatPr defaultRowHeight="15" x14ac:dyDescent="0.25"/>
  <cols>
    <col min="2" max="2" width="35.42578125" bestFit="1" customWidth="1"/>
    <col min="5" max="5" width="13.7109375" bestFit="1" customWidth="1"/>
    <col min="6" max="6" width="16.28515625" bestFit="1" customWidth="1"/>
    <col min="7" max="7" width="14.28515625" bestFit="1" customWidth="1"/>
    <col min="8" max="8" width="21.85546875" bestFit="1" customWidth="1"/>
    <col min="9" max="9" width="12.28515625" bestFit="1" customWidth="1"/>
  </cols>
  <sheetData>
    <row r="1" spans="1:9" ht="15.75" x14ac:dyDescent="0.25">
      <c r="A1" s="575" t="s">
        <v>0</v>
      </c>
      <c r="B1" s="575"/>
      <c r="C1" s="575"/>
      <c r="D1" s="575"/>
      <c r="E1" s="575"/>
      <c r="F1" s="575"/>
    </row>
    <row r="2" spans="1:9" ht="15.75" x14ac:dyDescent="0.25">
      <c r="A2" s="575" t="s">
        <v>1</v>
      </c>
      <c r="B2" s="575"/>
      <c r="C2" s="575"/>
      <c r="D2" s="575"/>
      <c r="E2" s="575"/>
      <c r="F2" s="575"/>
    </row>
    <row r="3" spans="1:9" ht="18.75" x14ac:dyDescent="0.25">
      <c r="A3" s="576" t="s">
        <v>2</v>
      </c>
      <c r="B3" s="576"/>
      <c r="C3" s="576"/>
      <c r="D3" s="576"/>
      <c r="E3" s="576"/>
      <c r="F3" s="576"/>
    </row>
    <row r="4" spans="1:9" ht="17.25" x14ac:dyDescent="0.3">
      <c r="A4" s="577" t="s">
        <v>212</v>
      </c>
      <c r="B4" s="578"/>
      <c r="C4" s="578"/>
      <c r="D4" s="578"/>
      <c r="E4" s="578"/>
      <c r="F4" s="578"/>
      <c r="G4" s="578"/>
      <c r="H4" s="578"/>
      <c r="I4" s="578"/>
    </row>
    <row r="5" spans="1:9" ht="17.25" x14ac:dyDescent="0.3">
      <c r="A5" s="259">
        <v>13988</v>
      </c>
      <c r="B5" s="272" t="s">
        <v>71</v>
      </c>
      <c r="C5" s="260" t="s">
        <v>17</v>
      </c>
      <c r="D5" s="260" t="str">
        <f>IF(COUNTIF(H5,"*MC*")=1,"MC",IF(B5="","","MA"))</f>
        <v>MA</v>
      </c>
      <c r="E5" s="261">
        <v>39191</v>
      </c>
      <c r="F5" s="266" t="s">
        <v>72</v>
      </c>
      <c r="G5" s="264"/>
      <c r="H5" s="267" t="s">
        <v>213</v>
      </c>
      <c r="I5" s="316"/>
    </row>
    <row r="6" spans="1:9" ht="17.25" x14ac:dyDescent="0.3">
      <c r="A6" s="259"/>
      <c r="B6" s="290"/>
      <c r="C6" s="260"/>
      <c r="D6" s="260"/>
      <c r="E6" s="261"/>
      <c r="F6" s="262"/>
      <c r="G6" s="263"/>
      <c r="H6" s="267"/>
      <c r="I6" s="266"/>
    </row>
    <row r="7" spans="1:9" ht="17.25" x14ac:dyDescent="0.25">
      <c r="A7" s="259"/>
      <c r="B7" s="268"/>
      <c r="C7" s="266"/>
      <c r="D7" s="266"/>
      <c r="E7" s="269"/>
      <c r="F7" s="270"/>
      <c r="G7" s="271"/>
      <c r="H7" s="267"/>
      <c r="I7" s="266"/>
    </row>
    <row r="8" spans="1:9" x14ac:dyDescent="0.25">
      <c r="A8" s="310"/>
      <c r="B8" s="311"/>
      <c r="C8" s="312"/>
      <c r="D8" s="316"/>
      <c r="E8" s="313"/>
      <c r="F8" s="312"/>
      <c r="G8" s="314"/>
      <c r="H8" s="315"/>
      <c r="I8" s="316"/>
    </row>
    <row r="9" spans="1:9" x14ac:dyDescent="0.25">
      <c r="A9" s="310"/>
      <c r="B9" s="322"/>
      <c r="C9" s="312"/>
      <c r="D9" s="312"/>
      <c r="E9" s="313"/>
      <c r="F9" s="312"/>
      <c r="G9" s="323"/>
      <c r="H9" s="315"/>
      <c r="I9" s="323"/>
    </row>
    <row r="10" spans="1:9" x14ac:dyDescent="0.25">
      <c r="A10" s="310"/>
      <c r="B10" s="324"/>
      <c r="C10" s="316"/>
      <c r="D10" s="316"/>
      <c r="E10" s="325"/>
      <c r="F10" s="316"/>
      <c r="G10" s="326"/>
      <c r="H10" s="315"/>
      <c r="I10" s="323"/>
    </row>
    <row r="11" spans="1:9" x14ac:dyDescent="0.25">
      <c r="A11" s="310"/>
      <c r="B11" s="311"/>
      <c r="C11" s="312"/>
      <c r="D11" s="312"/>
      <c r="E11" s="313"/>
      <c r="F11" s="320"/>
      <c r="G11" s="314"/>
      <c r="H11" s="315"/>
      <c r="I11" s="312"/>
    </row>
    <row r="12" spans="1:9" x14ac:dyDescent="0.25">
      <c r="A12" s="310"/>
      <c r="B12" s="311"/>
      <c r="C12" s="312"/>
      <c r="D12" s="316"/>
      <c r="E12" s="313"/>
      <c r="F12" s="312"/>
      <c r="G12" s="314"/>
      <c r="H12" s="315"/>
      <c r="I12" s="323"/>
    </row>
  </sheetData>
  <mergeCells count="4">
    <mergeCell ref="A1:F1"/>
    <mergeCell ref="A2:F2"/>
    <mergeCell ref="A3:F3"/>
    <mergeCell ref="A4:I4"/>
  </mergeCells>
  <conditionalFormatting sqref="D8">
    <cfRule type="expression" dxfId="2179" priority="76">
      <formula>$E8="MC"</formula>
    </cfRule>
  </conditionalFormatting>
  <conditionalFormatting sqref="I5">
    <cfRule type="expression" dxfId="2178" priority="77">
      <formula>#REF!="MC"</formula>
    </cfRule>
  </conditionalFormatting>
  <conditionalFormatting sqref="A8:C8 E8:G8">
    <cfRule type="expression" dxfId="2177" priority="69">
      <formula>$E8="MC"</formula>
    </cfRule>
  </conditionalFormatting>
  <conditionalFormatting sqref="I8">
    <cfRule type="expression" dxfId="2176" priority="68">
      <formula>$E8="MC"</formula>
    </cfRule>
  </conditionalFormatting>
  <conditionalFormatting sqref="H8">
    <cfRule type="expression" dxfId="2175" priority="67">
      <formula>$E8="MC"</formula>
    </cfRule>
  </conditionalFormatting>
  <conditionalFormatting sqref="A9:C9 E9:G9">
    <cfRule type="expression" dxfId="2174" priority="64">
      <formula>$E9="MC"</formula>
    </cfRule>
  </conditionalFormatting>
  <conditionalFormatting sqref="A9:C9 E9:G9">
    <cfRule type="expression" dxfId="2173" priority="63">
      <formula>$E9="MC"</formula>
    </cfRule>
  </conditionalFormatting>
  <conditionalFormatting sqref="A9:C9 E9:G9">
    <cfRule type="expression" dxfId="2172" priority="62">
      <formula>$E9="MC"</formula>
    </cfRule>
  </conditionalFormatting>
  <conditionalFormatting sqref="G9">
    <cfRule type="expression" dxfId="2171" priority="59">
      <formula>$E9="MC"</formula>
    </cfRule>
  </conditionalFormatting>
  <conditionalFormatting sqref="G9">
    <cfRule type="expression" dxfId="2170" priority="58">
      <formula>$E9="MC"</formula>
    </cfRule>
  </conditionalFormatting>
  <conditionalFormatting sqref="G9">
    <cfRule type="expression" dxfId="2169" priority="57">
      <formula>$E9="MC"</formula>
    </cfRule>
  </conditionalFormatting>
  <conditionalFormatting sqref="G9">
    <cfRule type="expression" dxfId="2168" priority="54">
      <formula>$E9="MC"</formula>
    </cfRule>
  </conditionalFormatting>
  <conditionalFormatting sqref="A9:B9 E9:F9">
    <cfRule type="expression" dxfId="2167" priority="51">
      <formula>$E9="MC"</formula>
    </cfRule>
  </conditionalFormatting>
  <conditionalFormatting sqref="A9:B9 E9:G9">
    <cfRule type="expression" dxfId="2166" priority="50">
      <formula>$E9="MC"</formula>
    </cfRule>
  </conditionalFormatting>
  <conditionalFormatting sqref="C9">
    <cfRule type="expression" dxfId="2165" priority="49">
      <formula>$E9="MC"</formula>
    </cfRule>
  </conditionalFormatting>
  <conditionalFormatting sqref="A9:B9 E9:F9">
    <cfRule type="expression" dxfId="2164" priority="53">
      <formula>$E9="MC"</formula>
    </cfRule>
  </conditionalFormatting>
  <conditionalFormatting sqref="G9">
    <cfRule type="expression" dxfId="2163" priority="52">
      <formula>$E9="MC"</formula>
    </cfRule>
  </conditionalFormatting>
  <conditionalFormatting sqref="C9">
    <cfRule type="expression" dxfId="2162" priority="48">
      <formula>$E9="MC"</formula>
    </cfRule>
  </conditionalFormatting>
  <conditionalFormatting sqref="C9">
    <cfRule type="expression" dxfId="2161" priority="45">
      <formula>$E9="MC"</formula>
    </cfRule>
  </conditionalFormatting>
  <conditionalFormatting sqref="C9">
    <cfRule type="expression" dxfId="2160" priority="44">
      <formula>$E9="MC"</formula>
    </cfRule>
  </conditionalFormatting>
  <conditionalFormatting sqref="C9">
    <cfRule type="expression" dxfId="2159" priority="47">
      <formula>$E9="MC"</formula>
    </cfRule>
  </conditionalFormatting>
  <conditionalFormatting sqref="C9">
    <cfRule type="expression" dxfId="2158" priority="46">
      <formula>$E9="MC"</formula>
    </cfRule>
  </conditionalFormatting>
  <conditionalFormatting sqref="A9:C9 E9:G9">
    <cfRule type="expression" dxfId="2157" priority="66">
      <formula>$E9="MC"</formula>
    </cfRule>
  </conditionalFormatting>
  <conditionalFormatting sqref="A9:C9 E9:G9">
    <cfRule type="expression" dxfId="2156" priority="61">
      <formula>$E9="MC"</formula>
    </cfRule>
  </conditionalFormatting>
  <conditionalFormatting sqref="A9:C9 E9:G9">
    <cfRule type="expression" dxfId="2155" priority="65">
      <formula>$E9="MC"</formula>
    </cfRule>
  </conditionalFormatting>
  <conditionalFormatting sqref="G9">
    <cfRule type="expression" dxfId="2154" priority="60">
      <formula>$E9="MC"</formula>
    </cfRule>
  </conditionalFormatting>
  <conditionalFormatting sqref="G9">
    <cfRule type="expression" dxfId="2153" priority="56">
      <formula>$E9="MC"</formula>
    </cfRule>
  </conditionalFormatting>
  <conditionalFormatting sqref="A9:B9 E9:F9">
    <cfRule type="expression" dxfId="2152" priority="55">
      <formula>$E9="MC"</formula>
    </cfRule>
  </conditionalFormatting>
  <conditionalFormatting sqref="H9">
    <cfRule type="expression" dxfId="2151" priority="43">
      <formula>$E9="MC"</formula>
    </cfRule>
  </conditionalFormatting>
  <conditionalFormatting sqref="I9">
    <cfRule type="expression" dxfId="2150" priority="42">
      <formula>$E9="MC"</formula>
    </cfRule>
  </conditionalFormatting>
  <conditionalFormatting sqref="D9">
    <cfRule type="expression" dxfId="2149" priority="41">
      <formula>$E9="MC"</formula>
    </cfRule>
  </conditionalFormatting>
  <conditionalFormatting sqref="D10">
    <cfRule type="expression" dxfId="2148" priority="40">
      <formula>$E10="MC"</formula>
    </cfRule>
  </conditionalFormatting>
  <conditionalFormatting sqref="H10">
    <cfRule type="expression" dxfId="2147" priority="39">
      <formula>$E10="MC"</formula>
    </cfRule>
  </conditionalFormatting>
  <conditionalFormatting sqref="D11">
    <cfRule type="expression" dxfId="2146" priority="38">
      <formula>$E11="MC"</formula>
    </cfRule>
  </conditionalFormatting>
  <conditionalFormatting sqref="A11:C11 E11:G11 I11">
    <cfRule type="expression" dxfId="2145" priority="37">
      <formula>$E11="MC"</formula>
    </cfRule>
  </conditionalFormatting>
  <conditionalFormatting sqref="H11">
    <cfRule type="expression" dxfId="2144" priority="36">
      <formula>$E11="MC"</formula>
    </cfRule>
  </conditionalFormatting>
  <conditionalFormatting sqref="I12">
    <cfRule type="expression" dxfId="2143" priority="35">
      <formula>$E12="MC"</formula>
    </cfRule>
  </conditionalFormatting>
  <conditionalFormatting sqref="D12">
    <cfRule type="expression" dxfId="2142" priority="34">
      <formula>$E12="MC"</formula>
    </cfRule>
  </conditionalFormatting>
  <conditionalFormatting sqref="A12:C12 E12:G12">
    <cfRule type="expression" dxfId="2141" priority="16">
      <formula>$E12="MC"</formula>
    </cfRule>
  </conditionalFormatting>
  <conditionalFormatting sqref="G12">
    <cfRule type="expression" dxfId="2140" priority="33">
      <formula>$E12="MC"</formula>
    </cfRule>
  </conditionalFormatting>
  <conditionalFormatting sqref="G12">
    <cfRule type="expression" dxfId="2139" priority="32">
      <formula>$E12="MC"</formula>
    </cfRule>
  </conditionalFormatting>
  <conditionalFormatting sqref="G12">
    <cfRule type="expression" dxfId="2138" priority="31">
      <formula>$E12="MC"</formula>
    </cfRule>
  </conditionalFormatting>
  <conditionalFormatting sqref="G12">
    <cfRule type="expression" dxfId="2137" priority="30">
      <formula>$E12="MC"</formula>
    </cfRule>
  </conditionalFormatting>
  <conditionalFormatting sqref="G12">
    <cfRule type="expression" dxfId="2136" priority="29">
      <formula>$E12="MC"</formula>
    </cfRule>
  </conditionalFormatting>
  <conditionalFormatting sqref="A12:C12 E12:F12">
    <cfRule type="expression" dxfId="2135" priority="28">
      <formula>$E12="MC"</formula>
    </cfRule>
  </conditionalFormatting>
  <conditionalFormatting sqref="A12:C12 E12:G12">
    <cfRule type="expression" dxfId="2134" priority="27">
      <formula>$E12="MC"</formula>
    </cfRule>
  </conditionalFormatting>
  <conditionalFormatting sqref="A12:C12 E12:G12">
    <cfRule type="expression" dxfId="2133" priority="26">
      <formula>$E12="MC"</formula>
    </cfRule>
  </conditionalFormatting>
  <conditionalFormatting sqref="A12:C12 E12:G12">
    <cfRule type="expression" dxfId="2132" priority="25">
      <formula>$E12="MC"</formula>
    </cfRule>
  </conditionalFormatting>
  <conditionalFormatting sqref="A12:C12 E12:G12">
    <cfRule type="expression" dxfId="2131" priority="24">
      <formula>$E12="MC"</formula>
    </cfRule>
  </conditionalFormatting>
  <conditionalFormatting sqref="A12:C12 E12:G12">
    <cfRule type="expression" dxfId="2130" priority="23">
      <formula>$E12="MC"</formula>
    </cfRule>
  </conditionalFormatting>
  <conditionalFormatting sqref="A12:C12 E12:G12">
    <cfRule type="expression" dxfId="2129" priority="22">
      <formula>$E12="MC"</formula>
    </cfRule>
  </conditionalFormatting>
  <conditionalFormatting sqref="A12:C12 E12:G12">
    <cfRule type="expression" dxfId="2128" priority="21">
      <formula>$E12="MC"</formula>
    </cfRule>
  </conditionalFormatting>
  <conditionalFormatting sqref="A12:C12 E12:G12">
    <cfRule type="expression" dxfId="2127" priority="20">
      <formula>$E12="MC"</formula>
    </cfRule>
  </conditionalFormatting>
  <conditionalFormatting sqref="A12:C12 E12:G12">
    <cfRule type="expression" dxfId="2126" priority="19">
      <formula>$E12="MC"</formula>
    </cfRule>
  </conditionalFormatting>
  <conditionalFormatting sqref="A12:C12 E12:G12">
    <cfRule type="expression" dxfId="2125" priority="18">
      <formula>$E12="MC"</formula>
    </cfRule>
  </conditionalFormatting>
  <conditionalFormatting sqref="A12:C12 E12:G12">
    <cfRule type="expression" dxfId="2124" priority="17">
      <formula>$E12="MC"</formula>
    </cfRule>
  </conditionalFormatting>
  <conditionalFormatting sqref="A12:C12 E12:G12">
    <cfRule type="expression" dxfId="2123" priority="15">
      <formula>$E12="MC"</formula>
    </cfRule>
  </conditionalFormatting>
  <conditionalFormatting sqref="H12">
    <cfRule type="expression" dxfId="2122" priority="14">
      <formula>$E12="MC"</formula>
    </cfRule>
  </conditionalFormatting>
  <conditionalFormatting sqref="A6:C6 E6:G6">
    <cfRule type="expression" dxfId="2121" priority="9">
      <formula>$E6="MC"</formula>
    </cfRule>
  </conditionalFormatting>
  <conditionalFormatting sqref="A6:C6 E6:G6">
    <cfRule type="expression" dxfId="2120" priority="8">
      <formula>$E6="MC"</formula>
    </cfRule>
  </conditionalFormatting>
  <conditionalFormatting sqref="A6:C6 E6:G6">
    <cfRule type="expression" dxfId="2119" priority="6">
      <formula>$E6="MC"</formula>
    </cfRule>
  </conditionalFormatting>
  <conditionalFormatting sqref="D6">
    <cfRule type="expression" dxfId="2118" priority="11">
      <formula>$E6="MC"</formula>
    </cfRule>
  </conditionalFormatting>
  <conditionalFormatting sqref="I6">
    <cfRule type="expression" dxfId="2117" priority="10">
      <formula>$E6="MC"</formula>
    </cfRule>
  </conditionalFormatting>
  <conditionalFormatting sqref="A6:C6 E6:G6">
    <cfRule type="expression" dxfId="2116" priority="7">
      <formula>$E6="MC"</formula>
    </cfRule>
  </conditionalFormatting>
  <conditionalFormatting sqref="A7:C7 E7:G7">
    <cfRule type="expression" dxfId="2115" priority="4">
      <formula>$E7="MC"</formula>
    </cfRule>
  </conditionalFormatting>
  <conditionalFormatting sqref="D7">
    <cfRule type="expression" dxfId="2114" priority="3">
      <formula>$E7="MC"</formula>
    </cfRule>
  </conditionalFormatting>
  <conditionalFormatting sqref="D5">
    <cfRule type="expression" dxfId="2113" priority="2">
      <formula>$E5="MC"</formula>
    </cfRule>
  </conditionalFormatting>
  <conditionalFormatting sqref="A5:C5 E5:G5">
    <cfRule type="expression" dxfId="2112" priority="1">
      <formula>$E5="MC"</formula>
    </cfRule>
  </conditionalFormatting>
  <dataValidations count="2">
    <dataValidation type="list" allowBlank="1" showInputMessage="1" showErrorMessage="1" sqref="I11:I12 I5:I9">
      <formula1>"DISP.TRABALHO,DISP.PROLE,DISP.IDADE,DISP.MÉDICA"</formula1>
    </dataValidation>
    <dataValidation type="list" allowBlank="1" showInputMessage="1" showErrorMessage="1" sqref="I10">
      <formula1>"DISP.TRABALHO,DISP.PROLE,DISP.IDADE"</formula1>
    </dataValidation>
  </dataValidations>
  <pageMargins left="0.511811024" right="0.511811024" top="0.78740157499999996" bottom="0.78740157499999996" header="0.31496062000000002" footer="0.31496062000000002"/>
  <pageSetup paperSize="9" scale="65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3106825C-0528-43BC-936B-D36215C2C26D}">
            <xm:f>'\\seduc-1302\DADOS\SECRETARIA\2024\LISTA PILOTO 2024\[LISTA PILOTO - EJA 1º SEM 2024.xlsx]6ª'!#REF!="MC"</xm:f>
            <x14:dxf>
              <font>
                <b/>
                <i val="0"/>
                <color rgb="FFFF0000"/>
              </font>
            </x14:dxf>
          </x14:cfRule>
          <xm:sqref>I7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topLeftCell="A4" zoomScale="112" zoomScaleNormal="112" workbookViewId="0">
      <selection activeCell="B11" sqref="B11"/>
    </sheetView>
  </sheetViews>
  <sheetFormatPr defaultRowHeight="15" x14ac:dyDescent="0.25"/>
  <cols>
    <col min="2" max="2" width="35.42578125" bestFit="1" customWidth="1"/>
    <col min="5" max="5" width="11.85546875" bestFit="1" customWidth="1"/>
    <col min="6" max="6" width="13.28515625" bestFit="1" customWidth="1"/>
  </cols>
  <sheetData>
    <row r="1" spans="1:8" ht="15.75" x14ac:dyDescent="0.25">
      <c r="A1" s="575" t="s">
        <v>0</v>
      </c>
      <c r="B1" s="575"/>
      <c r="C1" s="575"/>
      <c r="D1" s="575"/>
      <c r="E1" s="575"/>
      <c r="F1" s="575"/>
    </row>
    <row r="2" spans="1:8" ht="15.75" x14ac:dyDescent="0.25">
      <c r="A2" s="575" t="s">
        <v>1</v>
      </c>
      <c r="B2" s="575"/>
      <c r="C2" s="575"/>
      <c r="D2" s="575"/>
      <c r="E2" s="575"/>
      <c r="F2" s="575"/>
    </row>
    <row r="3" spans="1:8" ht="18.75" x14ac:dyDescent="0.25">
      <c r="A3" s="576" t="s">
        <v>2</v>
      </c>
      <c r="B3" s="576"/>
      <c r="C3" s="576"/>
      <c r="D3" s="576"/>
      <c r="E3" s="576"/>
      <c r="F3" s="576"/>
    </row>
    <row r="4" spans="1:8" ht="17.25" x14ac:dyDescent="0.3">
      <c r="A4" s="579" t="s">
        <v>82</v>
      </c>
      <c r="B4" s="580"/>
      <c r="C4" s="580"/>
      <c r="D4" s="580"/>
      <c r="E4" s="580"/>
      <c r="F4" s="580"/>
      <c r="G4" s="580"/>
      <c r="H4" s="580"/>
    </row>
    <row r="5" spans="1:8" x14ac:dyDescent="0.25">
      <c r="A5" s="310">
        <v>18175</v>
      </c>
      <c r="B5" s="311" t="s">
        <v>190</v>
      </c>
      <c r="C5" s="312" t="s">
        <v>17</v>
      </c>
      <c r="D5" s="312" t="s">
        <v>4</v>
      </c>
      <c r="E5" s="313">
        <v>39093</v>
      </c>
      <c r="F5" s="312" t="s">
        <v>191</v>
      </c>
      <c r="G5" s="314"/>
      <c r="H5" s="315" t="s">
        <v>189</v>
      </c>
    </row>
    <row r="6" spans="1:8" x14ac:dyDescent="0.25">
      <c r="A6" s="310">
        <v>18136</v>
      </c>
      <c r="B6" s="317" t="s">
        <v>192</v>
      </c>
      <c r="C6" s="318" t="s">
        <v>17</v>
      </c>
      <c r="D6" s="312" t="s">
        <v>4</v>
      </c>
      <c r="E6" s="319">
        <v>39553</v>
      </c>
      <c r="F6" s="320" t="s">
        <v>193</v>
      </c>
      <c r="G6" s="321"/>
      <c r="H6" s="315" t="s">
        <v>189</v>
      </c>
    </row>
    <row r="7" spans="1:8" x14ac:dyDescent="0.25">
      <c r="A7" s="310">
        <v>18380</v>
      </c>
      <c r="B7" s="311" t="s">
        <v>194</v>
      </c>
      <c r="C7" s="312" t="s">
        <v>16</v>
      </c>
      <c r="D7" s="316" t="s">
        <v>4</v>
      </c>
      <c r="E7" s="313">
        <v>25413</v>
      </c>
      <c r="F7" s="312" t="s">
        <v>195</v>
      </c>
      <c r="G7" s="312" t="s">
        <v>195</v>
      </c>
      <c r="H7" s="315" t="s">
        <v>189</v>
      </c>
    </row>
    <row r="8" spans="1:8" x14ac:dyDescent="0.25">
      <c r="A8" s="310">
        <v>18396</v>
      </c>
      <c r="B8" s="311" t="s">
        <v>196</v>
      </c>
      <c r="C8" s="312" t="s">
        <v>17</v>
      </c>
      <c r="D8" s="316" t="s">
        <v>4</v>
      </c>
      <c r="E8" s="313">
        <v>39496</v>
      </c>
      <c r="F8" s="312" t="s">
        <v>197</v>
      </c>
      <c r="G8" s="314" t="s">
        <v>198</v>
      </c>
      <c r="H8" s="315" t="s">
        <v>189</v>
      </c>
    </row>
    <row r="9" spans="1:8" x14ac:dyDescent="0.25">
      <c r="A9" s="310">
        <v>18310</v>
      </c>
      <c r="B9" s="322" t="s">
        <v>199</v>
      </c>
      <c r="C9" s="312" t="s">
        <v>16</v>
      </c>
      <c r="D9" s="312" t="s">
        <v>4</v>
      </c>
      <c r="E9" s="313">
        <v>38827</v>
      </c>
      <c r="F9" s="312" t="s">
        <v>200</v>
      </c>
      <c r="G9" s="323" t="s">
        <v>201</v>
      </c>
      <c r="H9" s="315" t="s">
        <v>202</v>
      </c>
    </row>
    <row r="10" spans="1:8" x14ac:dyDescent="0.25">
      <c r="A10" s="310">
        <v>18367</v>
      </c>
      <c r="B10" s="324" t="s">
        <v>203</v>
      </c>
      <c r="C10" s="316" t="s">
        <v>17</v>
      </c>
      <c r="D10" s="316" t="s">
        <v>4</v>
      </c>
      <c r="E10" s="325">
        <v>39446</v>
      </c>
      <c r="F10" s="316" t="s">
        <v>204</v>
      </c>
      <c r="G10" s="326" t="s">
        <v>205</v>
      </c>
      <c r="H10" s="315" t="s">
        <v>202</v>
      </c>
    </row>
    <row r="11" spans="1:8" x14ac:dyDescent="0.25">
      <c r="A11" s="310">
        <v>17478</v>
      </c>
      <c r="B11" s="311" t="s">
        <v>206</v>
      </c>
      <c r="C11" s="312" t="s">
        <v>16</v>
      </c>
      <c r="D11" s="312" t="s">
        <v>4</v>
      </c>
      <c r="E11" s="313">
        <v>37200</v>
      </c>
      <c r="F11" s="320" t="s">
        <v>207</v>
      </c>
      <c r="G11" s="314"/>
      <c r="H11" s="315" t="s">
        <v>208</v>
      </c>
    </row>
    <row r="12" spans="1:8" x14ac:dyDescent="0.25">
      <c r="A12" s="310">
        <v>15576</v>
      </c>
      <c r="B12" s="311" t="s">
        <v>209</v>
      </c>
      <c r="C12" s="312" t="s">
        <v>17</v>
      </c>
      <c r="D12" s="316" t="s">
        <v>4</v>
      </c>
      <c r="E12" s="313">
        <v>36767</v>
      </c>
      <c r="F12" s="312" t="s">
        <v>210</v>
      </c>
      <c r="G12" s="314" t="s">
        <v>211</v>
      </c>
      <c r="H12" s="315" t="s">
        <v>208</v>
      </c>
    </row>
  </sheetData>
  <mergeCells count="4">
    <mergeCell ref="A1:F1"/>
    <mergeCell ref="A2:F2"/>
    <mergeCell ref="A3:F3"/>
    <mergeCell ref="A4:H4"/>
  </mergeCells>
  <conditionalFormatting sqref="D8 A6:H6 D5">
    <cfRule type="expression" dxfId="2110" priority="58">
      <formula>$E5="MC"</formula>
    </cfRule>
  </conditionalFormatting>
  <conditionalFormatting sqref="H5">
    <cfRule type="expression" dxfId="2109" priority="57">
      <formula>$E5="MC"</formula>
    </cfRule>
  </conditionalFormatting>
  <conditionalFormatting sqref="A7:C7 E7:G7">
    <cfRule type="expression" dxfId="2108" priority="56">
      <formula>$E7="MC"</formula>
    </cfRule>
  </conditionalFormatting>
  <conditionalFormatting sqref="D7">
    <cfRule type="expression" dxfId="2107" priority="55">
      <formula>$E7="MC"</formula>
    </cfRule>
  </conditionalFormatting>
  <conditionalFormatting sqref="H7">
    <cfRule type="expression" dxfId="2106" priority="54">
      <formula>$E7="MC"</formula>
    </cfRule>
  </conditionalFormatting>
  <conditionalFormatting sqref="A8:C8 E8:G8">
    <cfRule type="expression" dxfId="2105" priority="53">
      <formula>$E8="MC"</formula>
    </cfRule>
  </conditionalFormatting>
  <conditionalFormatting sqref="H8">
    <cfRule type="expression" dxfId="2104" priority="52">
      <formula>$E8="MC"</formula>
    </cfRule>
  </conditionalFormatting>
  <conditionalFormatting sqref="A9:C9 E9:G9">
    <cfRule type="expression" dxfId="2103" priority="49">
      <formula>$E9="MC"</formula>
    </cfRule>
  </conditionalFormatting>
  <conditionalFormatting sqref="A9:C9 E9:G9">
    <cfRule type="expression" dxfId="2102" priority="48">
      <formula>$E9="MC"</formula>
    </cfRule>
  </conditionalFormatting>
  <conditionalFormatting sqref="A9:C9 E9:G9">
    <cfRule type="expression" dxfId="2101" priority="47">
      <formula>$E9="MC"</formula>
    </cfRule>
  </conditionalFormatting>
  <conditionalFormatting sqref="G9">
    <cfRule type="expression" dxfId="2100" priority="44">
      <formula>$E9="MC"</formula>
    </cfRule>
  </conditionalFormatting>
  <conditionalFormatting sqref="G9">
    <cfRule type="expression" dxfId="2099" priority="43">
      <formula>$E9="MC"</formula>
    </cfRule>
  </conditionalFormatting>
  <conditionalFormatting sqref="G9">
    <cfRule type="expression" dxfId="2098" priority="42">
      <formula>$E9="MC"</formula>
    </cfRule>
  </conditionalFormatting>
  <conditionalFormatting sqref="G9">
    <cfRule type="expression" dxfId="2097" priority="39">
      <formula>$E9="MC"</formula>
    </cfRule>
  </conditionalFormatting>
  <conditionalFormatting sqref="A9:B9 E9:F9">
    <cfRule type="expression" dxfId="2096" priority="36">
      <formula>$E9="MC"</formula>
    </cfRule>
  </conditionalFormatting>
  <conditionalFormatting sqref="A9:B9 E9:G9">
    <cfRule type="expression" dxfId="2095" priority="35">
      <formula>$E9="MC"</formula>
    </cfRule>
  </conditionalFormatting>
  <conditionalFormatting sqref="C9">
    <cfRule type="expression" dxfId="2094" priority="34">
      <formula>$E9="MC"</formula>
    </cfRule>
  </conditionalFormatting>
  <conditionalFormatting sqref="A9:B9 E9:F9">
    <cfRule type="expression" dxfId="2093" priority="38">
      <formula>$E9="MC"</formula>
    </cfRule>
  </conditionalFormatting>
  <conditionalFormatting sqref="G9">
    <cfRule type="expression" dxfId="2092" priority="37">
      <formula>$E9="MC"</formula>
    </cfRule>
  </conditionalFormatting>
  <conditionalFormatting sqref="C9">
    <cfRule type="expression" dxfId="2091" priority="33">
      <formula>$E9="MC"</formula>
    </cfRule>
  </conditionalFormatting>
  <conditionalFormatting sqref="C9">
    <cfRule type="expression" dxfId="2090" priority="30">
      <formula>$E9="MC"</formula>
    </cfRule>
  </conditionalFormatting>
  <conditionalFormatting sqref="C9">
    <cfRule type="expression" dxfId="2089" priority="29">
      <formula>$E9="MC"</formula>
    </cfRule>
  </conditionalFormatting>
  <conditionalFormatting sqref="C9">
    <cfRule type="expression" dxfId="2088" priority="32">
      <formula>$E9="MC"</formula>
    </cfRule>
  </conditionalFormatting>
  <conditionalFormatting sqref="C9">
    <cfRule type="expression" dxfId="2087" priority="31">
      <formula>$E9="MC"</formula>
    </cfRule>
  </conditionalFormatting>
  <conditionalFormatting sqref="A9:C9 E9:G9">
    <cfRule type="expression" dxfId="2086" priority="51">
      <formula>$E9="MC"</formula>
    </cfRule>
  </conditionalFormatting>
  <conditionalFormatting sqref="A9:C9 E9:G9">
    <cfRule type="expression" dxfId="2085" priority="46">
      <formula>$E9="MC"</formula>
    </cfRule>
  </conditionalFormatting>
  <conditionalFormatting sqref="A9:C9 E9:G9">
    <cfRule type="expression" dxfId="2084" priority="50">
      <formula>$E9="MC"</formula>
    </cfRule>
  </conditionalFormatting>
  <conditionalFormatting sqref="G9">
    <cfRule type="expression" dxfId="2083" priority="45">
      <formula>$E9="MC"</formula>
    </cfRule>
  </conditionalFormatting>
  <conditionalFormatting sqref="G9">
    <cfRule type="expression" dxfId="2082" priority="41">
      <formula>$E9="MC"</formula>
    </cfRule>
  </conditionalFormatting>
  <conditionalFormatting sqref="A9:B9 E9:F9">
    <cfRule type="expression" dxfId="2081" priority="40">
      <formula>$E9="MC"</formula>
    </cfRule>
  </conditionalFormatting>
  <conditionalFormatting sqref="H9">
    <cfRule type="expression" dxfId="2080" priority="28">
      <formula>$E9="MC"</formula>
    </cfRule>
  </conditionalFormatting>
  <conditionalFormatting sqref="D9">
    <cfRule type="expression" dxfId="2079" priority="27">
      <formula>$E9="MC"</formula>
    </cfRule>
  </conditionalFormatting>
  <conditionalFormatting sqref="D10">
    <cfRule type="expression" dxfId="2078" priority="26">
      <formula>$E10="MC"</formula>
    </cfRule>
  </conditionalFormatting>
  <conditionalFormatting sqref="H10">
    <cfRule type="expression" dxfId="2077" priority="25">
      <formula>$E10="MC"</formula>
    </cfRule>
  </conditionalFormatting>
  <conditionalFormatting sqref="D11">
    <cfRule type="expression" dxfId="2076" priority="24">
      <formula>$E11="MC"</formula>
    </cfRule>
  </conditionalFormatting>
  <conditionalFormatting sqref="A11:C11 E11:G11">
    <cfRule type="expression" dxfId="2075" priority="23">
      <formula>$E11="MC"</formula>
    </cfRule>
  </conditionalFormatting>
  <conditionalFormatting sqref="H11">
    <cfRule type="expression" dxfId="2074" priority="22">
      <formula>$E11="MC"</formula>
    </cfRule>
  </conditionalFormatting>
  <conditionalFormatting sqref="D12">
    <cfRule type="expression" dxfId="2073" priority="21">
      <formula>$E12="MC"</formula>
    </cfRule>
  </conditionalFormatting>
  <conditionalFormatting sqref="A12:C12 E12:G12">
    <cfRule type="expression" dxfId="2072" priority="3">
      <formula>$E12="MC"</formula>
    </cfRule>
  </conditionalFormatting>
  <conditionalFormatting sqref="G12">
    <cfRule type="expression" dxfId="2071" priority="20">
      <formula>$E12="MC"</formula>
    </cfRule>
  </conditionalFormatting>
  <conditionalFormatting sqref="G12">
    <cfRule type="expression" dxfId="2070" priority="19">
      <formula>$E12="MC"</formula>
    </cfRule>
  </conditionalFormatting>
  <conditionalFormatting sqref="G12">
    <cfRule type="expression" dxfId="2069" priority="18">
      <formula>$E12="MC"</formula>
    </cfRule>
  </conditionalFormatting>
  <conditionalFormatting sqref="G12">
    <cfRule type="expression" dxfId="2068" priority="17">
      <formula>$E12="MC"</formula>
    </cfRule>
  </conditionalFormatting>
  <conditionalFormatting sqref="G12">
    <cfRule type="expression" dxfId="2067" priority="16">
      <formula>$E12="MC"</formula>
    </cfRule>
  </conditionalFormatting>
  <conditionalFormatting sqref="A12:C12 E12:F12">
    <cfRule type="expression" dxfId="2066" priority="15">
      <formula>$E12="MC"</formula>
    </cfRule>
  </conditionalFormatting>
  <conditionalFormatting sqref="A12:C12 E12:G12">
    <cfRule type="expression" dxfId="2065" priority="14">
      <formula>$E12="MC"</formula>
    </cfRule>
  </conditionalFormatting>
  <conditionalFormatting sqref="A12:C12 E12:G12">
    <cfRule type="expression" dxfId="2064" priority="13">
      <formula>$E12="MC"</formula>
    </cfRule>
  </conditionalFormatting>
  <conditionalFormatting sqref="A12:C12 E12:G12">
    <cfRule type="expression" dxfId="2063" priority="12">
      <formula>$E12="MC"</formula>
    </cfRule>
  </conditionalFormatting>
  <conditionalFormatting sqref="A12:C12 E12:G12">
    <cfRule type="expression" dxfId="2062" priority="11">
      <formula>$E12="MC"</formula>
    </cfRule>
  </conditionalFormatting>
  <conditionalFormatting sqref="A12:C12 E12:G12">
    <cfRule type="expression" dxfId="2061" priority="10">
      <formula>$E12="MC"</formula>
    </cfRule>
  </conditionalFormatting>
  <conditionalFormatting sqref="A12:C12 E12:G12">
    <cfRule type="expression" dxfId="2060" priority="9">
      <formula>$E12="MC"</formula>
    </cfRule>
  </conditionalFormatting>
  <conditionalFormatting sqref="A12:C12 E12:G12">
    <cfRule type="expression" dxfId="2059" priority="8">
      <formula>$E12="MC"</formula>
    </cfRule>
  </conditionalFormatting>
  <conditionalFormatting sqref="A12:C12 E12:G12">
    <cfRule type="expression" dxfId="2058" priority="7">
      <formula>$E12="MC"</formula>
    </cfRule>
  </conditionalFormatting>
  <conditionalFormatting sqref="A12:C12 E12:G12">
    <cfRule type="expression" dxfId="2057" priority="6">
      <formula>$E12="MC"</formula>
    </cfRule>
  </conditionalFormatting>
  <conditionalFormatting sqref="A12:C12 E12:G12">
    <cfRule type="expression" dxfId="2056" priority="5">
      <formula>$E12="MC"</formula>
    </cfRule>
  </conditionalFormatting>
  <conditionalFormatting sqref="A12:C12 E12:G12">
    <cfRule type="expression" dxfId="2055" priority="4">
      <formula>$E12="MC"</formula>
    </cfRule>
  </conditionalFormatting>
  <conditionalFormatting sqref="A12:C12 E12:G12">
    <cfRule type="expression" dxfId="2054" priority="2">
      <formula>$E12="MC"</formula>
    </cfRule>
  </conditionalFormatting>
  <conditionalFormatting sqref="H12">
    <cfRule type="expression" dxfId="2053" priority="1">
      <formula>$E12="MC"</formula>
    </cfRule>
  </conditionalFormatting>
  <pageMargins left="0.511811024" right="0.511811024" top="0.78740157499999996" bottom="0.78740157499999996" header="0.31496062000000002" footer="0.31496062000000002"/>
  <pageSetup paperSize="9" scale="8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0"/>
  <sheetViews>
    <sheetView view="pageBreakPreview" zoomScale="70" zoomScaleNormal="55" zoomScaleSheetLayoutView="70" workbookViewId="0">
      <selection activeCell="C15" sqref="C15"/>
    </sheetView>
  </sheetViews>
  <sheetFormatPr defaultColWidth="9.140625" defaultRowHeight="15.75" x14ac:dyDescent="0.25"/>
  <cols>
    <col min="1" max="1" width="3.7109375" style="16" customWidth="1"/>
    <col min="2" max="2" width="8" style="16" customWidth="1"/>
    <col min="3" max="3" width="47.85546875" style="21" customWidth="1"/>
    <col min="4" max="4" width="3" style="17" customWidth="1"/>
    <col min="5" max="5" width="5.140625" style="17" customWidth="1"/>
    <col min="6" max="6" width="13.5703125" style="26" customWidth="1"/>
    <col min="7" max="7" width="14" style="17" customWidth="1"/>
    <col min="8" max="8" width="14" style="24" customWidth="1"/>
    <col min="9" max="9" width="17.5703125" style="50" customWidth="1"/>
    <col min="10" max="10" width="20" style="179" customWidth="1"/>
    <col min="11" max="11" width="7.7109375" style="50" customWidth="1"/>
    <col min="12" max="12" width="7.85546875" style="175" customWidth="1"/>
    <col min="13" max="13" width="3.42578125" style="4" customWidth="1"/>
    <col min="14" max="15" width="4.140625" style="4" customWidth="1"/>
    <col min="16" max="16" width="6.5703125" style="4" customWidth="1"/>
    <col min="17" max="17" width="5.5703125" style="4" customWidth="1"/>
    <col min="18" max="18" width="7.28515625" style="4" customWidth="1"/>
    <col min="19" max="19" width="7.5703125" style="4" customWidth="1"/>
    <col min="20" max="20" width="12.5703125" style="4" customWidth="1"/>
    <col min="21" max="16384" width="9.140625" style="4"/>
  </cols>
  <sheetData>
    <row r="1" spans="1:21" x14ac:dyDescent="0.25">
      <c r="A1" s="14"/>
      <c r="B1" s="15"/>
      <c r="C1" s="575" t="s">
        <v>0</v>
      </c>
      <c r="D1" s="575"/>
      <c r="E1" s="575"/>
      <c r="F1" s="575"/>
      <c r="G1" s="575"/>
      <c r="H1" s="575"/>
      <c r="I1" s="47"/>
      <c r="J1" s="3"/>
      <c r="K1" s="47"/>
      <c r="L1" s="49"/>
    </row>
    <row r="2" spans="1:21" x14ac:dyDescent="0.25">
      <c r="A2" s="14"/>
      <c r="B2" s="15"/>
      <c r="C2" s="575" t="s">
        <v>1</v>
      </c>
      <c r="D2" s="575"/>
      <c r="E2" s="575"/>
      <c r="F2" s="575"/>
      <c r="G2" s="575"/>
      <c r="H2" s="575"/>
      <c r="I2" s="48"/>
      <c r="J2" s="5"/>
      <c r="K2" s="48"/>
      <c r="L2" s="48"/>
    </row>
    <row r="3" spans="1:21" ht="18.75" x14ac:dyDescent="0.25">
      <c r="A3" s="14"/>
      <c r="B3" s="15"/>
      <c r="C3" s="576" t="s">
        <v>2</v>
      </c>
      <c r="D3" s="576"/>
      <c r="E3" s="576"/>
      <c r="F3" s="576"/>
      <c r="G3" s="576"/>
      <c r="H3" s="576"/>
      <c r="I3" s="49"/>
      <c r="J3" s="6"/>
      <c r="K3" s="49"/>
      <c r="L3" s="49"/>
      <c r="P3" s="25"/>
    </row>
    <row r="4" spans="1:21" ht="19.5" thickBot="1" x14ac:dyDescent="0.3">
      <c r="A4" s="14"/>
      <c r="B4" s="14"/>
      <c r="C4" s="581" t="s">
        <v>86</v>
      </c>
      <c r="D4" s="581"/>
      <c r="E4" s="581"/>
      <c r="F4" s="581"/>
      <c r="G4" s="581"/>
      <c r="H4" s="581"/>
      <c r="I4" s="155"/>
      <c r="J4" s="5"/>
      <c r="K4" s="48"/>
      <c r="L4" s="48"/>
      <c r="N4" s="123"/>
      <c r="O4" s="123"/>
    </row>
    <row r="5" spans="1:21" customFormat="1" ht="19.5" thickBot="1" x14ac:dyDescent="0.35">
      <c r="A5" s="582" t="s">
        <v>40</v>
      </c>
      <c r="B5" s="583"/>
      <c r="C5" s="583"/>
      <c r="D5" s="583"/>
      <c r="E5" s="88" t="s">
        <v>44</v>
      </c>
      <c r="F5" s="94">
        <f>'[4]Total de Alunos'!B18</f>
        <v>0</v>
      </c>
      <c r="G5" s="89" t="s">
        <v>35</v>
      </c>
      <c r="H5" s="90">
        <f ca="1">TODAY()</f>
        <v>45931</v>
      </c>
      <c r="I5" s="122" t="s">
        <v>43</v>
      </c>
      <c r="J5" s="121"/>
      <c r="K5" s="45"/>
      <c r="L5" s="173"/>
      <c r="M5" s="7"/>
      <c r="N5" s="124"/>
      <c r="O5" s="124"/>
      <c r="P5" s="40"/>
      <c r="Q5" s="11" t="s">
        <v>4</v>
      </c>
      <c r="R5" s="12" t="s">
        <v>5</v>
      </c>
      <c r="S5" s="13" t="s">
        <v>30</v>
      </c>
      <c r="T5" s="87" t="s">
        <v>33</v>
      </c>
      <c r="U5" s="180" t="s">
        <v>34</v>
      </c>
    </row>
    <row r="6" spans="1:21" s="19" customFormat="1" ht="19.5" thickBot="1" x14ac:dyDescent="0.35">
      <c r="A6" s="138" t="s">
        <v>24</v>
      </c>
      <c r="B6" s="125" t="s">
        <v>8</v>
      </c>
      <c r="C6" s="126" t="s">
        <v>9</v>
      </c>
      <c r="D6" s="127" t="s">
        <v>10</v>
      </c>
      <c r="E6" s="128" t="s">
        <v>25</v>
      </c>
      <c r="F6" s="129" t="s">
        <v>12</v>
      </c>
      <c r="G6" s="125" t="s">
        <v>13</v>
      </c>
      <c r="H6" s="130" t="s">
        <v>14</v>
      </c>
      <c r="I6" s="172" t="s">
        <v>57</v>
      </c>
      <c r="J6" s="132" t="s">
        <v>28</v>
      </c>
      <c r="K6" s="133" t="s">
        <v>67</v>
      </c>
      <c r="L6" s="174" t="s">
        <v>36</v>
      </c>
      <c r="M6" s="135" t="s">
        <v>29</v>
      </c>
      <c r="N6" s="124"/>
      <c r="O6" s="124"/>
      <c r="P6" s="40" t="s">
        <v>31</v>
      </c>
      <c r="Q6" s="44">
        <f>COUNTIFS($D$7:$D$57,"M",$E$7:$E$57,"MA")</f>
        <v>10</v>
      </c>
      <c r="R6" s="42">
        <f>COUNTIFS(D7:D57,"M",E7:E57,"MC")</f>
        <v>0</v>
      </c>
      <c r="S6" s="43">
        <f>COUNTIFS(D7:D57,"M",E7:E57,"MA",I7:I57,"*INCLUSÃO*")</f>
        <v>0</v>
      </c>
      <c r="T6" s="52">
        <f>COUNTIFS($D7:$D57,"M",$E7:$E57,"MA",J7:J57,"*DISP*")</f>
        <v>4</v>
      </c>
      <c r="U6" s="181">
        <f>COUNTIFS($D7:$D57,"M",$E7:$E57,"MA",K7:K57,"*SIM*")</f>
        <v>0</v>
      </c>
    </row>
    <row r="7" spans="1:21" s="169" customFormat="1" ht="19.5" thickBot="1" x14ac:dyDescent="0.35">
      <c r="A7" s="265">
        <v>2</v>
      </c>
      <c r="B7" s="279">
        <v>17483</v>
      </c>
      <c r="C7" s="296" t="s">
        <v>128</v>
      </c>
      <c r="D7" s="297" t="s">
        <v>16</v>
      </c>
      <c r="E7" s="297" t="str">
        <f t="shared" ref="E7:E31" si="0">IF(COUNTIF(I7,"*MC*")=1,"MC",IF(C7="","","MA"))</f>
        <v>MA</v>
      </c>
      <c r="F7" s="298">
        <v>29375</v>
      </c>
      <c r="G7" s="297" t="s">
        <v>129</v>
      </c>
      <c r="H7" s="299"/>
      <c r="I7" s="288" t="s">
        <v>130</v>
      </c>
      <c r="J7" s="297" t="s">
        <v>52</v>
      </c>
      <c r="K7" s="301"/>
      <c r="L7" s="157">
        <f t="shared" ref="L7:L38" ca="1" si="1">IF(F7="","",INT((TODAY()-F7)/365.25))</f>
        <v>45</v>
      </c>
      <c r="M7" s="109"/>
      <c r="N7" s="154"/>
      <c r="O7" s="156"/>
      <c r="P7" s="40" t="s">
        <v>18</v>
      </c>
      <c r="Q7" s="41">
        <f>SUM(Q6:Q6)</f>
        <v>10</v>
      </c>
      <c r="R7" s="42">
        <f>SUM(R6:R6)</f>
        <v>0</v>
      </c>
      <c r="S7" s="43">
        <f>SUM(S6:S6)</f>
        <v>0</v>
      </c>
      <c r="T7" s="52">
        <f>SUM(T6:T6)</f>
        <v>4</v>
      </c>
      <c r="U7" s="181">
        <f>SUM(U6:U6)</f>
        <v>0</v>
      </c>
    </row>
    <row r="8" spans="1:21" ht="18.75" x14ac:dyDescent="0.3">
      <c r="A8" s="265">
        <v>3</v>
      </c>
      <c r="B8" s="279">
        <v>17575</v>
      </c>
      <c r="C8" s="280" t="s">
        <v>131</v>
      </c>
      <c r="D8" s="281" t="s">
        <v>16</v>
      </c>
      <c r="E8" s="282" t="str">
        <f t="shared" si="0"/>
        <v>MA</v>
      </c>
      <c r="F8" s="283">
        <v>30405</v>
      </c>
      <c r="G8" s="281" t="s">
        <v>132</v>
      </c>
      <c r="H8" s="284" t="s">
        <v>133</v>
      </c>
      <c r="I8" s="288" t="s">
        <v>130</v>
      </c>
      <c r="J8" s="281" t="s">
        <v>52</v>
      </c>
      <c r="K8" s="301"/>
      <c r="L8" s="157">
        <f t="shared" ca="1" si="1"/>
        <v>42</v>
      </c>
      <c r="M8" s="109"/>
      <c r="N8" s="134"/>
      <c r="O8" s="124"/>
      <c r="P8" s="152"/>
    </row>
    <row r="9" spans="1:21" ht="18.75" customHeight="1" x14ac:dyDescent="0.3">
      <c r="A9" s="265">
        <v>4</v>
      </c>
      <c r="B9" s="279">
        <v>17650</v>
      </c>
      <c r="C9" s="280" t="s">
        <v>134</v>
      </c>
      <c r="D9" s="281" t="s">
        <v>17</v>
      </c>
      <c r="E9" s="282" t="str">
        <f t="shared" si="0"/>
        <v>MA</v>
      </c>
      <c r="F9" s="283">
        <v>28596</v>
      </c>
      <c r="G9" s="284" t="s">
        <v>135</v>
      </c>
      <c r="H9" s="284"/>
      <c r="I9" s="288" t="s">
        <v>130</v>
      </c>
      <c r="J9" s="281" t="s">
        <v>52</v>
      </c>
      <c r="K9" s="302"/>
      <c r="L9" s="157">
        <f t="shared" ca="1" si="1"/>
        <v>47</v>
      </c>
      <c r="M9" s="108"/>
      <c r="N9" s="108"/>
    </row>
    <row r="10" spans="1:21" ht="17.25" x14ac:dyDescent="0.3">
      <c r="A10" s="265">
        <v>5</v>
      </c>
      <c r="B10" s="279">
        <v>1068</v>
      </c>
      <c r="C10" s="280" t="s">
        <v>136</v>
      </c>
      <c r="D10" s="281" t="s">
        <v>16</v>
      </c>
      <c r="E10" s="282" t="str">
        <f t="shared" si="0"/>
        <v>MA</v>
      </c>
      <c r="F10" s="283">
        <v>31876</v>
      </c>
      <c r="G10" s="282" t="s">
        <v>137</v>
      </c>
      <c r="H10" s="284" t="s">
        <v>137</v>
      </c>
      <c r="I10" s="288" t="s">
        <v>130</v>
      </c>
      <c r="J10" s="281" t="s">
        <v>52</v>
      </c>
      <c r="K10" s="46"/>
      <c r="L10" s="157">
        <f t="shared" ca="1" si="1"/>
        <v>38</v>
      </c>
    </row>
    <row r="11" spans="1:21" ht="15.75" customHeight="1" x14ac:dyDescent="0.3">
      <c r="A11" s="265">
        <v>6</v>
      </c>
      <c r="B11" s="279">
        <v>17657</v>
      </c>
      <c r="C11" s="280" t="s">
        <v>138</v>
      </c>
      <c r="D11" s="281" t="s">
        <v>16</v>
      </c>
      <c r="E11" s="282" t="str">
        <f t="shared" si="0"/>
        <v>MA</v>
      </c>
      <c r="F11" s="283">
        <v>34623</v>
      </c>
      <c r="G11" s="281" t="s">
        <v>139</v>
      </c>
      <c r="H11" s="284"/>
      <c r="I11" s="288" t="s">
        <v>130</v>
      </c>
      <c r="J11" s="285" t="s">
        <v>56</v>
      </c>
      <c r="K11" s="46"/>
      <c r="L11" s="157">
        <f t="shared" ca="1" si="1"/>
        <v>30</v>
      </c>
      <c r="M11" s="153"/>
      <c r="N11" s="124"/>
      <c r="O11" s="124"/>
      <c r="P11" s="152"/>
    </row>
    <row r="12" spans="1:21" ht="18.75" customHeight="1" x14ac:dyDescent="0.25">
      <c r="A12" s="265">
        <v>8</v>
      </c>
      <c r="B12" s="279">
        <v>18308</v>
      </c>
      <c r="C12" s="286" t="s">
        <v>140</v>
      </c>
      <c r="D12" s="281" t="s">
        <v>17</v>
      </c>
      <c r="E12" s="282" t="str">
        <f t="shared" si="0"/>
        <v>MA</v>
      </c>
      <c r="F12" s="283">
        <v>38653</v>
      </c>
      <c r="G12" s="281" t="s">
        <v>141</v>
      </c>
      <c r="H12" s="281" t="s">
        <v>142</v>
      </c>
      <c r="I12" s="288" t="s">
        <v>130</v>
      </c>
      <c r="J12" s="281" t="s">
        <v>56</v>
      </c>
      <c r="K12" s="302"/>
      <c r="L12" s="157">
        <f t="shared" ca="1" si="1"/>
        <v>19</v>
      </c>
      <c r="M12" s="108"/>
      <c r="N12" s="108"/>
    </row>
    <row r="13" spans="1:21" ht="18.75" customHeight="1" x14ac:dyDescent="0.3">
      <c r="A13" s="265">
        <v>9</v>
      </c>
      <c r="B13" s="279">
        <v>17668</v>
      </c>
      <c r="C13" s="280" t="s">
        <v>143</v>
      </c>
      <c r="D13" s="281" t="s">
        <v>17</v>
      </c>
      <c r="E13" s="282" t="str">
        <f t="shared" si="0"/>
        <v>MA</v>
      </c>
      <c r="F13" s="283">
        <v>38232</v>
      </c>
      <c r="G13" s="281" t="s">
        <v>144</v>
      </c>
      <c r="H13" s="284"/>
      <c r="I13" s="288" t="s">
        <v>130</v>
      </c>
      <c r="J13" s="281"/>
      <c r="K13" s="303"/>
      <c r="L13" s="157">
        <f t="shared" ca="1" si="1"/>
        <v>21</v>
      </c>
      <c r="M13" s="108"/>
      <c r="N13" s="108"/>
    </row>
    <row r="14" spans="1:21" ht="18.75" x14ac:dyDescent="0.3">
      <c r="A14" s="265">
        <v>10</v>
      </c>
      <c r="B14" s="279">
        <v>16966</v>
      </c>
      <c r="C14" s="287" t="s">
        <v>145</v>
      </c>
      <c r="D14" s="282" t="s">
        <v>17</v>
      </c>
      <c r="E14" s="282" t="str">
        <f t="shared" si="0"/>
        <v>MA</v>
      </c>
      <c r="F14" s="300">
        <v>37818</v>
      </c>
      <c r="G14" s="281" t="s">
        <v>146</v>
      </c>
      <c r="H14" s="284" t="s">
        <v>147</v>
      </c>
      <c r="I14" s="288" t="s">
        <v>130</v>
      </c>
      <c r="J14" s="281"/>
      <c r="K14" s="302"/>
      <c r="L14" s="157">
        <f t="shared" ca="1" si="1"/>
        <v>22</v>
      </c>
      <c r="M14" s="108"/>
      <c r="N14" s="134"/>
      <c r="O14" s="124"/>
      <c r="P14" s="152"/>
    </row>
    <row r="15" spans="1:21" ht="18.75" customHeight="1" x14ac:dyDescent="0.3">
      <c r="A15" s="265">
        <v>12</v>
      </c>
      <c r="B15" s="279">
        <v>17578</v>
      </c>
      <c r="C15" s="280" t="s">
        <v>148</v>
      </c>
      <c r="D15" s="281" t="s">
        <v>17</v>
      </c>
      <c r="E15" s="282" t="str">
        <f t="shared" si="0"/>
        <v>MA</v>
      </c>
      <c r="F15" s="283">
        <v>38206</v>
      </c>
      <c r="G15" s="281" t="s">
        <v>149</v>
      </c>
      <c r="H15" s="284" t="s">
        <v>150</v>
      </c>
      <c r="I15" s="288" t="s">
        <v>130</v>
      </c>
      <c r="J15" s="281" t="s">
        <v>68</v>
      </c>
      <c r="K15" s="303"/>
      <c r="L15" s="157">
        <f t="shared" ca="1" si="1"/>
        <v>21</v>
      </c>
      <c r="M15" s="108"/>
      <c r="N15" s="108"/>
    </row>
    <row r="16" spans="1:21" ht="15.75" customHeight="1" x14ac:dyDescent="0.3">
      <c r="A16" s="265">
        <v>13</v>
      </c>
      <c r="B16" s="279">
        <v>6971</v>
      </c>
      <c r="C16" s="280" t="s">
        <v>151</v>
      </c>
      <c r="D16" s="281" t="s">
        <v>17</v>
      </c>
      <c r="E16" s="282" t="str">
        <f t="shared" si="0"/>
        <v>MA</v>
      </c>
      <c r="F16" s="283">
        <v>28156</v>
      </c>
      <c r="G16" s="281" t="s">
        <v>152</v>
      </c>
      <c r="H16" s="285"/>
      <c r="I16" s="288" t="s">
        <v>130</v>
      </c>
      <c r="J16" s="263" t="s">
        <v>188</v>
      </c>
      <c r="K16" s="304"/>
      <c r="L16" s="157">
        <f t="shared" ca="1" si="1"/>
        <v>48</v>
      </c>
      <c r="M16" s="184"/>
      <c r="N16" s="124"/>
      <c r="O16" s="124"/>
      <c r="P16" s="152"/>
    </row>
    <row r="17" spans="1:21" ht="15.75" customHeight="1" x14ac:dyDescent="0.3">
      <c r="A17" s="265">
        <v>14</v>
      </c>
      <c r="B17" s="279">
        <v>15856</v>
      </c>
      <c r="C17" s="280" t="s">
        <v>153</v>
      </c>
      <c r="D17" s="281" t="s">
        <v>16</v>
      </c>
      <c r="E17" s="282" t="str">
        <f t="shared" si="0"/>
        <v>MA</v>
      </c>
      <c r="F17" s="283">
        <v>36386</v>
      </c>
      <c r="G17" s="281" t="s">
        <v>154</v>
      </c>
      <c r="H17" s="284"/>
      <c r="I17" s="288" t="s">
        <v>130</v>
      </c>
      <c r="J17" s="285" t="s">
        <v>52</v>
      </c>
      <c r="K17" s="304"/>
      <c r="L17" s="157">
        <f t="shared" ca="1" si="1"/>
        <v>26</v>
      </c>
      <c r="M17" s="184"/>
      <c r="N17" s="124"/>
      <c r="O17" s="124"/>
      <c r="P17" s="153"/>
    </row>
    <row r="18" spans="1:21" ht="15.75" customHeight="1" x14ac:dyDescent="0.3">
      <c r="A18" s="265">
        <v>15</v>
      </c>
      <c r="B18" s="279">
        <v>9993</v>
      </c>
      <c r="C18" s="280" t="s">
        <v>155</v>
      </c>
      <c r="D18" s="281" t="s">
        <v>16</v>
      </c>
      <c r="E18" s="282" t="str">
        <f t="shared" si="0"/>
        <v>MA</v>
      </c>
      <c r="F18" s="283">
        <v>27458</v>
      </c>
      <c r="G18" s="281" t="s">
        <v>156</v>
      </c>
      <c r="H18" s="284" t="s">
        <v>157</v>
      </c>
      <c r="I18" s="288" t="s">
        <v>130</v>
      </c>
      <c r="J18" s="281" t="s">
        <v>187</v>
      </c>
      <c r="K18" s="302"/>
      <c r="L18" s="157">
        <f t="shared" ca="1" si="1"/>
        <v>50</v>
      </c>
      <c r="M18" s="153"/>
      <c r="N18" s="124"/>
      <c r="O18" s="124"/>
      <c r="P18" s="153"/>
    </row>
    <row r="19" spans="1:21" ht="17.25" x14ac:dyDescent="0.25">
      <c r="A19" s="265">
        <v>16</v>
      </c>
      <c r="B19" s="279">
        <v>3365</v>
      </c>
      <c r="C19" s="286" t="s">
        <v>158</v>
      </c>
      <c r="D19" s="281" t="s">
        <v>16</v>
      </c>
      <c r="E19" s="282" t="str">
        <f t="shared" si="0"/>
        <v>MA</v>
      </c>
      <c r="F19" s="283">
        <v>28393</v>
      </c>
      <c r="G19" s="281" t="s">
        <v>159</v>
      </c>
      <c r="H19" s="281" t="s">
        <v>159</v>
      </c>
      <c r="I19" s="288" t="s">
        <v>130</v>
      </c>
      <c r="J19" s="285" t="s">
        <v>68</v>
      </c>
      <c r="K19" s="302"/>
      <c r="L19" s="157">
        <f t="shared" ca="1" si="1"/>
        <v>48</v>
      </c>
    </row>
    <row r="20" spans="1:21" ht="17.25" x14ac:dyDescent="0.25">
      <c r="A20" s="265">
        <v>17</v>
      </c>
      <c r="B20" s="279">
        <v>18072</v>
      </c>
      <c r="C20" s="286" t="s">
        <v>160</v>
      </c>
      <c r="D20" s="281" t="s">
        <v>16</v>
      </c>
      <c r="E20" s="282" t="str">
        <f t="shared" si="0"/>
        <v>MA</v>
      </c>
      <c r="F20" s="283">
        <v>30817</v>
      </c>
      <c r="G20" s="281" t="s">
        <v>161</v>
      </c>
      <c r="H20" s="281" t="s">
        <v>161</v>
      </c>
      <c r="I20" s="288" t="s">
        <v>130</v>
      </c>
      <c r="J20" s="285" t="s">
        <v>188</v>
      </c>
      <c r="K20" s="304"/>
      <c r="L20" s="157">
        <f t="shared" ca="1" si="1"/>
        <v>41</v>
      </c>
      <c r="M20"/>
    </row>
    <row r="21" spans="1:21" ht="17.25" x14ac:dyDescent="0.3">
      <c r="A21" s="265">
        <v>18</v>
      </c>
      <c r="B21" s="279">
        <v>17661</v>
      </c>
      <c r="C21" s="280" t="s">
        <v>162</v>
      </c>
      <c r="D21" s="281" t="s">
        <v>16</v>
      </c>
      <c r="E21" s="282" t="str">
        <f t="shared" si="0"/>
        <v>MA</v>
      </c>
      <c r="F21" s="283">
        <v>38183</v>
      </c>
      <c r="G21" s="281" t="s">
        <v>163</v>
      </c>
      <c r="H21" s="284"/>
      <c r="I21" s="288" t="s">
        <v>130</v>
      </c>
      <c r="J21" s="263" t="s">
        <v>186</v>
      </c>
      <c r="K21" s="302"/>
      <c r="L21" s="157">
        <f t="shared" ca="1" si="1"/>
        <v>21</v>
      </c>
    </row>
    <row r="22" spans="1:21" ht="17.25" x14ac:dyDescent="0.25">
      <c r="A22" s="265">
        <v>19</v>
      </c>
      <c r="B22" s="279">
        <v>18306</v>
      </c>
      <c r="C22" s="286" t="s">
        <v>164</v>
      </c>
      <c r="D22" s="281" t="s">
        <v>16</v>
      </c>
      <c r="E22" s="282" t="str">
        <f t="shared" si="0"/>
        <v>MA</v>
      </c>
      <c r="F22" s="283">
        <v>38595</v>
      </c>
      <c r="G22" s="281" t="s">
        <v>165</v>
      </c>
      <c r="H22" s="281" t="s">
        <v>166</v>
      </c>
      <c r="I22" s="288" t="s">
        <v>130</v>
      </c>
      <c r="J22" s="282"/>
      <c r="K22" s="302"/>
      <c r="L22" s="157">
        <f t="shared" ca="1" si="1"/>
        <v>20</v>
      </c>
      <c r="M22"/>
    </row>
    <row r="23" spans="1:21" ht="17.25" x14ac:dyDescent="0.25">
      <c r="A23" s="265">
        <v>21</v>
      </c>
      <c r="B23" s="279">
        <v>18307</v>
      </c>
      <c r="C23" s="286" t="s">
        <v>167</v>
      </c>
      <c r="D23" s="281" t="s">
        <v>16</v>
      </c>
      <c r="E23" s="282" t="str">
        <f t="shared" si="0"/>
        <v>MA</v>
      </c>
      <c r="F23" s="283">
        <v>38191</v>
      </c>
      <c r="G23" s="281" t="s">
        <v>168</v>
      </c>
      <c r="H23" s="281"/>
      <c r="I23" s="288" t="s">
        <v>130</v>
      </c>
      <c r="J23" s="271"/>
      <c r="K23" s="304"/>
      <c r="L23" s="157">
        <f t="shared" ca="1" si="1"/>
        <v>21</v>
      </c>
      <c r="M23"/>
    </row>
    <row r="24" spans="1:21" ht="17.25" x14ac:dyDescent="0.3">
      <c r="A24" s="265">
        <v>22</v>
      </c>
      <c r="B24" s="279">
        <v>17974</v>
      </c>
      <c r="C24" s="280" t="s">
        <v>169</v>
      </c>
      <c r="D24" s="281" t="s">
        <v>17</v>
      </c>
      <c r="E24" s="282" t="str">
        <f t="shared" si="0"/>
        <v>MA</v>
      </c>
      <c r="F24" s="283">
        <v>35906</v>
      </c>
      <c r="G24" s="281" t="s">
        <v>170</v>
      </c>
      <c r="H24" s="284" t="s">
        <v>170</v>
      </c>
      <c r="I24" s="288" t="s">
        <v>130</v>
      </c>
      <c r="J24" s="271"/>
      <c r="K24" s="304"/>
      <c r="L24" s="157">
        <f t="shared" ca="1" si="1"/>
        <v>27</v>
      </c>
      <c r="M24"/>
    </row>
    <row r="25" spans="1:21" s="18" customFormat="1" ht="20.100000000000001" customHeight="1" x14ac:dyDescent="0.3">
      <c r="A25" s="265">
        <v>23</v>
      </c>
      <c r="B25" s="279">
        <v>18124</v>
      </c>
      <c r="C25" s="280" t="s">
        <v>171</v>
      </c>
      <c r="D25" s="281" t="s">
        <v>17</v>
      </c>
      <c r="E25" s="281" t="str">
        <f t="shared" si="0"/>
        <v>MA</v>
      </c>
      <c r="F25" s="283">
        <v>36395</v>
      </c>
      <c r="G25" s="281" t="s">
        <v>172</v>
      </c>
      <c r="H25" s="284"/>
      <c r="I25" s="288" t="s">
        <v>130</v>
      </c>
      <c r="J25" s="271"/>
      <c r="K25" s="302"/>
      <c r="L25" s="157">
        <f t="shared" ca="1" si="1"/>
        <v>26</v>
      </c>
      <c r="M25" s="4"/>
      <c r="N25" s="4"/>
      <c r="O25" s="4"/>
      <c r="P25" s="4"/>
      <c r="Q25" s="4"/>
      <c r="R25" s="4"/>
      <c r="S25" s="4"/>
      <c r="T25" s="4"/>
      <c r="U25" s="4"/>
    </row>
    <row r="26" spans="1:21" ht="20.100000000000001" customHeight="1" x14ac:dyDescent="0.25">
      <c r="A26" s="265">
        <v>24</v>
      </c>
      <c r="B26" s="279">
        <v>18328</v>
      </c>
      <c r="C26" s="286" t="s">
        <v>173</v>
      </c>
      <c r="D26" s="281" t="s">
        <v>16</v>
      </c>
      <c r="E26" s="282" t="str">
        <f t="shared" si="0"/>
        <v>MA</v>
      </c>
      <c r="F26" s="283">
        <v>38362</v>
      </c>
      <c r="G26" s="281" t="s">
        <v>174</v>
      </c>
      <c r="H26" s="281" t="s">
        <v>175</v>
      </c>
      <c r="I26" s="288" t="s">
        <v>130</v>
      </c>
      <c r="J26" s="281" t="s">
        <v>187</v>
      </c>
      <c r="K26" s="302"/>
      <c r="L26" s="157">
        <f t="shared" ca="1" si="1"/>
        <v>20</v>
      </c>
    </row>
    <row r="27" spans="1:21" ht="17.25" x14ac:dyDescent="0.25">
      <c r="A27" s="265">
        <v>26</v>
      </c>
      <c r="B27" s="279">
        <v>18363</v>
      </c>
      <c r="C27" s="286" t="s">
        <v>176</v>
      </c>
      <c r="D27" s="281" t="s">
        <v>16</v>
      </c>
      <c r="E27" s="282" t="str">
        <f t="shared" si="0"/>
        <v>MA</v>
      </c>
      <c r="F27" s="283">
        <v>27861</v>
      </c>
      <c r="G27" s="281" t="s">
        <v>177</v>
      </c>
      <c r="H27" s="281" t="s">
        <v>177</v>
      </c>
      <c r="I27" s="288" t="s">
        <v>130</v>
      </c>
      <c r="J27" s="271" t="s">
        <v>68</v>
      </c>
      <c r="K27" s="302"/>
      <c r="L27" s="157">
        <f t="shared" ca="1" si="1"/>
        <v>49</v>
      </c>
    </row>
    <row r="28" spans="1:21" ht="17.25" x14ac:dyDescent="0.25">
      <c r="A28" s="265">
        <v>27</v>
      </c>
      <c r="B28" s="279">
        <v>11222</v>
      </c>
      <c r="C28" s="286" t="s">
        <v>178</v>
      </c>
      <c r="D28" s="281" t="s">
        <v>17</v>
      </c>
      <c r="E28" s="282" t="str">
        <f t="shared" si="0"/>
        <v>MA</v>
      </c>
      <c r="F28" s="283">
        <v>37658</v>
      </c>
      <c r="G28" s="281" t="s">
        <v>179</v>
      </c>
      <c r="H28" s="281" t="s">
        <v>180</v>
      </c>
      <c r="I28" s="288" t="s">
        <v>130</v>
      </c>
      <c r="J28" s="271"/>
      <c r="K28" s="304"/>
      <c r="L28" s="157">
        <f t="shared" ca="1" si="1"/>
        <v>22</v>
      </c>
    </row>
    <row r="29" spans="1:21" ht="17.25" x14ac:dyDescent="0.25">
      <c r="A29" s="265">
        <v>28</v>
      </c>
      <c r="B29" s="279">
        <v>18375</v>
      </c>
      <c r="C29" s="286" t="s">
        <v>181</v>
      </c>
      <c r="D29" s="281" t="s">
        <v>16</v>
      </c>
      <c r="E29" s="282" t="str">
        <f t="shared" si="0"/>
        <v>MA</v>
      </c>
      <c r="F29" s="283">
        <v>30386</v>
      </c>
      <c r="G29" s="281"/>
      <c r="H29" s="281"/>
      <c r="I29" s="288" t="s">
        <v>130</v>
      </c>
      <c r="J29" s="271" t="s">
        <v>68</v>
      </c>
      <c r="K29" s="184"/>
      <c r="L29" s="157">
        <f t="shared" ca="1" si="1"/>
        <v>42</v>
      </c>
    </row>
    <row r="30" spans="1:21" ht="17.25" x14ac:dyDescent="0.25">
      <c r="A30" s="265">
        <v>29</v>
      </c>
      <c r="B30" s="279">
        <v>18385</v>
      </c>
      <c r="C30" s="286" t="s">
        <v>182</v>
      </c>
      <c r="D30" s="281" t="s">
        <v>16</v>
      </c>
      <c r="E30" s="282" t="str">
        <f t="shared" si="0"/>
        <v>MA</v>
      </c>
      <c r="F30" s="283">
        <v>38554</v>
      </c>
      <c r="G30" s="281" t="s">
        <v>183</v>
      </c>
      <c r="H30" s="281"/>
      <c r="I30" s="288" t="s">
        <v>130</v>
      </c>
      <c r="J30" s="271"/>
      <c r="K30" s="46"/>
      <c r="L30" s="157">
        <f t="shared" ca="1" si="1"/>
        <v>20</v>
      </c>
    </row>
    <row r="31" spans="1:21" ht="17.25" x14ac:dyDescent="0.25">
      <c r="A31" s="265">
        <v>30</v>
      </c>
      <c r="B31" s="279">
        <v>16387</v>
      </c>
      <c r="C31" s="268" t="s">
        <v>184</v>
      </c>
      <c r="D31" s="266" t="s">
        <v>17</v>
      </c>
      <c r="E31" s="266" t="str">
        <f t="shared" si="0"/>
        <v>MA</v>
      </c>
      <c r="F31" s="269">
        <v>36259</v>
      </c>
      <c r="G31" s="266"/>
      <c r="H31" s="271" t="s">
        <v>185</v>
      </c>
      <c r="I31" s="288" t="s">
        <v>130</v>
      </c>
      <c r="J31" s="271"/>
      <c r="K31" s="184"/>
      <c r="L31" s="157">
        <f t="shared" ca="1" si="1"/>
        <v>26</v>
      </c>
    </row>
    <row r="32" spans="1:21" x14ac:dyDescent="0.25">
      <c r="A32" s="139"/>
      <c r="B32" s="171"/>
      <c r="C32" s="170"/>
      <c r="D32" s="306"/>
      <c r="E32" s="171"/>
      <c r="F32" s="307"/>
      <c r="G32" s="171"/>
      <c r="H32" s="308"/>
      <c r="I32" s="170"/>
      <c r="J32" s="168"/>
      <c r="K32" s="184"/>
      <c r="L32" s="157" t="str">
        <f t="shared" ca="1" si="1"/>
        <v/>
      </c>
      <c r="M32" s="18"/>
      <c r="N32" s="18"/>
      <c r="O32" s="18"/>
      <c r="P32" s="18"/>
      <c r="Q32" s="18"/>
      <c r="R32" s="18"/>
      <c r="S32" s="18"/>
      <c r="T32" s="18"/>
      <c r="U32" s="18"/>
    </row>
    <row r="33" spans="1:12" x14ac:dyDescent="0.25">
      <c r="A33" s="139"/>
      <c r="B33" s="167"/>
      <c r="C33" s="33"/>
      <c r="D33" s="160"/>
      <c r="E33" s="159"/>
      <c r="F33" s="161"/>
      <c r="G33" s="164"/>
      <c r="H33" s="37"/>
      <c r="I33" s="183"/>
      <c r="J33" s="23"/>
      <c r="K33" s="46"/>
      <c r="L33" s="157" t="str">
        <f t="shared" ca="1" si="1"/>
        <v/>
      </c>
    </row>
    <row r="34" spans="1:12" x14ac:dyDescent="0.25">
      <c r="A34" s="139"/>
      <c r="B34" s="158"/>
      <c r="C34" s="115"/>
      <c r="D34" s="162"/>
      <c r="E34" s="159"/>
      <c r="F34" s="163"/>
      <c r="G34" s="165"/>
      <c r="H34" s="166"/>
      <c r="I34" s="183"/>
      <c r="J34" s="168"/>
      <c r="K34" s="184"/>
      <c r="L34" s="157" t="str">
        <f t="shared" ca="1" si="1"/>
        <v/>
      </c>
    </row>
    <row r="35" spans="1:12" x14ac:dyDescent="0.25">
      <c r="A35" s="139"/>
      <c r="B35" s="167"/>
      <c r="C35" s="33"/>
      <c r="D35" s="160"/>
      <c r="E35" s="159"/>
      <c r="F35" s="161"/>
      <c r="G35" s="164"/>
      <c r="H35" s="37"/>
      <c r="I35" s="183"/>
      <c r="J35" s="168"/>
      <c r="K35" s="184"/>
      <c r="L35" s="157" t="str">
        <f t="shared" ca="1" si="1"/>
        <v/>
      </c>
    </row>
    <row r="36" spans="1:12" x14ac:dyDescent="0.25">
      <c r="A36" s="139"/>
      <c r="B36" s="38"/>
      <c r="C36" s="33"/>
      <c r="D36" s="160"/>
      <c r="E36" s="160"/>
      <c r="F36" s="161"/>
      <c r="G36" s="164"/>
      <c r="H36" s="37"/>
      <c r="I36" s="309"/>
      <c r="J36" s="176"/>
      <c r="K36" s="46"/>
      <c r="L36" s="157" t="str">
        <f t="shared" ca="1" si="1"/>
        <v/>
      </c>
    </row>
    <row r="37" spans="1:12" x14ac:dyDescent="0.25">
      <c r="A37" s="305">
        <v>35</v>
      </c>
      <c r="B37" s="63"/>
      <c r="C37" s="64"/>
      <c r="D37" s="67"/>
      <c r="E37" s="182" t="str">
        <f t="shared" ref="E37:E60" si="2">IF(COUNTIF(I37,"*MC*")=1,"MC",IF(C37="","","MA"))</f>
        <v/>
      </c>
      <c r="F37" s="69"/>
      <c r="G37" s="72"/>
      <c r="H37" s="74"/>
      <c r="I37" s="104"/>
      <c r="J37" s="177"/>
      <c r="K37" s="46"/>
      <c r="L37" s="157" t="str">
        <f t="shared" ca="1" si="1"/>
        <v/>
      </c>
    </row>
    <row r="38" spans="1:12" x14ac:dyDescent="0.25">
      <c r="A38" s="139">
        <v>36</v>
      </c>
      <c r="B38" s="63"/>
      <c r="C38" s="64"/>
      <c r="D38" s="67"/>
      <c r="E38" s="159" t="str">
        <f t="shared" si="2"/>
        <v/>
      </c>
      <c r="F38" s="69"/>
      <c r="G38" s="72"/>
      <c r="H38" s="74"/>
      <c r="I38" s="104"/>
      <c r="J38" s="177"/>
      <c r="K38" s="46"/>
      <c r="L38" s="157" t="str">
        <f t="shared" ca="1" si="1"/>
        <v/>
      </c>
    </row>
    <row r="39" spans="1:12" x14ac:dyDescent="0.25">
      <c r="A39" s="139">
        <v>37</v>
      </c>
      <c r="B39" s="63"/>
      <c r="C39" s="64"/>
      <c r="D39" s="67"/>
      <c r="E39" s="159" t="str">
        <f t="shared" si="2"/>
        <v/>
      </c>
      <c r="F39" s="69"/>
      <c r="G39" s="72"/>
      <c r="H39" s="74"/>
      <c r="I39" s="105"/>
      <c r="J39" s="177"/>
      <c r="K39" s="46"/>
      <c r="L39" s="157" t="str">
        <f t="shared" ref="L39:L57" ca="1" si="3">IF(F39="","",INT((TODAY()-F39)/365.25))</f>
        <v/>
      </c>
    </row>
    <row r="40" spans="1:12" x14ac:dyDescent="0.25">
      <c r="A40" s="139">
        <v>38</v>
      </c>
      <c r="B40" s="63"/>
      <c r="C40" s="65"/>
      <c r="D40" s="60"/>
      <c r="E40" s="160" t="str">
        <f t="shared" si="2"/>
        <v/>
      </c>
      <c r="F40" s="70"/>
      <c r="G40" s="63"/>
      <c r="H40" s="75"/>
      <c r="I40" s="106"/>
      <c r="J40" s="178"/>
      <c r="K40" s="46"/>
      <c r="L40" s="157" t="str">
        <f t="shared" ca="1" si="3"/>
        <v/>
      </c>
    </row>
    <row r="41" spans="1:12" x14ac:dyDescent="0.25">
      <c r="A41" s="139">
        <v>39</v>
      </c>
      <c r="B41" s="63"/>
      <c r="C41" s="65"/>
      <c r="D41" s="60"/>
      <c r="E41" s="159" t="str">
        <f t="shared" si="2"/>
        <v/>
      </c>
      <c r="F41" s="70"/>
      <c r="G41" s="63"/>
      <c r="H41" s="75"/>
      <c r="I41" s="106"/>
      <c r="J41" s="178"/>
      <c r="K41" s="46"/>
      <c r="L41" s="157" t="str">
        <f t="shared" ca="1" si="3"/>
        <v/>
      </c>
    </row>
    <row r="42" spans="1:12" x14ac:dyDescent="0.25">
      <c r="A42" s="139">
        <v>40</v>
      </c>
      <c r="B42" s="63"/>
      <c r="C42" s="64"/>
      <c r="D42" s="67"/>
      <c r="E42" s="159" t="str">
        <f t="shared" si="2"/>
        <v/>
      </c>
      <c r="F42" s="69"/>
      <c r="G42" s="72"/>
      <c r="H42" s="74"/>
      <c r="I42" s="105"/>
      <c r="J42" s="177"/>
      <c r="K42" s="46"/>
      <c r="L42" s="157" t="str">
        <f t="shared" ca="1" si="3"/>
        <v/>
      </c>
    </row>
    <row r="43" spans="1:12" x14ac:dyDescent="0.25">
      <c r="A43" s="139">
        <v>41</v>
      </c>
      <c r="B43" s="63"/>
      <c r="C43" s="64"/>
      <c r="D43" s="67"/>
      <c r="E43" s="159" t="str">
        <f t="shared" si="2"/>
        <v/>
      </c>
      <c r="F43" s="69"/>
      <c r="G43" s="72"/>
      <c r="H43" s="74"/>
      <c r="I43" s="105"/>
      <c r="J43" s="177"/>
      <c r="K43" s="46"/>
      <c r="L43" s="157" t="str">
        <f t="shared" ca="1" si="3"/>
        <v/>
      </c>
    </row>
    <row r="44" spans="1:12" x14ac:dyDescent="0.25">
      <c r="A44" s="139">
        <v>42</v>
      </c>
      <c r="B44" s="63"/>
      <c r="C44" s="66"/>
      <c r="D44" s="68"/>
      <c r="E44" s="160" t="str">
        <f t="shared" si="2"/>
        <v/>
      </c>
      <c r="F44" s="71"/>
      <c r="G44" s="73"/>
      <c r="H44" s="76"/>
      <c r="I44" s="107"/>
      <c r="J44" s="177"/>
      <c r="K44" s="46"/>
      <c r="L44" s="157" t="str">
        <f t="shared" ca="1" si="3"/>
        <v/>
      </c>
    </row>
    <row r="45" spans="1:12" x14ac:dyDescent="0.25">
      <c r="A45" s="139">
        <v>43</v>
      </c>
      <c r="E45" s="159" t="str">
        <f t="shared" si="2"/>
        <v/>
      </c>
      <c r="L45" s="157" t="str">
        <f t="shared" ca="1" si="3"/>
        <v/>
      </c>
    </row>
    <row r="46" spans="1:12" x14ac:dyDescent="0.25">
      <c r="A46" s="139">
        <v>44</v>
      </c>
      <c r="E46" s="159" t="str">
        <f t="shared" si="2"/>
        <v/>
      </c>
      <c r="L46" s="157" t="str">
        <f t="shared" ca="1" si="3"/>
        <v/>
      </c>
    </row>
    <row r="47" spans="1:12" x14ac:dyDescent="0.25">
      <c r="A47" s="139">
        <v>45</v>
      </c>
      <c r="E47" s="159" t="str">
        <f t="shared" si="2"/>
        <v/>
      </c>
      <c r="L47" s="157" t="str">
        <f t="shared" ca="1" si="3"/>
        <v/>
      </c>
    </row>
    <row r="48" spans="1:12" x14ac:dyDescent="0.25">
      <c r="A48" s="139">
        <v>46</v>
      </c>
      <c r="E48" s="160" t="str">
        <f t="shared" si="2"/>
        <v/>
      </c>
      <c r="L48" s="157" t="str">
        <f t="shared" ca="1" si="3"/>
        <v/>
      </c>
    </row>
    <row r="49" spans="1:12" x14ac:dyDescent="0.25">
      <c r="A49" s="139">
        <v>47</v>
      </c>
      <c r="E49" s="159" t="str">
        <f t="shared" si="2"/>
        <v/>
      </c>
      <c r="L49" s="157" t="str">
        <f t="shared" ca="1" si="3"/>
        <v/>
      </c>
    </row>
    <row r="50" spans="1:12" x14ac:dyDescent="0.25">
      <c r="A50" s="139">
        <v>48</v>
      </c>
      <c r="E50" s="159" t="str">
        <f t="shared" si="2"/>
        <v/>
      </c>
      <c r="L50" s="157" t="str">
        <f t="shared" ca="1" si="3"/>
        <v/>
      </c>
    </row>
    <row r="51" spans="1:12" x14ac:dyDescent="0.25">
      <c r="A51" s="139">
        <v>49</v>
      </c>
      <c r="E51" s="159" t="str">
        <f t="shared" si="2"/>
        <v/>
      </c>
      <c r="L51" s="157" t="str">
        <f t="shared" ca="1" si="3"/>
        <v/>
      </c>
    </row>
    <row r="52" spans="1:12" x14ac:dyDescent="0.25">
      <c r="A52" s="139">
        <v>50</v>
      </c>
      <c r="E52" s="160" t="str">
        <f t="shared" si="2"/>
        <v/>
      </c>
      <c r="L52" s="157" t="str">
        <f t="shared" ca="1" si="3"/>
        <v/>
      </c>
    </row>
    <row r="53" spans="1:12" x14ac:dyDescent="0.25">
      <c r="A53" s="139">
        <v>51</v>
      </c>
      <c r="E53" s="159" t="str">
        <f t="shared" si="2"/>
        <v/>
      </c>
      <c r="L53" s="157" t="str">
        <f t="shared" ca="1" si="3"/>
        <v/>
      </c>
    </row>
    <row r="54" spans="1:12" x14ac:dyDescent="0.25">
      <c r="A54" s="139">
        <v>52</v>
      </c>
      <c r="E54" s="159" t="str">
        <f t="shared" si="2"/>
        <v/>
      </c>
      <c r="L54" s="157" t="str">
        <f t="shared" ca="1" si="3"/>
        <v/>
      </c>
    </row>
    <row r="55" spans="1:12" x14ac:dyDescent="0.25">
      <c r="A55" s="139">
        <v>53</v>
      </c>
      <c r="E55" s="159" t="str">
        <f t="shared" si="2"/>
        <v/>
      </c>
      <c r="L55" s="157" t="str">
        <f t="shared" ca="1" si="3"/>
        <v/>
      </c>
    </row>
    <row r="56" spans="1:12" x14ac:dyDescent="0.25">
      <c r="A56" s="139">
        <v>54</v>
      </c>
      <c r="E56" s="160" t="str">
        <f t="shared" si="2"/>
        <v/>
      </c>
      <c r="L56" s="157" t="str">
        <f t="shared" ca="1" si="3"/>
        <v/>
      </c>
    </row>
    <row r="57" spans="1:12" x14ac:dyDescent="0.25">
      <c r="A57" s="139">
        <v>55</v>
      </c>
      <c r="E57" s="159" t="str">
        <f t="shared" si="2"/>
        <v/>
      </c>
      <c r="L57" s="157" t="str">
        <f t="shared" ca="1" si="3"/>
        <v/>
      </c>
    </row>
    <row r="58" spans="1:12" x14ac:dyDescent="0.25">
      <c r="E58" s="17" t="str">
        <f t="shared" si="2"/>
        <v/>
      </c>
    </row>
    <row r="59" spans="1:12" x14ac:dyDescent="0.25">
      <c r="E59" s="17" t="str">
        <f t="shared" si="2"/>
        <v/>
      </c>
    </row>
    <row r="60" spans="1:12" x14ac:dyDescent="0.25">
      <c r="E60" s="17" t="str">
        <f t="shared" si="2"/>
        <v/>
      </c>
    </row>
  </sheetData>
  <autoFilter ref="A6:U6">
    <sortState ref="A7:U60">
      <sortCondition ref="C6"/>
    </sortState>
  </autoFilter>
  <mergeCells count="5">
    <mergeCell ref="C1:H1"/>
    <mergeCell ref="C2:H2"/>
    <mergeCell ref="C3:H3"/>
    <mergeCell ref="C4:H4"/>
    <mergeCell ref="A5:D5"/>
  </mergeCells>
  <conditionalFormatting sqref="N4:O9 N12:O15">
    <cfRule type="cellIs" dxfId="2052" priority="5080" operator="equal">
      <formula>3</formula>
    </cfRule>
    <cfRule type="cellIs" dxfId="2051" priority="5081" operator="equal">
      <formula>2</formula>
    </cfRule>
    <cfRule type="cellIs" dxfId="2050" priority="5082" operator="equal">
      <formula>1</formula>
    </cfRule>
  </conditionalFormatting>
  <conditionalFormatting sqref="L1:L9 L12:L34 L36:L1048576">
    <cfRule type="cellIs" dxfId="2049" priority="5079" operator="lessThan">
      <formula>18</formula>
    </cfRule>
  </conditionalFormatting>
  <conditionalFormatting sqref="A32:A57">
    <cfRule type="expression" dxfId="2048" priority="5078">
      <formula>#REF!="MC"</formula>
    </cfRule>
  </conditionalFormatting>
  <conditionalFormatting sqref="A5:D5 A6:J6 L6:M6">
    <cfRule type="expression" dxfId="2047" priority="5083">
      <formula>#REF!="MC"</formula>
    </cfRule>
  </conditionalFormatting>
  <conditionalFormatting sqref="I32:I34">
    <cfRule type="expression" dxfId="2046" priority="3005">
      <formula>$E32="MC"</formula>
    </cfRule>
  </conditionalFormatting>
  <conditionalFormatting sqref="E36 E38:E40 E42:E44 E46:E48 E50:E52 E54:E56">
    <cfRule type="expression" dxfId="2045" priority="3377">
      <formula>$E36="MC"</formula>
    </cfRule>
  </conditionalFormatting>
  <conditionalFormatting sqref="E37 E41 E45 E49 E53 E57">
    <cfRule type="expression" dxfId="2044" priority="3376">
      <formula>$E37="MC"</formula>
    </cfRule>
  </conditionalFormatting>
  <conditionalFormatting sqref="L8:L9 L23:L24 L38:L48 L50:L51 L53:L57">
    <cfRule type="cellIs" dxfId="2043" priority="3378" operator="lessThan">
      <formula>18</formula>
    </cfRule>
  </conditionalFormatting>
  <conditionalFormatting sqref="E32">
    <cfRule type="expression" dxfId="2042" priority="1934">
      <formula>$E32="MC"</formula>
    </cfRule>
  </conditionalFormatting>
  <conditionalFormatting sqref="E33:E34">
    <cfRule type="expression" dxfId="2041" priority="1932">
      <formula>$E33="MC"</formula>
    </cfRule>
  </conditionalFormatting>
  <conditionalFormatting sqref="L10:L11">
    <cfRule type="cellIs" dxfId="2040" priority="1923" operator="lessThan">
      <formula>18</formula>
    </cfRule>
  </conditionalFormatting>
  <conditionalFormatting sqref="L35">
    <cfRule type="cellIs" dxfId="2039" priority="1887" operator="lessThan">
      <formula>18</formula>
    </cfRule>
  </conditionalFormatting>
  <conditionalFormatting sqref="I35">
    <cfRule type="expression" dxfId="2038" priority="1884">
      <formula>$E35="MC"</formula>
    </cfRule>
  </conditionalFormatting>
  <conditionalFormatting sqref="A7:A31">
    <cfRule type="expression" dxfId="2037" priority="1883">
      <formula>#REF!="MC"</formula>
    </cfRule>
  </conditionalFormatting>
  <conditionalFormatting sqref="E7 H7 F10:H12 B23:H28 B14:H14 B10:D12 E9:E12">
    <cfRule type="expression" dxfId="2036" priority="1882">
      <formula>$E7="MC"</formula>
    </cfRule>
  </conditionalFormatting>
  <conditionalFormatting sqref="E8">
    <cfRule type="expression" dxfId="2035" priority="1881">
      <formula>$E8="MC"</formula>
    </cfRule>
  </conditionalFormatting>
  <conditionalFormatting sqref="E19">
    <cfRule type="expression" dxfId="2034" priority="1880">
      <formula>$E19="MC"</formula>
    </cfRule>
  </conditionalFormatting>
  <conditionalFormatting sqref="B17:D17 F17:H17">
    <cfRule type="expression" dxfId="2033" priority="1879">
      <formula>$E17="MC"</formula>
    </cfRule>
  </conditionalFormatting>
  <conditionalFormatting sqref="B17:D17 H19 F17:H17">
    <cfRule type="expression" dxfId="2032" priority="1878">
      <formula>$E17="MC"</formula>
    </cfRule>
  </conditionalFormatting>
  <conditionalFormatting sqref="B17:D17 F17:H17">
    <cfRule type="expression" dxfId="2031" priority="1877">
      <formula>$E17="MC"</formula>
    </cfRule>
  </conditionalFormatting>
  <conditionalFormatting sqref="B17:D17 F17:H17">
    <cfRule type="expression" dxfId="2030" priority="1876">
      <formula>$E17="MC"</formula>
    </cfRule>
  </conditionalFormatting>
  <conditionalFormatting sqref="B17:D17 F17:G17">
    <cfRule type="expression" dxfId="2029" priority="1875">
      <formula>$E17="MC"</formula>
    </cfRule>
  </conditionalFormatting>
  <conditionalFormatting sqref="B17:D17 F17:G17">
    <cfRule type="expression" dxfId="2028" priority="1874">
      <formula>$E17="MC"</formula>
    </cfRule>
  </conditionalFormatting>
  <conditionalFormatting sqref="B17:D17 F17:G17">
    <cfRule type="expression" dxfId="2027" priority="1873">
      <formula>$E17="MC"</formula>
    </cfRule>
  </conditionalFormatting>
  <conditionalFormatting sqref="B17:D17 F17:G17">
    <cfRule type="expression" dxfId="2026" priority="1872">
      <formula>$E17="MC"</formula>
    </cfRule>
  </conditionalFormatting>
  <conditionalFormatting sqref="B17:D17 F17:G17">
    <cfRule type="expression" dxfId="2025" priority="1871">
      <formula>$E17="MC"</formula>
    </cfRule>
  </conditionalFormatting>
  <conditionalFormatting sqref="B17 D17 F17:G17">
    <cfRule type="expression" dxfId="2024" priority="1870">
      <formula>$E17="MC"</formula>
    </cfRule>
  </conditionalFormatting>
  <conditionalFormatting sqref="C17">
    <cfRule type="expression" dxfId="2023" priority="1869">
      <formula>$E17="MC"</formula>
    </cfRule>
  </conditionalFormatting>
  <conditionalFormatting sqref="B17:D17 F17:G17">
    <cfRule type="expression" dxfId="2022" priority="1868">
      <formula>$E17="MC"</formula>
    </cfRule>
  </conditionalFormatting>
  <conditionalFormatting sqref="B17:D17 F17:G17">
    <cfRule type="expression" dxfId="2021" priority="1867">
      <formula>$E17="MC"</formula>
    </cfRule>
  </conditionalFormatting>
  <conditionalFormatting sqref="H19">
    <cfRule type="expression" dxfId="2020" priority="1866">
      <formula>$E19="MC"</formula>
    </cfRule>
  </conditionalFormatting>
  <conditionalFormatting sqref="B17:D17 F17:H17 H19">
    <cfRule type="expression" dxfId="2019" priority="1865">
      <formula>$E17="MC"</formula>
    </cfRule>
  </conditionalFormatting>
  <conditionalFormatting sqref="B17:D17 F17:H17 H19">
    <cfRule type="expression" dxfId="2018" priority="1862">
      <formula>$E17="MC"</formula>
    </cfRule>
  </conditionalFormatting>
  <conditionalFormatting sqref="B17:D17 F17:H17 H19">
    <cfRule type="expression" dxfId="2017" priority="1861">
      <formula>$E17="MC"</formula>
    </cfRule>
  </conditionalFormatting>
  <conditionalFormatting sqref="B17:D17 F17:H17 H19">
    <cfRule type="expression" dxfId="2016" priority="1860">
      <formula>$E17="MC"</formula>
    </cfRule>
  </conditionalFormatting>
  <conditionalFormatting sqref="B17:D17 F17:H17 H19">
    <cfRule type="expression" dxfId="2015" priority="1864">
      <formula>$E17="MC"</formula>
    </cfRule>
  </conditionalFormatting>
  <conditionalFormatting sqref="F17:H17 B17:D17 H19">
    <cfRule type="expression" dxfId="2014" priority="1863">
      <formula>$E17="MC"</formula>
    </cfRule>
  </conditionalFormatting>
  <conditionalFormatting sqref="B17:D17 F17:H17 H19">
    <cfRule type="expression" dxfId="2013" priority="1859">
      <formula>$E17="MC"</formula>
    </cfRule>
  </conditionalFormatting>
  <conditionalFormatting sqref="B17:D17 F17:H17 H19">
    <cfRule type="expression" dxfId="2012" priority="1856">
      <formula>$E17="MC"</formula>
    </cfRule>
  </conditionalFormatting>
  <conditionalFormatting sqref="B17:D17 F17:H17 H19">
    <cfRule type="expression" dxfId="2011" priority="1855">
      <formula>$E17="MC"</formula>
    </cfRule>
  </conditionalFormatting>
  <conditionalFormatting sqref="B17:D17 F17:H17 H19">
    <cfRule type="expression" dxfId="2010" priority="1854">
      <formula>$E17="MC"</formula>
    </cfRule>
  </conditionalFormatting>
  <conditionalFormatting sqref="B17:D17 F17:H17 H19">
    <cfRule type="expression" dxfId="2009" priority="1858">
      <formula>$E17="MC"</formula>
    </cfRule>
  </conditionalFormatting>
  <conditionalFormatting sqref="F17:H17 B17:D17 H19">
    <cfRule type="expression" dxfId="2008" priority="1857">
      <formula>$E17="MC"</formula>
    </cfRule>
  </conditionalFormatting>
  <conditionalFormatting sqref="B17 D17 F17:G17">
    <cfRule type="expression" dxfId="2007" priority="1853">
      <formula>$E17="MC"</formula>
    </cfRule>
  </conditionalFormatting>
  <conditionalFormatting sqref="B17:C17 F17:G17">
    <cfRule type="expression" dxfId="2006" priority="1852">
      <formula>$E17="MC"</formula>
    </cfRule>
  </conditionalFormatting>
  <conditionalFormatting sqref="C17">
    <cfRule type="expression" dxfId="2005" priority="1851">
      <formula>$E17="MC"</formula>
    </cfRule>
  </conditionalFormatting>
  <conditionalFormatting sqref="B17:C17 F17:G17">
    <cfRule type="expression" dxfId="2004" priority="1850">
      <formula>$E17="MC"</formula>
    </cfRule>
  </conditionalFormatting>
  <conditionalFormatting sqref="B17:D17 F17:G17">
    <cfRule type="expression" dxfId="2003" priority="1849">
      <formula>$E17="MC"</formula>
    </cfRule>
  </conditionalFormatting>
  <conditionalFormatting sqref="B17:D17 F17:G17">
    <cfRule type="expression" dxfId="2002" priority="1848">
      <formula>$E17="MC"</formula>
    </cfRule>
  </conditionalFormatting>
  <conditionalFormatting sqref="B17:D17 F17:G17">
    <cfRule type="expression" dxfId="2001" priority="1847">
      <formula>$E17="MC"</formula>
    </cfRule>
  </conditionalFormatting>
  <conditionalFormatting sqref="B17:D17 F17">
    <cfRule type="expression" dxfId="2000" priority="1846">
      <formula>$E17="MC"</formula>
    </cfRule>
  </conditionalFormatting>
  <conditionalFormatting sqref="B17:D17 F17">
    <cfRule type="expression" dxfId="1999" priority="1845">
      <formula>$E17="MC"</formula>
    </cfRule>
  </conditionalFormatting>
  <conditionalFormatting sqref="G17">
    <cfRule type="expression" dxfId="1998" priority="1844">
      <formula>$E17="MC"</formula>
    </cfRule>
  </conditionalFormatting>
  <conditionalFormatting sqref="B17:D17 F17:G17">
    <cfRule type="expression" dxfId="1997" priority="1843">
      <formula>$E17="MC"</formula>
    </cfRule>
  </conditionalFormatting>
  <conditionalFormatting sqref="B17:D17 F17:G17">
    <cfRule type="expression" dxfId="1996" priority="1842">
      <formula>$E17="MC"</formula>
    </cfRule>
  </conditionalFormatting>
  <conditionalFormatting sqref="B17:D17 F17:G17">
    <cfRule type="expression" dxfId="1995" priority="1841">
      <formula>$E17="MC"</formula>
    </cfRule>
  </conditionalFormatting>
  <conditionalFormatting sqref="H17">
    <cfRule type="expression" dxfId="1994" priority="1840">
      <formula>$E17="MC"</formula>
    </cfRule>
  </conditionalFormatting>
  <conditionalFormatting sqref="H17">
    <cfRule type="expression" dxfId="1993" priority="1839">
      <formula>$E17="MC"</formula>
    </cfRule>
  </conditionalFormatting>
  <conditionalFormatting sqref="B17:D17 F17:G17">
    <cfRule type="expression" dxfId="1992" priority="1838">
      <formula>$E17="MC"</formula>
    </cfRule>
  </conditionalFormatting>
  <conditionalFormatting sqref="B17:D17 F17:G17">
    <cfRule type="expression" dxfId="1991" priority="1837">
      <formula>$E17="MC"</formula>
    </cfRule>
  </conditionalFormatting>
  <conditionalFormatting sqref="B17:D17 F17:G17">
    <cfRule type="expression" dxfId="1990" priority="1836">
      <formula>$E17="MC"</formula>
    </cfRule>
  </conditionalFormatting>
  <conditionalFormatting sqref="B17:D17 F17:G17">
    <cfRule type="expression" dxfId="1989" priority="1835">
      <formula>$E17="MC"</formula>
    </cfRule>
  </conditionalFormatting>
  <conditionalFormatting sqref="B17:D17 F17:G17">
    <cfRule type="expression" dxfId="1988" priority="1834">
      <formula>$E17="MC"</formula>
    </cfRule>
  </conditionalFormatting>
  <conditionalFormatting sqref="B17:D17 F17:G17">
    <cfRule type="expression" dxfId="1987" priority="1833">
      <formula>$E17="MC"</formula>
    </cfRule>
  </conditionalFormatting>
  <conditionalFormatting sqref="H17">
    <cfRule type="expression" dxfId="1986" priority="1832">
      <formula>$E17="MC"</formula>
    </cfRule>
  </conditionalFormatting>
  <conditionalFormatting sqref="H17">
    <cfRule type="expression" dxfId="1985" priority="1831">
      <formula>$E17="MC"</formula>
    </cfRule>
  </conditionalFormatting>
  <conditionalFormatting sqref="B17:D17 F17:G17">
    <cfRule type="expression" dxfId="1984" priority="1830">
      <formula>$E17="MC"</formula>
    </cfRule>
  </conditionalFormatting>
  <conditionalFormatting sqref="B17:D17 F17:G17">
    <cfRule type="expression" dxfId="1983" priority="1829">
      <formula>$E17="MC"</formula>
    </cfRule>
  </conditionalFormatting>
  <conditionalFormatting sqref="B17:D17 F17:G17">
    <cfRule type="expression" dxfId="1982" priority="1828">
      <formula>$E17="MC"</formula>
    </cfRule>
  </conditionalFormatting>
  <conditionalFormatting sqref="B17:D17 F17">
    <cfRule type="expression" dxfId="1981" priority="1827">
      <formula>$E17="MC"</formula>
    </cfRule>
  </conditionalFormatting>
  <conditionalFormatting sqref="B17:D17 F17">
    <cfRule type="expression" dxfId="1980" priority="1826">
      <formula>$E17="MC"</formula>
    </cfRule>
  </conditionalFormatting>
  <conditionalFormatting sqref="G17">
    <cfRule type="expression" dxfId="1979" priority="1825">
      <formula>$E17="MC"</formula>
    </cfRule>
  </conditionalFormatting>
  <conditionalFormatting sqref="B17:D17 F17:G17">
    <cfRule type="expression" dxfId="1978" priority="1824">
      <formula>$E17="MC"</formula>
    </cfRule>
  </conditionalFormatting>
  <conditionalFormatting sqref="H17">
    <cfRule type="expression" dxfId="1977" priority="1823">
      <formula>$E17="MC"</formula>
    </cfRule>
  </conditionalFormatting>
  <conditionalFormatting sqref="B17:D17 F17:G17">
    <cfRule type="expression" dxfId="1976" priority="1822">
      <formula>$E17="MC"</formula>
    </cfRule>
  </conditionalFormatting>
  <conditionalFormatting sqref="B17:D17 F17:G17">
    <cfRule type="expression" dxfId="1975" priority="1821">
      <formula>$E17="MC"</formula>
    </cfRule>
  </conditionalFormatting>
  <conditionalFormatting sqref="B17:D17 F17:G17">
    <cfRule type="expression" dxfId="1974" priority="1820">
      <formula>$E17="MC"</formula>
    </cfRule>
  </conditionalFormatting>
  <conditionalFormatting sqref="B17:C17 F17:G17">
    <cfRule type="expression" dxfId="1973" priority="1819">
      <formula>$E17="MC"</formula>
    </cfRule>
  </conditionalFormatting>
  <conditionalFormatting sqref="B17:C17 F17:G17">
    <cfRule type="expression" dxfId="1972" priority="1818">
      <formula>$E17="MC"</formula>
    </cfRule>
  </conditionalFormatting>
  <conditionalFormatting sqref="B17:C17 F17:G17">
    <cfRule type="expression" dxfId="1971" priority="1817">
      <formula>$E17="MC"</formula>
    </cfRule>
  </conditionalFormatting>
  <conditionalFormatting sqref="B17:C17 F17:G17">
    <cfRule type="expression" dxfId="1970" priority="1816">
      <formula>$E17="MC"</formula>
    </cfRule>
  </conditionalFormatting>
  <conditionalFormatting sqref="B17:C17 F17:G17">
    <cfRule type="expression" dxfId="1969" priority="1815">
      <formula>$E17="MC"</formula>
    </cfRule>
  </conditionalFormatting>
  <conditionalFormatting sqref="H17">
    <cfRule type="expression" dxfId="1968" priority="1814">
      <formula>$E17="MC"</formula>
    </cfRule>
  </conditionalFormatting>
  <conditionalFormatting sqref="H17">
    <cfRule type="expression" dxfId="1967" priority="1813">
      <formula>$E17="MC"</formula>
    </cfRule>
  </conditionalFormatting>
  <conditionalFormatting sqref="B17:C17 F17:G17">
    <cfRule type="expression" dxfId="1966" priority="1812">
      <formula>$E17="MC"</formula>
    </cfRule>
  </conditionalFormatting>
  <conditionalFormatting sqref="D17">
    <cfRule type="expression" dxfId="1965" priority="1811">
      <formula>$E17="MC"</formula>
    </cfRule>
  </conditionalFormatting>
  <conditionalFormatting sqref="D17">
    <cfRule type="expression" dxfId="1964" priority="1810">
      <formula>$E17="MC"</formula>
    </cfRule>
  </conditionalFormatting>
  <conditionalFormatting sqref="D17">
    <cfRule type="expression" dxfId="1963" priority="1809">
      <formula>$E17="MC"</formula>
    </cfRule>
  </conditionalFormatting>
  <conditionalFormatting sqref="D17">
    <cfRule type="expression" dxfId="1962" priority="1808">
      <formula>$E17="MC"</formula>
    </cfRule>
  </conditionalFormatting>
  <conditionalFormatting sqref="D17">
    <cfRule type="expression" dxfId="1961" priority="1807">
      <formula>$E17="MC"</formula>
    </cfRule>
  </conditionalFormatting>
  <conditionalFormatting sqref="D17">
    <cfRule type="expression" dxfId="1960" priority="1806">
      <formula>$E17="MC"</formula>
    </cfRule>
  </conditionalFormatting>
  <conditionalFormatting sqref="B17:D17 F17:G17">
    <cfRule type="expression" dxfId="1959" priority="1805">
      <formula>$E17="MC"</formula>
    </cfRule>
  </conditionalFormatting>
  <conditionalFormatting sqref="B17:D17 F17:G17">
    <cfRule type="expression" dxfId="1958" priority="1804">
      <formula>$E17="MC"</formula>
    </cfRule>
  </conditionalFormatting>
  <conditionalFormatting sqref="B17:D17 F17:G17">
    <cfRule type="expression" dxfId="1957" priority="1803">
      <formula>$E17="MC"</formula>
    </cfRule>
  </conditionalFormatting>
  <conditionalFormatting sqref="H17">
    <cfRule type="expression" dxfId="1956" priority="1802">
      <formula>$E17="MC"</formula>
    </cfRule>
  </conditionalFormatting>
  <conditionalFormatting sqref="H17">
    <cfRule type="expression" dxfId="1955" priority="1801">
      <formula>$E17="MC"</formula>
    </cfRule>
  </conditionalFormatting>
  <conditionalFormatting sqref="B17:D17 F17:G17">
    <cfRule type="expression" dxfId="1954" priority="1800">
      <formula>$E17="MC"</formula>
    </cfRule>
  </conditionalFormatting>
  <conditionalFormatting sqref="B17:D17 F17:G17">
    <cfRule type="expression" dxfId="1953" priority="1799">
      <formula>$E17="MC"</formula>
    </cfRule>
  </conditionalFormatting>
  <conditionalFormatting sqref="B17:D17 F17:G17">
    <cfRule type="expression" dxfId="1952" priority="1798">
      <formula>$E17="MC"</formula>
    </cfRule>
  </conditionalFormatting>
  <conditionalFormatting sqref="B17:D17 F17">
    <cfRule type="expression" dxfId="1951" priority="1797">
      <formula>$E17="MC"</formula>
    </cfRule>
  </conditionalFormatting>
  <conditionalFormatting sqref="B17:D17 F17">
    <cfRule type="expression" dxfId="1950" priority="1796">
      <formula>$E17="MC"</formula>
    </cfRule>
  </conditionalFormatting>
  <conditionalFormatting sqref="G17">
    <cfRule type="expression" dxfId="1949" priority="1795">
      <formula>$E17="MC"</formula>
    </cfRule>
  </conditionalFormatting>
  <conditionalFormatting sqref="B17:D17 F17:G17">
    <cfRule type="expression" dxfId="1948" priority="1794">
      <formula>$E17="MC"</formula>
    </cfRule>
  </conditionalFormatting>
  <conditionalFormatting sqref="H17">
    <cfRule type="expression" dxfId="1947" priority="1793">
      <formula>$E17="MC"</formula>
    </cfRule>
  </conditionalFormatting>
  <conditionalFormatting sqref="B17:D17 F17:G17">
    <cfRule type="expression" dxfId="1946" priority="1792">
      <formula>$E17="MC"</formula>
    </cfRule>
  </conditionalFormatting>
  <conditionalFormatting sqref="B17:D17 F17:G17">
    <cfRule type="expression" dxfId="1945" priority="1791">
      <formula>$E17="MC"</formula>
    </cfRule>
  </conditionalFormatting>
  <conditionalFormatting sqref="B17:D17 F17:G17">
    <cfRule type="expression" dxfId="1944" priority="1790">
      <formula>$E17="MC"</formula>
    </cfRule>
  </conditionalFormatting>
  <conditionalFormatting sqref="B17:C17 F17:G17">
    <cfRule type="expression" dxfId="1943" priority="1789">
      <formula>$E17="MC"</formula>
    </cfRule>
  </conditionalFormatting>
  <conditionalFormatting sqref="B17:C17 F17:G17">
    <cfRule type="expression" dxfId="1942" priority="1788">
      <formula>$E17="MC"</formula>
    </cfRule>
  </conditionalFormatting>
  <conditionalFormatting sqref="B17:C17 F17:G17">
    <cfRule type="expression" dxfId="1941" priority="1787">
      <formula>$E17="MC"</formula>
    </cfRule>
  </conditionalFormatting>
  <conditionalFormatting sqref="B17:C17 F17:G17">
    <cfRule type="expression" dxfId="1940" priority="1786">
      <formula>$E17="MC"</formula>
    </cfRule>
  </conditionalFormatting>
  <conditionalFormatting sqref="B17:C17 F17:G17">
    <cfRule type="expression" dxfId="1939" priority="1785">
      <formula>$E17="MC"</formula>
    </cfRule>
  </conditionalFormatting>
  <conditionalFormatting sqref="H17">
    <cfRule type="expression" dxfId="1938" priority="1784">
      <formula>$E17="MC"</formula>
    </cfRule>
  </conditionalFormatting>
  <conditionalFormatting sqref="H17">
    <cfRule type="expression" dxfId="1937" priority="1783">
      <formula>$E17="MC"</formula>
    </cfRule>
  </conditionalFormatting>
  <conditionalFormatting sqref="B17:C17 F17:G17">
    <cfRule type="expression" dxfId="1936" priority="1782">
      <formula>$E17="MC"</formula>
    </cfRule>
  </conditionalFormatting>
  <conditionalFormatting sqref="D17">
    <cfRule type="expression" dxfId="1935" priority="1781">
      <formula>$E17="MC"</formula>
    </cfRule>
  </conditionalFormatting>
  <conditionalFormatting sqref="D17">
    <cfRule type="expression" dxfId="1934" priority="1780">
      <formula>$E17="MC"</formula>
    </cfRule>
  </conditionalFormatting>
  <conditionalFormatting sqref="D17">
    <cfRule type="expression" dxfId="1933" priority="1779">
      <formula>$E17="MC"</formula>
    </cfRule>
  </conditionalFormatting>
  <conditionalFormatting sqref="D17">
    <cfRule type="expression" dxfId="1932" priority="1778">
      <formula>$E17="MC"</formula>
    </cfRule>
  </conditionalFormatting>
  <conditionalFormatting sqref="D17">
    <cfRule type="expression" dxfId="1931" priority="1777">
      <formula>$E17="MC"</formula>
    </cfRule>
  </conditionalFormatting>
  <conditionalFormatting sqref="D17">
    <cfRule type="expression" dxfId="1930" priority="1776">
      <formula>$E17="MC"</formula>
    </cfRule>
  </conditionalFormatting>
  <conditionalFormatting sqref="B17:D17 F17">
    <cfRule type="expression" dxfId="1929" priority="1775">
      <formula>$E17="MC"</formula>
    </cfRule>
  </conditionalFormatting>
  <conditionalFormatting sqref="B17:D17 F17">
    <cfRule type="expression" dxfId="1928" priority="1774">
      <formula>$E17="MC"</formula>
    </cfRule>
  </conditionalFormatting>
  <conditionalFormatting sqref="G17">
    <cfRule type="expression" dxfId="1927" priority="1773">
      <formula>$E17="MC"</formula>
    </cfRule>
  </conditionalFormatting>
  <conditionalFormatting sqref="B17:D17 F17:G17">
    <cfRule type="expression" dxfId="1926" priority="1772">
      <formula>$E17="MC"</formula>
    </cfRule>
  </conditionalFormatting>
  <conditionalFormatting sqref="H17">
    <cfRule type="expression" dxfId="1925" priority="1771">
      <formula>$E17="MC"</formula>
    </cfRule>
  </conditionalFormatting>
  <conditionalFormatting sqref="B17:D17 F17:G17">
    <cfRule type="expression" dxfId="1924" priority="1770">
      <formula>$E17="MC"</formula>
    </cfRule>
  </conditionalFormatting>
  <conditionalFormatting sqref="B17:D17 F17:G17">
    <cfRule type="expression" dxfId="1923" priority="1769">
      <formula>$E17="MC"</formula>
    </cfRule>
  </conditionalFormatting>
  <conditionalFormatting sqref="B17:D17 F17:G17">
    <cfRule type="expression" dxfId="1922" priority="1768">
      <formula>$E17="MC"</formula>
    </cfRule>
  </conditionalFormatting>
  <conditionalFormatting sqref="B17:C17 F17:G17">
    <cfRule type="expression" dxfId="1921" priority="1767">
      <formula>$E17="MC"</formula>
    </cfRule>
  </conditionalFormatting>
  <conditionalFormatting sqref="B17:C17 F17:G17">
    <cfRule type="expression" dxfId="1920" priority="1766">
      <formula>$E17="MC"</formula>
    </cfRule>
  </conditionalFormatting>
  <conditionalFormatting sqref="B17:C17 F17:G17">
    <cfRule type="expression" dxfId="1919" priority="1765">
      <formula>$E17="MC"</formula>
    </cfRule>
  </conditionalFormatting>
  <conditionalFormatting sqref="B17:C17 F17:G17">
    <cfRule type="expression" dxfId="1918" priority="1764">
      <formula>$E17="MC"</formula>
    </cfRule>
  </conditionalFormatting>
  <conditionalFormatting sqref="B17:C17 F17:G17">
    <cfRule type="expression" dxfId="1917" priority="1763">
      <formula>$E17="MC"</formula>
    </cfRule>
  </conditionalFormatting>
  <conditionalFormatting sqref="H17">
    <cfRule type="expression" dxfId="1916" priority="1762">
      <formula>$E17="MC"</formula>
    </cfRule>
  </conditionalFormatting>
  <conditionalFormatting sqref="H17">
    <cfRule type="expression" dxfId="1915" priority="1761">
      <formula>$E17="MC"</formula>
    </cfRule>
  </conditionalFormatting>
  <conditionalFormatting sqref="B17:C17 F17:G17">
    <cfRule type="expression" dxfId="1914" priority="1760">
      <formula>$E17="MC"</formula>
    </cfRule>
  </conditionalFormatting>
  <conditionalFormatting sqref="D17">
    <cfRule type="expression" dxfId="1913" priority="1759">
      <formula>$E17="MC"</formula>
    </cfRule>
  </conditionalFormatting>
  <conditionalFormatting sqref="D17">
    <cfRule type="expression" dxfId="1912" priority="1758">
      <formula>$E17="MC"</formula>
    </cfRule>
  </conditionalFormatting>
  <conditionalFormatting sqref="D17">
    <cfRule type="expression" dxfId="1911" priority="1757">
      <formula>$E17="MC"</formula>
    </cfRule>
  </conditionalFormatting>
  <conditionalFormatting sqref="D17">
    <cfRule type="expression" dxfId="1910" priority="1756">
      <formula>$E17="MC"</formula>
    </cfRule>
  </conditionalFormatting>
  <conditionalFormatting sqref="D17">
    <cfRule type="expression" dxfId="1909" priority="1755">
      <formula>$E17="MC"</formula>
    </cfRule>
  </conditionalFormatting>
  <conditionalFormatting sqref="D17">
    <cfRule type="expression" dxfId="1908" priority="1754">
      <formula>$E17="MC"</formula>
    </cfRule>
  </conditionalFormatting>
  <conditionalFormatting sqref="B17:C17 F17:G17">
    <cfRule type="expression" dxfId="1907" priority="1753">
      <formula>$E17="MC"</formula>
    </cfRule>
  </conditionalFormatting>
  <conditionalFormatting sqref="B17:C17 F17:G17">
    <cfRule type="expression" dxfId="1906" priority="1752">
      <formula>$E17="MC"</formula>
    </cfRule>
  </conditionalFormatting>
  <conditionalFormatting sqref="B17:C17 F17:G17">
    <cfRule type="expression" dxfId="1905" priority="1751">
      <formula>$E17="MC"</formula>
    </cfRule>
  </conditionalFormatting>
  <conditionalFormatting sqref="B17:C17 F17:G17">
    <cfRule type="expression" dxfId="1904" priority="1750">
      <formula>$E17="MC"</formula>
    </cfRule>
  </conditionalFormatting>
  <conditionalFormatting sqref="B17:C17 F17:G17">
    <cfRule type="expression" dxfId="1903" priority="1749">
      <formula>$E17="MC"</formula>
    </cfRule>
  </conditionalFormatting>
  <conditionalFormatting sqref="H17">
    <cfRule type="expression" dxfId="1902" priority="1748">
      <formula>$E17="MC"</formula>
    </cfRule>
  </conditionalFormatting>
  <conditionalFormatting sqref="H17">
    <cfRule type="expression" dxfId="1901" priority="1747">
      <formula>$E17="MC"</formula>
    </cfRule>
  </conditionalFormatting>
  <conditionalFormatting sqref="B17:C17 F17:G17">
    <cfRule type="expression" dxfId="1900" priority="1746">
      <formula>$E17="MC"</formula>
    </cfRule>
  </conditionalFormatting>
  <conditionalFormatting sqref="D17">
    <cfRule type="expression" dxfId="1899" priority="1745">
      <formula>$E17="MC"</formula>
    </cfRule>
  </conditionalFormatting>
  <conditionalFormatting sqref="D17">
    <cfRule type="expression" dxfId="1898" priority="1744">
      <formula>$E17="MC"</formula>
    </cfRule>
  </conditionalFormatting>
  <conditionalFormatting sqref="D17">
    <cfRule type="expression" dxfId="1897" priority="1743">
      <formula>$E17="MC"</formula>
    </cfRule>
  </conditionalFormatting>
  <conditionalFormatting sqref="D17">
    <cfRule type="expression" dxfId="1896" priority="1742">
      <formula>$E17="MC"</formula>
    </cfRule>
  </conditionalFormatting>
  <conditionalFormatting sqref="D17">
    <cfRule type="expression" dxfId="1895" priority="1741">
      <formula>$E17="MC"</formula>
    </cfRule>
  </conditionalFormatting>
  <conditionalFormatting sqref="D17">
    <cfRule type="expression" dxfId="1894" priority="1740">
      <formula>$E17="MC"</formula>
    </cfRule>
  </conditionalFormatting>
  <conditionalFormatting sqref="B17:D17 F17:G17">
    <cfRule type="expression" dxfId="1893" priority="1739">
      <formula>$E17="MC"</formula>
    </cfRule>
  </conditionalFormatting>
  <conditionalFormatting sqref="H17">
    <cfRule type="expression" dxfId="1892" priority="1736">
      <formula>$E17="MC"</formula>
    </cfRule>
  </conditionalFormatting>
  <conditionalFormatting sqref="B17:D17 F17:G17">
    <cfRule type="expression" dxfId="1891" priority="1738">
      <formula>$E17="MC"</formula>
    </cfRule>
  </conditionalFormatting>
  <conditionalFormatting sqref="H17">
    <cfRule type="expression" dxfId="1890" priority="1737">
      <formula>$E17="MC"</formula>
    </cfRule>
  </conditionalFormatting>
  <conditionalFormatting sqref="B17:D17 F17:G17">
    <cfRule type="expression" dxfId="1889" priority="1735">
      <formula>$E17="MC"</formula>
    </cfRule>
  </conditionalFormatting>
  <conditionalFormatting sqref="B17:D17 F17:G17">
    <cfRule type="expression" dxfId="1888" priority="1734">
      <formula>$E17="MC"</formula>
    </cfRule>
  </conditionalFormatting>
  <conditionalFormatting sqref="B17:D17 F17:G17">
    <cfRule type="expression" dxfId="1887" priority="1733">
      <formula>$E17="MC"</formula>
    </cfRule>
  </conditionalFormatting>
  <conditionalFormatting sqref="B17:D17 F17">
    <cfRule type="expression" dxfId="1886" priority="1732">
      <formula>$E17="MC"</formula>
    </cfRule>
  </conditionalFormatting>
  <conditionalFormatting sqref="B17:D17 F17">
    <cfRule type="expression" dxfId="1885" priority="1731">
      <formula>$E17="MC"</formula>
    </cfRule>
  </conditionalFormatting>
  <conditionalFormatting sqref="G17">
    <cfRule type="expression" dxfId="1884" priority="1730">
      <formula>$E17="MC"</formula>
    </cfRule>
  </conditionalFormatting>
  <conditionalFormatting sqref="B17:D17 F17:G17">
    <cfRule type="expression" dxfId="1883" priority="1729">
      <formula>$E17="MC"</formula>
    </cfRule>
  </conditionalFormatting>
  <conditionalFormatting sqref="H17">
    <cfRule type="expression" dxfId="1882" priority="1728">
      <formula>$E17="MC"</formula>
    </cfRule>
  </conditionalFormatting>
  <conditionalFormatting sqref="B17:D17 F17:G17">
    <cfRule type="expression" dxfId="1881" priority="1727">
      <formula>$E17="MC"</formula>
    </cfRule>
  </conditionalFormatting>
  <conditionalFormatting sqref="B17:D17 F17:G17">
    <cfRule type="expression" dxfId="1880" priority="1726">
      <formula>$E17="MC"</formula>
    </cfRule>
  </conditionalFormatting>
  <conditionalFormatting sqref="B17:D17 F17:G17">
    <cfRule type="expression" dxfId="1879" priority="1725">
      <formula>$E17="MC"</formula>
    </cfRule>
  </conditionalFormatting>
  <conditionalFormatting sqref="B17:C17 F17:G17">
    <cfRule type="expression" dxfId="1878" priority="1724">
      <formula>$E17="MC"</formula>
    </cfRule>
  </conditionalFormatting>
  <conditionalFormatting sqref="B17:C17 F17:G17">
    <cfRule type="expression" dxfId="1877" priority="1723">
      <formula>$E17="MC"</formula>
    </cfRule>
  </conditionalFormatting>
  <conditionalFormatting sqref="B17:C17 F17:G17">
    <cfRule type="expression" dxfId="1876" priority="1722">
      <formula>$E17="MC"</formula>
    </cfRule>
  </conditionalFormatting>
  <conditionalFormatting sqref="B17:C17 F17:G17">
    <cfRule type="expression" dxfId="1875" priority="1721">
      <formula>$E17="MC"</formula>
    </cfRule>
  </conditionalFormatting>
  <conditionalFormatting sqref="B17:C17 F17:G17">
    <cfRule type="expression" dxfId="1874" priority="1720">
      <formula>$E17="MC"</formula>
    </cfRule>
  </conditionalFormatting>
  <conditionalFormatting sqref="H17">
    <cfRule type="expression" dxfId="1873" priority="1719">
      <formula>$E17="MC"</formula>
    </cfRule>
  </conditionalFormatting>
  <conditionalFormatting sqref="H17">
    <cfRule type="expression" dxfId="1872" priority="1718">
      <formula>$E17="MC"</formula>
    </cfRule>
  </conditionalFormatting>
  <conditionalFormatting sqref="B17:C17 F17:G17">
    <cfRule type="expression" dxfId="1871" priority="1717">
      <formula>$E17="MC"</formula>
    </cfRule>
  </conditionalFormatting>
  <conditionalFormatting sqref="D17">
    <cfRule type="expression" dxfId="1870" priority="1716">
      <formula>$E17="MC"</formula>
    </cfRule>
  </conditionalFormatting>
  <conditionalFormatting sqref="D17">
    <cfRule type="expression" dxfId="1869" priority="1715">
      <formula>$E17="MC"</formula>
    </cfRule>
  </conditionalFormatting>
  <conditionalFormatting sqref="D17">
    <cfRule type="expression" dxfId="1868" priority="1714">
      <formula>$E17="MC"</formula>
    </cfRule>
  </conditionalFormatting>
  <conditionalFormatting sqref="D17">
    <cfRule type="expression" dxfId="1867" priority="1713">
      <formula>$E17="MC"</formula>
    </cfRule>
  </conditionalFormatting>
  <conditionalFormatting sqref="D17">
    <cfRule type="expression" dxfId="1866" priority="1712">
      <formula>$E17="MC"</formula>
    </cfRule>
  </conditionalFormatting>
  <conditionalFormatting sqref="D17">
    <cfRule type="expression" dxfId="1865" priority="1711">
      <formula>$E17="MC"</formula>
    </cfRule>
  </conditionalFormatting>
  <conditionalFormatting sqref="B17:C17 F17:G17">
    <cfRule type="expression" dxfId="1864" priority="1710">
      <formula>$E17="MC"</formula>
    </cfRule>
  </conditionalFormatting>
  <conditionalFormatting sqref="B17:C17 F17:G17">
    <cfRule type="expression" dxfId="1863" priority="1709">
      <formula>$E17="MC"</formula>
    </cfRule>
  </conditionalFormatting>
  <conditionalFormatting sqref="B17:C17 F17:G17">
    <cfRule type="expression" dxfId="1862" priority="1708">
      <formula>$E17="MC"</formula>
    </cfRule>
  </conditionalFormatting>
  <conditionalFormatting sqref="B17:C17 F17:G17">
    <cfRule type="expression" dxfId="1861" priority="1707">
      <formula>$E17="MC"</formula>
    </cfRule>
  </conditionalFormatting>
  <conditionalFormatting sqref="B17:C17 F17:G17">
    <cfRule type="expression" dxfId="1860" priority="1706">
      <formula>$E17="MC"</formula>
    </cfRule>
  </conditionalFormatting>
  <conditionalFormatting sqref="H17">
    <cfRule type="expression" dxfId="1859" priority="1705">
      <formula>$E17="MC"</formula>
    </cfRule>
  </conditionalFormatting>
  <conditionalFormatting sqref="H17">
    <cfRule type="expression" dxfId="1858" priority="1704">
      <formula>$E17="MC"</formula>
    </cfRule>
  </conditionalFormatting>
  <conditionalFormatting sqref="B17:C17 F17:G17">
    <cfRule type="expression" dxfId="1857" priority="1703">
      <formula>$E17="MC"</formula>
    </cfRule>
  </conditionalFormatting>
  <conditionalFormatting sqref="D17">
    <cfRule type="expression" dxfId="1856" priority="1702">
      <formula>$E17="MC"</formula>
    </cfRule>
  </conditionalFormatting>
  <conditionalFormatting sqref="D17">
    <cfRule type="expression" dxfId="1855" priority="1701">
      <formula>$E17="MC"</formula>
    </cfRule>
  </conditionalFormatting>
  <conditionalFormatting sqref="D17">
    <cfRule type="expression" dxfId="1854" priority="1700">
      <formula>$E17="MC"</formula>
    </cfRule>
  </conditionalFormatting>
  <conditionalFormatting sqref="D17">
    <cfRule type="expression" dxfId="1853" priority="1699">
      <formula>$E17="MC"</formula>
    </cfRule>
  </conditionalFormatting>
  <conditionalFormatting sqref="D17">
    <cfRule type="expression" dxfId="1852" priority="1698">
      <formula>$E17="MC"</formula>
    </cfRule>
  </conditionalFormatting>
  <conditionalFormatting sqref="D17">
    <cfRule type="expression" dxfId="1851" priority="1697">
      <formula>$E17="MC"</formula>
    </cfRule>
  </conditionalFormatting>
  <conditionalFormatting sqref="B17:D17 F17:G17">
    <cfRule type="expression" dxfId="1850" priority="1696">
      <formula>$E17="MC"</formula>
    </cfRule>
  </conditionalFormatting>
  <conditionalFormatting sqref="H17">
    <cfRule type="expression" dxfId="1849" priority="1693">
      <formula>$E17="MC"</formula>
    </cfRule>
  </conditionalFormatting>
  <conditionalFormatting sqref="B17:D17 F17:G17">
    <cfRule type="expression" dxfId="1848" priority="1695">
      <formula>$E17="MC"</formula>
    </cfRule>
  </conditionalFormatting>
  <conditionalFormatting sqref="H17">
    <cfRule type="expression" dxfId="1847" priority="1694">
      <formula>$E17="MC"</formula>
    </cfRule>
  </conditionalFormatting>
  <conditionalFormatting sqref="B17:D17 F17:G17">
    <cfRule type="expression" dxfId="1846" priority="1692">
      <formula>$E17="MC"</formula>
    </cfRule>
  </conditionalFormatting>
  <conditionalFormatting sqref="B17:D17 F17:G17">
    <cfRule type="expression" dxfId="1845" priority="1691">
      <formula>$E17="MC"</formula>
    </cfRule>
  </conditionalFormatting>
  <conditionalFormatting sqref="B17:D17 F17:G17">
    <cfRule type="expression" dxfId="1844" priority="1690">
      <formula>$E17="MC"</formula>
    </cfRule>
  </conditionalFormatting>
  <conditionalFormatting sqref="B17:C17 F17:G17">
    <cfRule type="expression" dxfId="1843" priority="1689">
      <formula>$E17="MC"</formula>
    </cfRule>
  </conditionalFormatting>
  <conditionalFormatting sqref="B17:C17 F17:G17">
    <cfRule type="expression" dxfId="1842" priority="1688">
      <formula>$E17="MC"</formula>
    </cfRule>
  </conditionalFormatting>
  <conditionalFormatting sqref="B17:C17 F17:G17">
    <cfRule type="expression" dxfId="1841" priority="1687">
      <formula>$E17="MC"</formula>
    </cfRule>
  </conditionalFormatting>
  <conditionalFormatting sqref="B17:C17 F17:G17">
    <cfRule type="expression" dxfId="1840" priority="1686">
      <formula>$E17="MC"</formula>
    </cfRule>
  </conditionalFormatting>
  <conditionalFormatting sqref="B17:C17 F17:G17">
    <cfRule type="expression" dxfId="1839" priority="1685">
      <formula>$E17="MC"</formula>
    </cfRule>
  </conditionalFormatting>
  <conditionalFormatting sqref="H17">
    <cfRule type="expression" dxfId="1838" priority="1684">
      <formula>$E17="MC"</formula>
    </cfRule>
  </conditionalFormatting>
  <conditionalFormatting sqref="H17">
    <cfRule type="expression" dxfId="1837" priority="1683">
      <formula>$E17="MC"</formula>
    </cfRule>
  </conditionalFormatting>
  <conditionalFormatting sqref="B17:C17 F17:G17">
    <cfRule type="expression" dxfId="1836" priority="1682">
      <formula>$E17="MC"</formula>
    </cfRule>
  </conditionalFormatting>
  <conditionalFormatting sqref="D17">
    <cfRule type="expression" dxfId="1835" priority="1681">
      <formula>$E17="MC"</formula>
    </cfRule>
  </conditionalFormatting>
  <conditionalFormatting sqref="D17">
    <cfRule type="expression" dxfId="1834" priority="1680">
      <formula>$E17="MC"</formula>
    </cfRule>
  </conditionalFormatting>
  <conditionalFormatting sqref="D17">
    <cfRule type="expression" dxfId="1833" priority="1679">
      <formula>$E17="MC"</formula>
    </cfRule>
  </conditionalFormatting>
  <conditionalFormatting sqref="D17">
    <cfRule type="expression" dxfId="1832" priority="1678">
      <formula>$E17="MC"</formula>
    </cfRule>
  </conditionalFormatting>
  <conditionalFormatting sqref="D17">
    <cfRule type="expression" dxfId="1831" priority="1677">
      <formula>$E17="MC"</formula>
    </cfRule>
  </conditionalFormatting>
  <conditionalFormatting sqref="D17">
    <cfRule type="expression" dxfId="1830" priority="1676">
      <formula>$E17="MC"</formula>
    </cfRule>
  </conditionalFormatting>
  <conditionalFormatting sqref="B17:D17 F17:G17">
    <cfRule type="expression" dxfId="1829" priority="1675">
      <formula>$E17="MC"</formula>
    </cfRule>
  </conditionalFormatting>
  <conditionalFormatting sqref="H17">
    <cfRule type="expression" dxfId="1828" priority="1672">
      <formula>$E17="MC"</formula>
    </cfRule>
  </conditionalFormatting>
  <conditionalFormatting sqref="B17:D17 F17:G17">
    <cfRule type="expression" dxfId="1827" priority="1674">
      <formula>$E17="MC"</formula>
    </cfRule>
  </conditionalFormatting>
  <conditionalFormatting sqref="H17">
    <cfRule type="expression" dxfId="1826" priority="1673">
      <formula>$E17="MC"</formula>
    </cfRule>
  </conditionalFormatting>
  <conditionalFormatting sqref="B17:D17 F17:G17">
    <cfRule type="expression" dxfId="1825" priority="1671">
      <formula>$E17="MC"</formula>
    </cfRule>
  </conditionalFormatting>
  <conditionalFormatting sqref="B17:D17 F17:G17">
    <cfRule type="expression" dxfId="1824" priority="1670">
      <formula>$E17="MC"</formula>
    </cfRule>
  </conditionalFormatting>
  <conditionalFormatting sqref="B17:D17 F17:G17">
    <cfRule type="expression" dxfId="1823" priority="1669">
      <formula>$E17="MC"</formula>
    </cfRule>
  </conditionalFormatting>
  <conditionalFormatting sqref="B17:D17 F17:G17">
    <cfRule type="expression" dxfId="1822" priority="1668">
      <formula>$E17="MC"</formula>
    </cfRule>
  </conditionalFormatting>
  <conditionalFormatting sqref="H17">
    <cfRule type="expression" dxfId="1821" priority="1665">
      <formula>$E17="MC"</formula>
    </cfRule>
  </conditionalFormatting>
  <conditionalFormatting sqref="B17:D17 F17:G17">
    <cfRule type="expression" dxfId="1820" priority="1667">
      <formula>$E17="MC"</formula>
    </cfRule>
  </conditionalFormatting>
  <conditionalFormatting sqref="H17">
    <cfRule type="expression" dxfId="1819" priority="1666">
      <formula>$E17="MC"</formula>
    </cfRule>
  </conditionalFormatting>
  <conditionalFormatting sqref="B17:D17 F17:G17">
    <cfRule type="expression" dxfId="1818" priority="1664">
      <formula>$E17="MC"</formula>
    </cfRule>
  </conditionalFormatting>
  <conditionalFormatting sqref="B17:D17 F17:G17">
    <cfRule type="expression" dxfId="1817" priority="1663">
      <formula>$E17="MC"</formula>
    </cfRule>
  </conditionalFormatting>
  <conditionalFormatting sqref="B17:D17 F17:G17">
    <cfRule type="expression" dxfId="1816" priority="1662">
      <formula>$E17="MC"</formula>
    </cfRule>
  </conditionalFormatting>
  <conditionalFormatting sqref="D17">
    <cfRule type="expression" dxfId="1815" priority="1661">
      <formula>$E17="MC"</formula>
    </cfRule>
  </conditionalFormatting>
  <conditionalFormatting sqref="B17:C17 F17:G17">
    <cfRule type="expression" dxfId="1814" priority="1660">
      <formula>$E17="MC"</formula>
    </cfRule>
  </conditionalFormatting>
  <conditionalFormatting sqref="B17:C17 F17:G17">
    <cfRule type="expression" dxfId="1813" priority="1659">
      <formula>$E17="MC"</formula>
    </cfRule>
  </conditionalFormatting>
  <conditionalFormatting sqref="B17:C17 F17:G17">
    <cfRule type="expression" dxfId="1812" priority="1658">
      <formula>$E17="MC"</formula>
    </cfRule>
  </conditionalFormatting>
  <conditionalFormatting sqref="B17:C17 F17:G17">
    <cfRule type="expression" dxfId="1811" priority="1657">
      <formula>$E17="MC"</formula>
    </cfRule>
  </conditionalFormatting>
  <conditionalFormatting sqref="B17:C17 F17:G17">
    <cfRule type="expression" dxfId="1810" priority="1656">
      <formula>$E17="MC"</formula>
    </cfRule>
  </conditionalFormatting>
  <conditionalFormatting sqref="H17">
    <cfRule type="expression" dxfId="1809" priority="1655">
      <formula>$E17="MC"</formula>
    </cfRule>
  </conditionalFormatting>
  <conditionalFormatting sqref="H17">
    <cfRule type="expression" dxfId="1808" priority="1654">
      <formula>$E17="MC"</formula>
    </cfRule>
  </conditionalFormatting>
  <conditionalFormatting sqref="B17:C17 F17:G17">
    <cfRule type="expression" dxfId="1807" priority="1653">
      <formula>$E17="MC"</formula>
    </cfRule>
  </conditionalFormatting>
  <conditionalFormatting sqref="D17">
    <cfRule type="expression" dxfId="1806" priority="1652">
      <formula>$E17="MC"</formula>
    </cfRule>
  </conditionalFormatting>
  <conditionalFormatting sqref="D17">
    <cfRule type="expression" dxfId="1805" priority="1651">
      <formula>$E17="MC"</formula>
    </cfRule>
  </conditionalFormatting>
  <conditionalFormatting sqref="D17">
    <cfRule type="expression" dxfId="1804" priority="1650">
      <formula>$E17="MC"</formula>
    </cfRule>
  </conditionalFormatting>
  <conditionalFormatting sqref="D17">
    <cfRule type="expression" dxfId="1803" priority="1649">
      <formula>$E17="MC"</formula>
    </cfRule>
  </conditionalFormatting>
  <conditionalFormatting sqref="D17">
    <cfRule type="expression" dxfId="1802" priority="1648">
      <formula>$E17="MC"</formula>
    </cfRule>
  </conditionalFormatting>
  <conditionalFormatting sqref="D17">
    <cfRule type="expression" dxfId="1801" priority="1647">
      <formula>$E17="MC"</formula>
    </cfRule>
  </conditionalFormatting>
  <conditionalFormatting sqref="B17:D17 F17:G17">
    <cfRule type="expression" dxfId="1800" priority="1646">
      <formula>$E17="MC"</formula>
    </cfRule>
  </conditionalFormatting>
  <conditionalFormatting sqref="H17">
    <cfRule type="expression" dxfId="1799" priority="1643">
      <formula>$E17="MC"</formula>
    </cfRule>
  </conditionalFormatting>
  <conditionalFormatting sqref="B17:D17 F17:G17">
    <cfRule type="expression" dxfId="1798" priority="1645">
      <formula>$E17="MC"</formula>
    </cfRule>
  </conditionalFormatting>
  <conditionalFormatting sqref="H17">
    <cfRule type="expression" dxfId="1797" priority="1644">
      <formula>$E17="MC"</formula>
    </cfRule>
  </conditionalFormatting>
  <conditionalFormatting sqref="B17:D17 F17:G17">
    <cfRule type="expression" dxfId="1796" priority="1642">
      <formula>$E17="MC"</formula>
    </cfRule>
  </conditionalFormatting>
  <conditionalFormatting sqref="B17:D17 F17:G17">
    <cfRule type="expression" dxfId="1795" priority="1641">
      <formula>$E17="MC"</formula>
    </cfRule>
  </conditionalFormatting>
  <conditionalFormatting sqref="B17:D17 F17:G17">
    <cfRule type="expression" dxfId="1794" priority="1640">
      <formula>$E17="MC"</formula>
    </cfRule>
  </conditionalFormatting>
  <conditionalFormatting sqref="B17:D17 F17:G17">
    <cfRule type="expression" dxfId="1793" priority="1639">
      <formula>$E17="MC"</formula>
    </cfRule>
  </conditionalFormatting>
  <conditionalFormatting sqref="H17">
    <cfRule type="expression" dxfId="1792" priority="1636">
      <formula>$E17="MC"</formula>
    </cfRule>
  </conditionalFormatting>
  <conditionalFormatting sqref="B17:D17 F17:G17">
    <cfRule type="expression" dxfId="1791" priority="1638">
      <formula>$E17="MC"</formula>
    </cfRule>
  </conditionalFormatting>
  <conditionalFormatting sqref="H17">
    <cfRule type="expression" dxfId="1790" priority="1637">
      <formula>$E17="MC"</formula>
    </cfRule>
  </conditionalFormatting>
  <conditionalFormatting sqref="B17:D17 F17:G17">
    <cfRule type="expression" dxfId="1789" priority="1635">
      <formula>$E17="MC"</formula>
    </cfRule>
  </conditionalFormatting>
  <conditionalFormatting sqref="B17:D17 F17:G17">
    <cfRule type="expression" dxfId="1788" priority="1634">
      <formula>$E17="MC"</formula>
    </cfRule>
  </conditionalFormatting>
  <conditionalFormatting sqref="B17:D17 F17:G17">
    <cfRule type="expression" dxfId="1787" priority="1633">
      <formula>$E17="MC"</formula>
    </cfRule>
  </conditionalFormatting>
  <conditionalFormatting sqref="D17">
    <cfRule type="expression" dxfId="1786" priority="1632">
      <formula>$E17="MC"</formula>
    </cfRule>
  </conditionalFormatting>
  <conditionalFormatting sqref="B17:D17 F17:G17">
    <cfRule type="expression" dxfId="1785" priority="1631">
      <formula>$E17="MC"</formula>
    </cfRule>
  </conditionalFormatting>
  <conditionalFormatting sqref="H17">
    <cfRule type="expression" dxfId="1784" priority="1628">
      <formula>$E17="MC"</formula>
    </cfRule>
  </conditionalFormatting>
  <conditionalFormatting sqref="B17:D17 F17:G17">
    <cfRule type="expression" dxfId="1783" priority="1630">
      <formula>$E17="MC"</formula>
    </cfRule>
  </conditionalFormatting>
  <conditionalFormatting sqref="H17">
    <cfRule type="expression" dxfId="1782" priority="1629">
      <formula>$E17="MC"</formula>
    </cfRule>
  </conditionalFormatting>
  <conditionalFormatting sqref="B17:D17 F17:G17">
    <cfRule type="expression" dxfId="1781" priority="1627">
      <formula>$E17="MC"</formula>
    </cfRule>
  </conditionalFormatting>
  <conditionalFormatting sqref="B17:D17 F17:G17">
    <cfRule type="expression" dxfId="1780" priority="1626">
      <formula>$E17="MC"</formula>
    </cfRule>
  </conditionalFormatting>
  <conditionalFormatting sqref="B17:D17 F17:G17">
    <cfRule type="expression" dxfId="1779" priority="1625">
      <formula>$E17="MC"</formula>
    </cfRule>
  </conditionalFormatting>
  <conditionalFormatting sqref="D17">
    <cfRule type="expression" dxfId="1778" priority="1624">
      <formula>$E17="MC"</formula>
    </cfRule>
  </conditionalFormatting>
  <conditionalFormatting sqref="D17">
    <cfRule type="expression" dxfId="1777" priority="1623">
      <formula>$E17="MC"</formula>
    </cfRule>
  </conditionalFormatting>
  <conditionalFormatting sqref="H19">
    <cfRule type="expression" dxfId="1776" priority="1622">
      <formula>$E19="MC"</formula>
    </cfRule>
  </conditionalFormatting>
  <conditionalFormatting sqref="H19">
    <cfRule type="expression" dxfId="1775" priority="1621">
      <formula>$E19="MC"</formula>
    </cfRule>
  </conditionalFormatting>
  <conditionalFormatting sqref="H19">
    <cfRule type="expression" dxfId="1774" priority="1619">
      <formula>$E19="MC"</formula>
    </cfRule>
  </conditionalFormatting>
  <conditionalFormatting sqref="H19">
    <cfRule type="expression" dxfId="1773" priority="1620">
      <formula>$E19="MC"</formula>
    </cfRule>
  </conditionalFormatting>
  <conditionalFormatting sqref="H19">
    <cfRule type="expression" dxfId="1772" priority="1617">
      <formula>$E19="MC"</formula>
    </cfRule>
  </conditionalFormatting>
  <conditionalFormatting sqref="H19">
    <cfRule type="expression" dxfId="1771" priority="1618">
      <formula>$E19="MC"</formula>
    </cfRule>
  </conditionalFormatting>
  <conditionalFormatting sqref="H19">
    <cfRule type="expression" dxfId="1770" priority="1615">
      <formula>$E19="MC"</formula>
    </cfRule>
  </conditionalFormatting>
  <conditionalFormatting sqref="H19">
    <cfRule type="expression" dxfId="1769" priority="1616">
      <formula>$E19="MC"</formula>
    </cfRule>
  </conditionalFormatting>
  <conditionalFormatting sqref="H19">
    <cfRule type="expression" dxfId="1768" priority="1613">
      <formula>$E19="MC"</formula>
    </cfRule>
  </conditionalFormatting>
  <conditionalFormatting sqref="H19">
    <cfRule type="expression" dxfId="1767" priority="1614">
      <formula>$E19="MC"</formula>
    </cfRule>
  </conditionalFormatting>
  <conditionalFormatting sqref="B15:D15 F15:H15">
    <cfRule type="expression" dxfId="1766" priority="1612">
      <formula>$E15="MC"</formula>
    </cfRule>
  </conditionalFormatting>
  <conditionalFormatting sqref="B16:D16 F16:H16">
    <cfRule type="expression" dxfId="1765" priority="1611">
      <formula>$E16="MC"</formula>
    </cfRule>
  </conditionalFormatting>
  <conditionalFormatting sqref="B19">
    <cfRule type="expression" dxfId="1764" priority="1610">
      <formula>$E19="MC"</formula>
    </cfRule>
  </conditionalFormatting>
  <conditionalFormatting sqref="B19">
    <cfRule type="expression" dxfId="1763" priority="1607">
      <formula>$E19="MC"</formula>
    </cfRule>
  </conditionalFormatting>
  <conditionalFormatting sqref="B19">
    <cfRule type="expression" dxfId="1762" priority="1606">
      <formula>$E19="MC"</formula>
    </cfRule>
  </conditionalFormatting>
  <conditionalFormatting sqref="B19">
    <cfRule type="expression" dxfId="1761" priority="1605">
      <formula>$E19="MC"</formula>
    </cfRule>
  </conditionalFormatting>
  <conditionalFormatting sqref="B19">
    <cfRule type="expression" dxfId="1760" priority="1609">
      <formula>$E19="MC"</formula>
    </cfRule>
  </conditionalFormatting>
  <conditionalFormatting sqref="B19">
    <cfRule type="expression" dxfId="1759" priority="1608">
      <formula>$E19="MC"</formula>
    </cfRule>
  </conditionalFormatting>
  <conditionalFormatting sqref="B19">
    <cfRule type="expression" dxfId="1758" priority="1604">
      <formula>$E19="MC"</formula>
    </cfRule>
  </conditionalFormatting>
  <conditionalFormatting sqref="B19">
    <cfRule type="expression" dxfId="1757" priority="1603">
      <formula>$E19="MC"</formula>
    </cfRule>
  </conditionalFormatting>
  <conditionalFormatting sqref="B19">
    <cfRule type="expression" dxfId="1756" priority="1602">
      <formula>$E19="MC"</formula>
    </cfRule>
  </conditionalFormatting>
  <conditionalFormatting sqref="B19">
    <cfRule type="expression" dxfId="1755" priority="1601">
      <formula>$E19="MC"</formula>
    </cfRule>
  </conditionalFormatting>
  <conditionalFormatting sqref="B19">
    <cfRule type="expression" dxfId="1754" priority="1600">
      <formula>$E19="MC"</formula>
    </cfRule>
  </conditionalFormatting>
  <conditionalFormatting sqref="B19">
    <cfRule type="expression" dxfId="1753" priority="1599">
      <formula>$E19="MC"</formula>
    </cfRule>
  </conditionalFormatting>
  <conditionalFormatting sqref="B19">
    <cfRule type="expression" dxfId="1752" priority="1598">
      <formula>$E19="MC"</formula>
    </cfRule>
  </conditionalFormatting>
  <conditionalFormatting sqref="B19">
    <cfRule type="expression" dxfId="1751" priority="1597">
      <formula>$E19="MC"</formula>
    </cfRule>
  </conditionalFormatting>
  <conditionalFormatting sqref="B19">
    <cfRule type="expression" dxfId="1750" priority="1594">
      <formula>$E19="MC"</formula>
    </cfRule>
  </conditionalFormatting>
  <conditionalFormatting sqref="B19">
    <cfRule type="expression" dxfId="1749" priority="1593">
      <formula>$E19="MC"</formula>
    </cfRule>
  </conditionalFormatting>
  <conditionalFormatting sqref="B19">
    <cfRule type="expression" dxfId="1748" priority="1592">
      <formula>$E19="MC"</formula>
    </cfRule>
  </conditionalFormatting>
  <conditionalFormatting sqref="B19">
    <cfRule type="expression" dxfId="1747" priority="1596">
      <formula>$E19="MC"</formula>
    </cfRule>
  </conditionalFormatting>
  <conditionalFormatting sqref="B19">
    <cfRule type="expression" dxfId="1746" priority="1595">
      <formula>$E19="MC"</formula>
    </cfRule>
  </conditionalFormatting>
  <conditionalFormatting sqref="B19">
    <cfRule type="expression" dxfId="1745" priority="1591">
      <formula>$E19="MC"</formula>
    </cfRule>
  </conditionalFormatting>
  <conditionalFormatting sqref="B19">
    <cfRule type="expression" dxfId="1744" priority="1588">
      <formula>$E19="MC"</formula>
    </cfRule>
  </conditionalFormatting>
  <conditionalFormatting sqref="B19">
    <cfRule type="expression" dxfId="1743" priority="1587">
      <formula>$E19="MC"</formula>
    </cfRule>
  </conditionalFormatting>
  <conditionalFormatting sqref="B19">
    <cfRule type="expression" dxfId="1742" priority="1586">
      <formula>$E19="MC"</formula>
    </cfRule>
  </conditionalFormatting>
  <conditionalFormatting sqref="B19">
    <cfRule type="expression" dxfId="1741" priority="1590">
      <formula>$E19="MC"</formula>
    </cfRule>
  </conditionalFormatting>
  <conditionalFormatting sqref="B19">
    <cfRule type="expression" dxfId="1740" priority="1589">
      <formula>$E19="MC"</formula>
    </cfRule>
  </conditionalFormatting>
  <conditionalFormatting sqref="B19">
    <cfRule type="expression" dxfId="1739" priority="1585">
      <formula>$E19="MC"</formula>
    </cfRule>
  </conditionalFormatting>
  <conditionalFormatting sqref="B19">
    <cfRule type="expression" dxfId="1738" priority="1582">
      <formula>$E19="MC"</formula>
    </cfRule>
  </conditionalFormatting>
  <conditionalFormatting sqref="B19">
    <cfRule type="expression" dxfId="1737" priority="1581">
      <formula>$E19="MC"</formula>
    </cfRule>
  </conditionalFormatting>
  <conditionalFormatting sqref="B19">
    <cfRule type="expression" dxfId="1736" priority="1580">
      <formula>$E19="MC"</formula>
    </cfRule>
  </conditionalFormatting>
  <conditionalFormatting sqref="B19">
    <cfRule type="expression" dxfId="1735" priority="1584">
      <formula>$E19="MC"</formula>
    </cfRule>
  </conditionalFormatting>
  <conditionalFormatting sqref="B19">
    <cfRule type="expression" dxfId="1734" priority="1583">
      <formula>$E19="MC"</formula>
    </cfRule>
  </conditionalFormatting>
  <conditionalFormatting sqref="B19">
    <cfRule type="expression" dxfId="1733" priority="1579">
      <formula>$E19="MC"</formula>
    </cfRule>
  </conditionalFormatting>
  <conditionalFormatting sqref="B19">
    <cfRule type="expression" dxfId="1732" priority="1578">
      <formula>$E19="MC"</formula>
    </cfRule>
  </conditionalFormatting>
  <conditionalFormatting sqref="B19">
    <cfRule type="expression" dxfId="1731" priority="1577">
      <formula>$E19="MC"</formula>
    </cfRule>
  </conditionalFormatting>
  <conditionalFormatting sqref="B19">
    <cfRule type="expression" dxfId="1730" priority="1576">
      <formula>$E19="MC"</formula>
    </cfRule>
  </conditionalFormatting>
  <conditionalFormatting sqref="B19">
    <cfRule type="expression" dxfId="1729" priority="1575">
      <formula>$E19="MC"</formula>
    </cfRule>
  </conditionalFormatting>
  <conditionalFormatting sqref="B19">
    <cfRule type="expression" dxfId="1728" priority="1574">
      <formula>$E19="MC"</formula>
    </cfRule>
  </conditionalFormatting>
  <conditionalFormatting sqref="B19">
    <cfRule type="expression" dxfId="1727" priority="1573">
      <formula>$E19="MC"</formula>
    </cfRule>
  </conditionalFormatting>
  <conditionalFormatting sqref="B19">
    <cfRule type="expression" dxfId="1726" priority="1572">
      <formula>$E19="MC"</formula>
    </cfRule>
  </conditionalFormatting>
  <conditionalFormatting sqref="B19">
    <cfRule type="expression" dxfId="1725" priority="1571">
      <formula>$E19="MC"</formula>
    </cfRule>
  </conditionalFormatting>
  <conditionalFormatting sqref="B19">
    <cfRule type="expression" dxfId="1724" priority="1570">
      <formula>$E19="MC"</formula>
    </cfRule>
  </conditionalFormatting>
  <conditionalFormatting sqref="B19">
    <cfRule type="expression" dxfId="1723" priority="1569">
      <formula>$E19="MC"</formula>
    </cfRule>
  </conditionalFormatting>
  <conditionalFormatting sqref="B19">
    <cfRule type="expression" dxfId="1722" priority="1568">
      <formula>$E19="MC"</formula>
    </cfRule>
  </conditionalFormatting>
  <conditionalFormatting sqref="B19">
    <cfRule type="expression" dxfId="1721" priority="1567">
      <formula>$E19="MC"</formula>
    </cfRule>
  </conditionalFormatting>
  <conditionalFormatting sqref="B19">
    <cfRule type="expression" dxfId="1720" priority="1566">
      <formula>$E19="MC"</formula>
    </cfRule>
  </conditionalFormatting>
  <conditionalFormatting sqref="B19">
    <cfRule type="expression" dxfId="1719" priority="1565">
      <formula>$E19="MC"</formula>
    </cfRule>
  </conditionalFormatting>
  <conditionalFormatting sqref="B19">
    <cfRule type="expression" dxfId="1718" priority="1564">
      <formula>$E19="MC"</formula>
    </cfRule>
  </conditionalFormatting>
  <conditionalFormatting sqref="B19">
    <cfRule type="expression" dxfId="1717" priority="1563">
      <formula>$E19="MC"</formula>
    </cfRule>
  </conditionalFormatting>
  <conditionalFormatting sqref="B19">
    <cfRule type="expression" dxfId="1716" priority="1562">
      <formula>$E19="MC"</formula>
    </cfRule>
  </conditionalFormatting>
  <conditionalFormatting sqref="B19">
    <cfRule type="expression" dxfId="1715" priority="1561">
      <formula>$E19="MC"</formula>
    </cfRule>
  </conditionalFormatting>
  <conditionalFormatting sqref="B19">
    <cfRule type="expression" dxfId="1714" priority="1560">
      <formula>$E19="MC"</formula>
    </cfRule>
  </conditionalFormatting>
  <conditionalFormatting sqref="B19">
    <cfRule type="expression" dxfId="1713" priority="1559">
      <formula>$E19="MC"</formula>
    </cfRule>
  </conditionalFormatting>
  <conditionalFormatting sqref="B19">
    <cfRule type="expression" dxfId="1712" priority="1558">
      <formula>$E19="MC"</formula>
    </cfRule>
  </conditionalFormatting>
  <conditionalFormatting sqref="B19">
    <cfRule type="expression" dxfId="1711" priority="1557">
      <formula>$E19="MC"</formula>
    </cfRule>
  </conditionalFormatting>
  <conditionalFormatting sqref="B19">
    <cfRule type="expression" dxfId="1710" priority="1556">
      <formula>$E19="MC"</formula>
    </cfRule>
  </conditionalFormatting>
  <conditionalFormatting sqref="B19">
    <cfRule type="expression" dxfId="1709" priority="1555">
      <formula>$E19="MC"</formula>
    </cfRule>
  </conditionalFormatting>
  <conditionalFormatting sqref="B19">
    <cfRule type="expression" dxfId="1708" priority="1554">
      <formula>$E19="MC"</formula>
    </cfRule>
  </conditionalFormatting>
  <conditionalFormatting sqref="B19">
    <cfRule type="expression" dxfId="1707" priority="1553">
      <formula>$E19="MC"</formula>
    </cfRule>
  </conditionalFormatting>
  <conditionalFormatting sqref="B19">
    <cfRule type="expression" dxfId="1706" priority="1552">
      <formula>$E19="MC"</formula>
    </cfRule>
  </conditionalFormatting>
  <conditionalFormatting sqref="B19">
    <cfRule type="expression" dxfId="1705" priority="1551">
      <formula>$E19="MC"</formula>
    </cfRule>
  </conditionalFormatting>
  <conditionalFormatting sqref="B19">
    <cfRule type="expression" dxfId="1704" priority="1550">
      <formula>$E19="MC"</formula>
    </cfRule>
  </conditionalFormatting>
  <conditionalFormatting sqref="B19">
    <cfRule type="expression" dxfId="1703" priority="1549">
      <formula>$E19="MC"</formula>
    </cfRule>
  </conditionalFormatting>
  <conditionalFormatting sqref="B19">
    <cfRule type="expression" dxfId="1702" priority="1548">
      <formula>$E19="MC"</formula>
    </cfRule>
  </conditionalFormatting>
  <conditionalFormatting sqref="B19">
    <cfRule type="expression" dxfId="1701" priority="1547">
      <formula>$E19="MC"</formula>
    </cfRule>
  </conditionalFormatting>
  <conditionalFormatting sqref="B19">
    <cfRule type="expression" dxfId="1700" priority="1546">
      <formula>$E19="MC"</formula>
    </cfRule>
  </conditionalFormatting>
  <conditionalFormatting sqref="B19">
    <cfRule type="expression" dxfId="1699" priority="1545">
      <formula>$E19="MC"</formula>
    </cfRule>
  </conditionalFormatting>
  <conditionalFormatting sqref="B19">
    <cfRule type="expression" dxfId="1698" priority="1544">
      <formula>$E19="MC"</formula>
    </cfRule>
  </conditionalFormatting>
  <conditionalFormatting sqref="B19">
    <cfRule type="expression" dxfId="1697" priority="1543">
      <formula>$E19="MC"</formula>
    </cfRule>
  </conditionalFormatting>
  <conditionalFormatting sqref="B19">
    <cfRule type="expression" dxfId="1696" priority="1542">
      <formula>$E19="MC"</formula>
    </cfRule>
  </conditionalFormatting>
  <conditionalFormatting sqref="B19">
    <cfRule type="expression" dxfId="1695" priority="1541">
      <formula>$E19="MC"</formula>
    </cfRule>
  </conditionalFormatting>
  <conditionalFormatting sqref="B19">
    <cfRule type="expression" dxfId="1694" priority="1540">
      <formula>$E19="MC"</formula>
    </cfRule>
  </conditionalFormatting>
  <conditionalFormatting sqref="B19">
    <cfRule type="expression" dxfId="1693" priority="1539">
      <formula>$E19="MC"</formula>
    </cfRule>
  </conditionalFormatting>
  <conditionalFormatting sqref="B19">
    <cfRule type="expression" dxfId="1692" priority="1538">
      <formula>$E19="MC"</formula>
    </cfRule>
  </conditionalFormatting>
  <conditionalFormatting sqref="B19">
    <cfRule type="expression" dxfId="1691" priority="1537">
      <formula>$E19="MC"</formula>
    </cfRule>
  </conditionalFormatting>
  <conditionalFormatting sqref="B19">
    <cfRule type="expression" dxfId="1690" priority="1536">
      <formula>$E19="MC"</formula>
    </cfRule>
  </conditionalFormatting>
  <conditionalFormatting sqref="B19">
    <cfRule type="expression" dxfId="1689" priority="1535">
      <formula>$E19="MC"</formula>
    </cfRule>
  </conditionalFormatting>
  <conditionalFormatting sqref="B19">
    <cfRule type="expression" dxfId="1688" priority="1534">
      <formula>$E19="MC"</formula>
    </cfRule>
  </conditionalFormatting>
  <conditionalFormatting sqref="B19">
    <cfRule type="expression" dxfId="1687" priority="1533">
      <formula>$E19="MC"</formula>
    </cfRule>
  </conditionalFormatting>
  <conditionalFormatting sqref="B19">
    <cfRule type="expression" dxfId="1686" priority="1532">
      <formula>$E19="MC"</formula>
    </cfRule>
  </conditionalFormatting>
  <conditionalFormatting sqref="B19">
    <cfRule type="expression" dxfId="1685" priority="1531">
      <formula>$E19="MC"</formula>
    </cfRule>
  </conditionalFormatting>
  <conditionalFormatting sqref="B19">
    <cfRule type="expression" dxfId="1684" priority="1530">
      <formula>$E19="MC"</formula>
    </cfRule>
  </conditionalFormatting>
  <conditionalFormatting sqref="B19">
    <cfRule type="expression" dxfId="1683" priority="1529">
      <formula>$E19="MC"</formula>
    </cfRule>
  </conditionalFormatting>
  <conditionalFormatting sqref="B19">
    <cfRule type="expression" dxfId="1682" priority="1528">
      <formula>$E19="MC"</formula>
    </cfRule>
  </conditionalFormatting>
  <conditionalFormatting sqref="B19">
    <cfRule type="expression" dxfId="1681" priority="1527">
      <formula>$E19="MC"</formula>
    </cfRule>
  </conditionalFormatting>
  <conditionalFormatting sqref="B19">
    <cfRule type="expression" dxfId="1680" priority="1526">
      <formula>$E19="MC"</formula>
    </cfRule>
  </conditionalFormatting>
  <conditionalFormatting sqref="B19">
    <cfRule type="expression" dxfId="1679" priority="1525">
      <formula>$E19="MC"</formula>
    </cfRule>
  </conditionalFormatting>
  <conditionalFormatting sqref="B19">
    <cfRule type="expression" dxfId="1678" priority="1524">
      <formula>$E19="MC"</formula>
    </cfRule>
  </conditionalFormatting>
  <conditionalFormatting sqref="B19">
    <cfRule type="expression" dxfId="1677" priority="1523">
      <formula>$E19="MC"</formula>
    </cfRule>
  </conditionalFormatting>
  <conditionalFormatting sqref="B19">
    <cfRule type="expression" dxfId="1676" priority="1522">
      <formula>$E19="MC"</formula>
    </cfRule>
  </conditionalFormatting>
  <conditionalFormatting sqref="B19">
    <cfRule type="expression" dxfId="1675" priority="1521">
      <formula>$E19="MC"</formula>
    </cfRule>
  </conditionalFormatting>
  <conditionalFormatting sqref="B19">
    <cfRule type="expression" dxfId="1674" priority="1520">
      <formula>$E19="MC"</formula>
    </cfRule>
  </conditionalFormatting>
  <conditionalFormatting sqref="B19">
    <cfRule type="expression" dxfId="1673" priority="1519">
      <formula>$E19="MC"</formula>
    </cfRule>
  </conditionalFormatting>
  <conditionalFormatting sqref="B19">
    <cfRule type="expression" dxfId="1672" priority="1518">
      <formula>$E19="MC"</formula>
    </cfRule>
  </conditionalFormatting>
  <conditionalFormatting sqref="B19">
    <cfRule type="expression" dxfId="1671" priority="1517">
      <formula>$E19="MC"</formula>
    </cfRule>
  </conditionalFormatting>
  <conditionalFormatting sqref="B19">
    <cfRule type="expression" dxfId="1670" priority="1516">
      <formula>$E19="MC"</formula>
    </cfRule>
  </conditionalFormatting>
  <conditionalFormatting sqref="B19">
    <cfRule type="expression" dxfId="1669" priority="1515">
      <formula>$E19="MC"</formula>
    </cfRule>
  </conditionalFormatting>
  <conditionalFormatting sqref="B19">
    <cfRule type="expression" dxfId="1668" priority="1514">
      <formula>$E19="MC"</formula>
    </cfRule>
  </conditionalFormatting>
  <conditionalFormatting sqref="B19">
    <cfRule type="expression" dxfId="1667" priority="1513">
      <formula>$E19="MC"</formula>
    </cfRule>
  </conditionalFormatting>
  <conditionalFormatting sqref="D19">
    <cfRule type="expression" dxfId="1666" priority="1512">
      <formula>$E19="MC"</formula>
    </cfRule>
  </conditionalFormatting>
  <conditionalFormatting sqref="D19">
    <cfRule type="expression" dxfId="1665" priority="1511">
      <formula>$E19="MC"</formula>
    </cfRule>
  </conditionalFormatting>
  <conditionalFormatting sqref="D19">
    <cfRule type="expression" dxfId="1664" priority="1510">
      <formula>$E19="MC"</formula>
    </cfRule>
  </conditionalFormatting>
  <conditionalFormatting sqref="D19">
    <cfRule type="expression" dxfId="1663" priority="1509">
      <formula>$E19="MC"</formula>
    </cfRule>
  </conditionalFormatting>
  <conditionalFormatting sqref="D19">
    <cfRule type="expression" dxfId="1662" priority="1508">
      <formula>$E19="MC"</formula>
    </cfRule>
  </conditionalFormatting>
  <conditionalFormatting sqref="D19">
    <cfRule type="expression" dxfId="1661" priority="1507">
      <formula>$E19="MC"</formula>
    </cfRule>
  </conditionalFormatting>
  <conditionalFormatting sqref="D19">
    <cfRule type="expression" dxfId="1660" priority="1506">
      <formula>$E19="MC"</formula>
    </cfRule>
  </conditionalFormatting>
  <conditionalFormatting sqref="D19">
    <cfRule type="expression" dxfId="1659" priority="1505">
      <formula>$E19="MC"</formula>
    </cfRule>
  </conditionalFormatting>
  <conditionalFormatting sqref="D19">
    <cfRule type="expression" dxfId="1658" priority="1504">
      <formula>$E19="MC"</formula>
    </cfRule>
  </conditionalFormatting>
  <conditionalFormatting sqref="D19">
    <cfRule type="expression" dxfId="1657" priority="1503">
      <formula>$E19="MC"</formula>
    </cfRule>
  </conditionalFormatting>
  <conditionalFormatting sqref="D19">
    <cfRule type="expression" dxfId="1656" priority="1502">
      <formula>$E19="MC"</formula>
    </cfRule>
  </conditionalFormatting>
  <conditionalFormatting sqref="D19">
    <cfRule type="expression" dxfId="1655" priority="1501">
      <formula>$E19="MC"</formula>
    </cfRule>
  </conditionalFormatting>
  <conditionalFormatting sqref="C19:D19 F19:G19">
    <cfRule type="expression" dxfId="1654" priority="1500">
      <formula>$E19="MC"</formula>
    </cfRule>
  </conditionalFormatting>
  <conditionalFormatting sqref="C19:D19 F19:G19">
    <cfRule type="expression" dxfId="1653" priority="1497">
      <formula>$E19="MC"</formula>
    </cfRule>
  </conditionalFormatting>
  <conditionalFormatting sqref="C19:D19 F19:G19">
    <cfRule type="expression" dxfId="1652" priority="1496">
      <formula>$E19="MC"</formula>
    </cfRule>
  </conditionalFormatting>
  <conditionalFormatting sqref="C19:D19 F19:G19">
    <cfRule type="expression" dxfId="1651" priority="1495">
      <formula>$E19="MC"</formula>
    </cfRule>
  </conditionalFormatting>
  <conditionalFormatting sqref="C19:D19 F19:G19">
    <cfRule type="expression" dxfId="1650" priority="1499">
      <formula>$E19="MC"</formula>
    </cfRule>
  </conditionalFormatting>
  <conditionalFormatting sqref="F19:G19 C19:D19">
    <cfRule type="expression" dxfId="1649" priority="1498">
      <formula>$E19="MC"</formula>
    </cfRule>
  </conditionalFormatting>
  <conditionalFormatting sqref="C19:D19 F19:G19">
    <cfRule type="expression" dxfId="1648" priority="1494">
      <formula>$E19="MC"</formula>
    </cfRule>
  </conditionalFormatting>
  <conditionalFormatting sqref="C19 F19:G19">
    <cfRule type="expression" dxfId="1647" priority="1493">
      <formula>$E19="MC"</formula>
    </cfRule>
  </conditionalFormatting>
  <conditionalFormatting sqref="C19:D19 F19:G19">
    <cfRule type="expression" dxfId="1646" priority="1492">
      <formula>$E19="MC"</formula>
    </cfRule>
  </conditionalFormatting>
  <conditionalFormatting sqref="C19:D19 F19:G19">
    <cfRule type="expression" dxfId="1645" priority="1491">
      <formula>$E19="MC"</formula>
    </cfRule>
  </conditionalFormatting>
  <conditionalFormatting sqref="C19 F19:G19">
    <cfRule type="expression" dxfId="1644" priority="1490">
      <formula>$E19="MC"</formula>
    </cfRule>
  </conditionalFormatting>
  <conditionalFormatting sqref="C19:D19 F19:G19">
    <cfRule type="expression" dxfId="1643" priority="1489">
      <formula>$E19="MC"</formula>
    </cfRule>
  </conditionalFormatting>
  <conditionalFormatting sqref="C19:D19 F19:G19">
    <cfRule type="expression" dxfId="1642" priority="1488">
      <formula>$E19="MC"</formula>
    </cfRule>
  </conditionalFormatting>
  <conditionalFormatting sqref="D19">
    <cfRule type="expression" dxfId="1641" priority="1487">
      <formula>$E19="MC"</formula>
    </cfRule>
  </conditionalFormatting>
  <conditionalFormatting sqref="D19">
    <cfRule type="expression" dxfId="1640" priority="1486">
      <formula>$E19="MC"</formula>
    </cfRule>
  </conditionalFormatting>
  <conditionalFormatting sqref="D19">
    <cfRule type="expression" dxfId="1639" priority="1485">
      <formula>$E19="MC"</formula>
    </cfRule>
  </conditionalFormatting>
  <conditionalFormatting sqref="D19">
    <cfRule type="expression" dxfId="1638" priority="1484">
      <formula>$E19="MC"</formula>
    </cfRule>
  </conditionalFormatting>
  <conditionalFormatting sqref="C19:D19 F19:G19">
    <cfRule type="expression" dxfId="1637" priority="1483">
      <formula>$E19="MC"</formula>
    </cfRule>
  </conditionalFormatting>
  <conditionalFormatting sqref="C19:D19 F19:G19">
    <cfRule type="expression" dxfId="1636" priority="1480">
      <formula>$E19="MC"</formula>
    </cfRule>
  </conditionalFormatting>
  <conditionalFormatting sqref="C19:D19 F19:G19">
    <cfRule type="expression" dxfId="1635" priority="1479">
      <formula>$E19="MC"</formula>
    </cfRule>
  </conditionalFormatting>
  <conditionalFormatting sqref="C19:D19 F19:G19">
    <cfRule type="expression" dxfId="1634" priority="1478">
      <formula>$E19="MC"</formula>
    </cfRule>
  </conditionalFormatting>
  <conditionalFormatting sqref="C19:D19 F19:G19">
    <cfRule type="expression" dxfId="1633" priority="1482">
      <formula>$E19="MC"</formula>
    </cfRule>
  </conditionalFormatting>
  <conditionalFormatting sqref="C19:D19 F19:G19">
    <cfRule type="expression" dxfId="1632" priority="1481">
      <formula>$E19="MC"</formula>
    </cfRule>
  </conditionalFormatting>
  <conditionalFormatting sqref="C19:D19 F19:G19">
    <cfRule type="expression" dxfId="1631" priority="1477">
      <formula>$E19="MC"</formula>
    </cfRule>
  </conditionalFormatting>
  <conditionalFormatting sqref="C19:D19 F19:G19">
    <cfRule type="expression" dxfId="1630" priority="1474">
      <formula>$E19="MC"</formula>
    </cfRule>
  </conditionalFormatting>
  <conditionalFormatting sqref="C19:D19 F19:G19">
    <cfRule type="expression" dxfId="1629" priority="1473">
      <formula>$E19="MC"</formula>
    </cfRule>
  </conditionalFormatting>
  <conditionalFormatting sqref="C19:D19 F19:G19">
    <cfRule type="expression" dxfId="1628" priority="1472">
      <formula>$E19="MC"</formula>
    </cfRule>
  </conditionalFormatting>
  <conditionalFormatting sqref="C19:D19 F19:G19">
    <cfRule type="expression" dxfId="1627" priority="1476">
      <formula>$E19="MC"</formula>
    </cfRule>
  </conditionalFormatting>
  <conditionalFormatting sqref="F19:G19 C19:D19">
    <cfRule type="expression" dxfId="1626" priority="1475">
      <formula>$E19="MC"</formula>
    </cfRule>
  </conditionalFormatting>
  <conditionalFormatting sqref="C19:D19 F19:G19">
    <cfRule type="expression" dxfId="1625" priority="1471">
      <formula>$E19="MC"</formula>
    </cfRule>
  </conditionalFormatting>
  <conditionalFormatting sqref="C19:D19 F19:G19">
    <cfRule type="expression" dxfId="1624" priority="1468">
      <formula>$E19="MC"</formula>
    </cfRule>
  </conditionalFormatting>
  <conditionalFormatting sqref="C19:D19 F19:G19">
    <cfRule type="expression" dxfId="1623" priority="1467">
      <formula>$E19="MC"</formula>
    </cfRule>
  </conditionalFormatting>
  <conditionalFormatting sqref="C19:D19 F19:G19">
    <cfRule type="expression" dxfId="1622" priority="1466">
      <formula>$E19="MC"</formula>
    </cfRule>
  </conditionalFormatting>
  <conditionalFormatting sqref="C19:D19 F19:G19">
    <cfRule type="expression" dxfId="1621" priority="1470">
      <formula>$E19="MC"</formula>
    </cfRule>
  </conditionalFormatting>
  <conditionalFormatting sqref="F19:G19 C19:D19">
    <cfRule type="expression" dxfId="1620" priority="1469">
      <formula>$E19="MC"</formula>
    </cfRule>
  </conditionalFormatting>
  <conditionalFormatting sqref="D19">
    <cfRule type="expression" dxfId="1619" priority="1465">
      <formula>$E19="MC"</formula>
    </cfRule>
  </conditionalFormatting>
  <conditionalFormatting sqref="C19 F19:G19">
    <cfRule type="expression" dxfId="1618" priority="1464">
      <formula>$E19="MC"</formula>
    </cfRule>
  </conditionalFormatting>
  <conditionalFormatting sqref="C19 F19:G19">
    <cfRule type="expression" dxfId="1617" priority="1463">
      <formula>$E19="MC"</formula>
    </cfRule>
  </conditionalFormatting>
  <conditionalFormatting sqref="D19">
    <cfRule type="expression" dxfId="1616" priority="1462">
      <formula>$E19="MC"</formula>
    </cfRule>
  </conditionalFormatting>
  <conditionalFormatting sqref="D19">
    <cfRule type="expression" dxfId="1615" priority="1461">
      <formula>$E19="MC"</formula>
    </cfRule>
  </conditionalFormatting>
  <conditionalFormatting sqref="D19">
    <cfRule type="expression" dxfId="1614" priority="1460">
      <formula>$E19="MC"</formula>
    </cfRule>
  </conditionalFormatting>
  <conditionalFormatting sqref="D19">
    <cfRule type="expression" dxfId="1613" priority="1459">
      <formula>$E19="MC"</formula>
    </cfRule>
  </conditionalFormatting>
  <conditionalFormatting sqref="D19">
    <cfRule type="expression" dxfId="1612" priority="1458">
      <formula>$E19="MC"</formula>
    </cfRule>
  </conditionalFormatting>
  <conditionalFormatting sqref="D19">
    <cfRule type="expression" dxfId="1611" priority="1457">
      <formula>$E19="MC"</formula>
    </cfRule>
  </conditionalFormatting>
  <conditionalFormatting sqref="D19">
    <cfRule type="expression" dxfId="1610" priority="1456">
      <formula>$E19="MC"</formula>
    </cfRule>
  </conditionalFormatting>
  <conditionalFormatting sqref="D19">
    <cfRule type="expression" dxfId="1609" priority="1455">
      <formula>$E19="MC"</formula>
    </cfRule>
  </conditionalFormatting>
  <conditionalFormatting sqref="D19">
    <cfRule type="expression" dxfId="1608" priority="1454">
      <formula>$E19="MC"</formula>
    </cfRule>
  </conditionalFormatting>
  <conditionalFormatting sqref="D19">
    <cfRule type="expression" dxfId="1607" priority="1453">
      <formula>$E19="MC"</formula>
    </cfRule>
  </conditionalFormatting>
  <conditionalFormatting sqref="D19">
    <cfRule type="expression" dxfId="1606" priority="1452">
      <formula>$E19="MC"</formula>
    </cfRule>
  </conditionalFormatting>
  <conditionalFormatting sqref="D19">
    <cfRule type="expression" dxfId="1605" priority="1451">
      <formula>$E19="MC"</formula>
    </cfRule>
  </conditionalFormatting>
  <conditionalFormatting sqref="D19">
    <cfRule type="expression" dxfId="1604" priority="1450">
      <formula>$E19="MC"</formula>
    </cfRule>
  </conditionalFormatting>
  <conditionalFormatting sqref="D19">
    <cfRule type="expression" dxfId="1603" priority="1449">
      <formula>$E19="MC"</formula>
    </cfRule>
  </conditionalFormatting>
  <conditionalFormatting sqref="D19">
    <cfRule type="expression" dxfId="1602" priority="1448">
      <formula>$E19="MC"</formula>
    </cfRule>
  </conditionalFormatting>
  <conditionalFormatting sqref="D19">
    <cfRule type="expression" dxfId="1601" priority="1447">
      <formula>$E19="MC"</formula>
    </cfRule>
  </conditionalFormatting>
  <conditionalFormatting sqref="D19">
    <cfRule type="expression" dxfId="1600" priority="1446">
      <formula>$E19="MC"</formula>
    </cfRule>
  </conditionalFormatting>
  <conditionalFormatting sqref="D19">
    <cfRule type="expression" dxfId="1599" priority="1445">
      <formula>$E19="MC"</formula>
    </cfRule>
  </conditionalFormatting>
  <conditionalFormatting sqref="D19">
    <cfRule type="expression" dxfId="1598" priority="1444">
      <formula>$E19="MC"</formula>
    </cfRule>
  </conditionalFormatting>
  <conditionalFormatting sqref="D19">
    <cfRule type="expression" dxfId="1597" priority="1443">
      <formula>$E19="MC"</formula>
    </cfRule>
  </conditionalFormatting>
  <conditionalFormatting sqref="D19">
    <cfRule type="expression" dxfId="1596" priority="1442">
      <formula>$E19="MC"</formula>
    </cfRule>
  </conditionalFormatting>
  <conditionalFormatting sqref="D19">
    <cfRule type="expression" dxfId="1595" priority="1441">
      <formula>$E19="MC"</formula>
    </cfRule>
  </conditionalFormatting>
  <conditionalFormatting sqref="D19">
    <cfRule type="expression" dxfId="1594" priority="1440">
      <formula>$E19="MC"</formula>
    </cfRule>
  </conditionalFormatting>
  <conditionalFormatting sqref="D19">
    <cfRule type="expression" dxfId="1593" priority="1439">
      <formula>$E19="MC"</formula>
    </cfRule>
  </conditionalFormatting>
  <conditionalFormatting sqref="D19">
    <cfRule type="expression" dxfId="1592" priority="1438">
      <formula>$E19="MC"</formula>
    </cfRule>
  </conditionalFormatting>
  <conditionalFormatting sqref="D19">
    <cfRule type="expression" dxfId="1591" priority="1437">
      <formula>$E19="MC"</formula>
    </cfRule>
  </conditionalFormatting>
  <conditionalFormatting sqref="D19">
    <cfRule type="expression" dxfId="1590" priority="1436">
      <formula>$E19="MC"</formula>
    </cfRule>
  </conditionalFormatting>
  <conditionalFormatting sqref="D19">
    <cfRule type="expression" dxfId="1589" priority="1435">
      <formula>$E19="MC"</formula>
    </cfRule>
  </conditionalFormatting>
  <conditionalFormatting sqref="D19">
    <cfRule type="expression" dxfId="1588" priority="1434">
      <formula>$E19="MC"</formula>
    </cfRule>
  </conditionalFormatting>
  <conditionalFormatting sqref="D19">
    <cfRule type="expression" dxfId="1587" priority="1433">
      <formula>$E19="MC"</formula>
    </cfRule>
  </conditionalFormatting>
  <conditionalFormatting sqref="D19">
    <cfRule type="expression" dxfId="1586" priority="1432">
      <formula>$E19="MC"</formula>
    </cfRule>
  </conditionalFormatting>
  <conditionalFormatting sqref="D19">
    <cfRule type="expression" dxfId="1585" priority="1431">
      <formula>$E19="MC"</formula>
    </cfRule>
  </conditionalFormatting>
  <conditionalFormatting sqref="D19">
    <cfRule type="expression" dxfId="1584" priority="1430">
      <formula>$E19="MC"</formula>
    </cfRule>
  </conditionalFormatting>
  <conditionalFormatting sqref="D19">
    <cfRule type="expression" dxfId="1583" priority="1429">
      <formula>$E19="MC"</formula>
    </cfRule>
  </conditionalFormatting>
  <conditionalFormatting sqref="D19">
    <cfRule type="expression" dxfId="1582" priority="1428">
      <formula>$E19="MC"</formula>
    </cfRule>
  </conditionalFormatting>
  <conditionalFormatting sqref="D19">
    <cfRule type="expression" dxfId="1581" priority="1427">
      <formula>$E19="MC"</formula>
    </cfRule>
  </conditionalFormatting>
  <conditionalFormatting sqref="D19">
    <cfRule type="expression" dxfId="1580" priority="1426">
      <formula>$E19="MC"</formula>
    </cfRule>
  </conditionalFormatting>
  <conditionalFormatting sqref="D19">
    <cfRule type="expression" dxfId="1579" priority="1425">
      <formula>$E19="MC"</formula>
    </cfRule>
  </conditionalFormatting>
  <conditionalFormatting sqref="D19">
    <cfRule type="expression" dxfId="1578" priority="1424">
      <formula>$E19="MC"</formula>
    </cfRule>
  </conditionalFormatting>
  <conditionalFormatting sqref="D19">
    <cfRule type="expression" dxfId="1577" priority="1423">
      <formula>$E19="MC"</formula>
    </cfRule>
  </conditionalFormatting>
  <conditionalFormatting sqref="D19">
    <cfRule type="expression" dxfId="1576" priority="1422">
      <formula>$E19="MC"</formula>
    </cfRule>
  </conditionalFormatting>
  <conditionalFormatting sqref="D19">
    <cfRule type="expression" dxfId="1575" priority="1421">
      <formula>$E19="MC"</formula>
    </cfRule>
  </conditionalFormatting>
  <conditionalFormatting sqref="D19">
    <cfRule type="expression" dxfId="1574" priority="1420">
      <formula>$E19="MC"</formula>
    </cfRule>
  </conditionalFormatting>
  <conditionalFormatting sqref="D19">
    <cfRule type="expression" dxfId="1573" priority="1419">
      <formula>$E19="MC"</formula>
    </cfRule>
  </conditionalFormatting>
  <conditionalFormatting sqref="D19">
    <cfRule type="expression" dxfId="1572" priority="1418">
      <formula>$E19="MC"</formula>
    </cfRule>
  </conditionalFormatting>
  <conditionalFormatting sqref="D19">
    <cfRule type="expression" dxfId="1571" priority="1417">
      <formula>$E19="MC"</formula>
    </cfRule>
  </conditionalFormatting>
  <conditionalFormatting sqref="D19">
    <cfRule type="expression" dxfId="1570" priority="1416">
      <formula>$E19="MC"</formula>
    </cfRule>
  </conditionalFormatting>
  <conditionalFormatting sqref="D19">
    <cfRule type="expression" dxfId="1569" priority="1415">
      <formula>$E19="MC"</formula>
    </cfRule>
  </conditionalFormatting>
  <conditionalFormatting sqref="D19">
    <cfRule type="expression" dxfId="1568" priority="1414">
      <formula>$E19="MC"</formula>
    </cfRule>
  </conditionalFormatting>
  <conditionalFormatting sqref="D19">
    <cfRule type="expression" dxfId="1567" priority="1413">
      <formula>$E19="MC"</formula>
    </cfRule>
  </conditionalFormatting>
  <conditionalFormatting sqref="D19">
    <cfRule type="expression" dxfId="1566" priority="1412">
      <formula>$E19="MC"</formula>
    </cfRule>
  </conditionalFormatting>
  <conditionalFormatting sqref="D19">
    <cfRule type="expression" dxfId="1565" priority="1411">
      <formula>$E19="MC"</formula>
    </cfRule>
  </conditionalFormatting>
  <conditionalFormatting sqref="D19">
    <cfRule type="expression" dxfId="1564" priority="1410">
      <formula>$E19="MC"</formula>
    </cfRule>
  </conditionalFormatting>
  <conditionalFormatting sqref="D19">
    <cfRule type="expression" dxfId="1563" priority="1409">
      <formula>$E19="MC"</formula>
    </cfRule>
  </conditionalFormatting>
  <conditionalFormatting sqref="D19">
    <cfRule type="expression" dxfId="1562" priority="1408">
      <formula>$E19="MC"</formula>
    </cfRule>
  </conditionalFormatting>
  <conditionalFormatting sqref="D19">
    <cfRule type="expression" dxfId="1561" priority="1407">
      <formula>$E19="MC"</formula>
    </cfRule>
  </conditionalFormatting>
  <conditionalFormatting sqref="D19">
    <cfRule type="expression" dxfId="1560" priority="1406">
      <formula>$E19="MC"</formula>
    </cfRule>
  </conditionalFormatting>
  <conditionalFormatting sqref="D19">
    <cfRule type="expression" dxfId="1559" priority="1405">
      <formula>$E19="MC"</formula>
    </cfRule>
  </conditionalFormatting>
  <conditionalFormatting sqref="D19">
    <cfRule type="expression" dxfId="1558" priority="1404">
      <formula>$E19="MC"</formula>
    </cfRule>
  </conditionalFormatting>
  <conditionalFormatting sqref="D19">
    <cfRule type="expression" dxfId="1557" priority="1403">
      <formula>$E19="MC"</formula>
    </cfRule>
  </conditionalFormatting>
  <conditionalFormatting sqref="D19">
    <cfRule type="expression" dxfId="1556" priority="1402">
      <formula>$E19="MC"</formula>
    </cfRule>
  </conditionalFormatting>
  <conditionalFormatting sqref="D19">
    <cfRule type="expression" dxfId="1555" priority="1401">
      <formula>$E19="MC"</formula>
    </cfRule>
  </conditionalFormatting>
  <conditionalFormatting sqref="D19">
    <cfRule type="expression" dxfId="1554" priority="1400">
      <formula>$E19="MC"</formula>
    </cfRule>
  </conditionalFormatting>
  <conditionalFormatting sqref="D19">
    <cfRule type="expression" dxfId="1553" priority="1399">
      <formula>$E19="MC"</formula>
    </cfRule>
  </conditionalFormatting>
  <conditionalFormatting sqref="D19">
    <cfRule type="expression" dxfId="1552" priority="1398">
      <formula>$E19="MC"</formula>
    </cfRule>
  </conditionalFormatting>
  <conditionalFormatting sqref="D19">
    <cfRule type="expression" dxfId="1551" priority="1397">
      <formula>$E19="MC"</formula>
    </cfRule>
  </conditionalFormatting>
  <conditionalFormatting sqref="D19">
    <cfRule type="expression" dxfId="1550" priority="1396">
      <formula>$E19="MC"</formula>
    </cfRule>
  </conditionalFormatting>
  <conditionalFormatting sqref="D19">
    <cfRule type="expression" dxfId="1549" priority="1395">
      <formula>$E19="MC"</formula>
    </cfRule>
  </conditionalFormatting>
  <conditionalFormatting sqref="D19">
    <cfRule type="expression" dxfId="1548" priority="1394">
      <formula>$E19="MC"</formula>
    </cfRule>
  </conditionalFormatting>
  <conditionalFormatting sqref="D19">
    <cfRule type="expression" dxfId="1547" priority="1393">
      <formula>$E19="MC"</formula>
    </cfRule>
  </conditionalFormatting>
  <conditionalFormatting sqref="D19">
    <cfRule type="expression" dxfId="1546" priority="1392">
      <formula>$E19="MC"</formula>
    </cfRule>
  </conditionalFormatting>
  <conditionalFormatting sqref="D19">
    <cfRule type="expression" dxfId="1545" priority="1391">
      <formula>$E19="MC"</formula>
    </cfRule>
  </conditionalFormatting>
  <conditionalFormatting sqref="D19">
    <cfRule type="expression" dxfId="1544" priority="1390">
      <formula>$E19="MC"</formula>
    </cfRule>
  </conditionalFormatting>
  <conditionalFormatting sqref="D19">
    <cfRule type="expression" dxfId="1543" priority="1389">
      <formula>$E19="MC"</formula>
    </cfRule>
  </conditionalFormatting>
  <conditionalFormatting sqref="D19">
    <cfRule type="expression" dxfId="1542" priority="1388">
      <formula>$E19="MC"</formula>
    </cfRule>
  </conditionalFormatting>
  <conditionalFormatting sqref="D19">
    <cfRule type="expression" dxfId="1541" priority="1387">
      <formula>$E19="MC"</formula>
    </cfRule>
  </conditionalFormatting>
  <conditionalFormatting sqref="D19">
    <cfRule type="expression" dxfId="1540" priority="1386">
      <formula>$E19="MC"</formula>
    </cfRule>
  </conditionalFormatting>
  <conditionalFormatting sqref="D19">
    <cfRule type="expression" dxfId="1539" priority="1385">
      <formula>$E19="MC"</formula>
    </cfRule>
  </conditionalFormatting>
  <conditionalFormatting sqref="D19">
    <cfRule type="expression" dxfId="1538" priority="1384">
      <formula>$E19="MC"</formula>
    </cfRule>
  </conditionalFormatting>
  <conditionalFormatting sqref="D19">
    <cfRule type="expression" dxfId="1537" priority="1383">
      <formula>$E19="MC"</formula>
    </cfRule>
  </conditionalFormatting>
  <conditionalFormatting sqref="D19">
    <cfRule type="expression" dxfId="1536" priority="1382">
      <formula>$E19="MC"</formula>
    </cfRule>
  </conditionalFormatting>
  <conditionalFormatting sqref="D19">
    <cfRule type="expression" dxfId="1535" priority="1381">
      <formula>$E19="MC"</formula>
    </cfRule>
  </conditionalFormatting>
  <conditionalFormatting sqref="D19">
    <cfRule type="expression" dxfId="1534" priority="1380">
      <formula>$E19="MC"</formula>
    </cfRule>
  </conditionalFormatting>
  <conditionalFormatting sqref="D19">
    <cfRule type="expression" dxfId="1533" priority="1379">
      <formula>$E19="MC"</formula>
    </cfRule>
  </conditionalFormatting>
  <conditionalFormatting sqref="D19">
    <cfRule type="expression" dxfId="1532" priority="1378">
      <formula>$E19="MC"</formula>
    </cfRule>
  </conditionalFormatting>
  <conditionalFormatting sqref="D19">
    <cfRule type="expression" dxfId="1531" priority="1377">
      <formula>$E19="MC"</formula>
    </cfRule>
  </conditionalFormatting>
  <conditionalFormatting sqref="D19">
    <cfRule type="expression" dxfId="1530" priority="1376">
      <formula>$E19="MC"</formula>
    </cfRule>
  </conditionalFormatting>
  <conditionalFormatting sqref="D19">
    <cfRule type="expression" dxfId="1529" priority="1375">
      <formula>$E19="MC"</formula>
    </cfRule>
  </conditionalFormatting>
  <conditionalFormatting sqref="D19">
    <cfRule type="expression" dxfId="1528" priority="1374">
      <formula>$E19="MC"</formula>
    </cfRule>
  </conditionalFormatting>
  <conditionalFormatting sqref="D19">
    <cfRule type="expression" dxfId="1527" priority="1373">
      <formula>$E19="MC"</formula>
    </cfRule>
  </conditionalFormatting>
  <conditionalFormatting sqref="D19">
    <cfRule type="expression" dxfId="1526" priority="1372">
      <formula>$E19="MC"</formula>
    </cfRule>
  </conditionalFormatting>
  <conditionalFormatting sqref="D19">
    <cfRule type="expression" dxfId="1525" priority="1371">
      <formula>$E19="MC"</formula>
    </cfRule>
  </conditionalFormatting>
  <conditionalFormatting sqref="D19">
    <cfRule type="expression" dxfId="1524" priority="1370">
      <formula>$E19="MC"</formula>
    </cfRule>
  </conditionalFormatting>
  <conditionalFormatting sqref="D19">
    <cfRule type="expression" dxfId="1523" priority="1369">
      <formula>$E19="MC"</formula>
    </cfRule>
  </conditionalFormatting>
  <conditionalFormatting sqref="D19">
    <cfRule type="expression" dxfId="1522" priority="1368">
      <formula>$E19="MC"</formula>
    </cfRule>
  </conditionalFormatting>
  <conditionalFormatting sqref="D19">
    <cfRule type="expression" dxfId="1521" priority="1367">
      <formula>$E19="MC"</formula>
    </cfRule>
  </conditionalFormatting>
  <conditionalFormatting sqref="D19">
    <cfRule type="expression" dxfId="1520" priority="1366">
      <formula>$E19="MC"</formula>
    </cfRule>
  </conditionalFormatting>
  <conditionalFormatting sqref="D19">
    <cfRule type="expression" dxfId="1519" priority="1365">
      <formula>$E19="MC"</formula>
    </cfRule>
  </conditionalFormatting>
  <conditionalFormatting sqref="D19">
    <cfRule type="expression" dxfId="1518" priority="1364">
      <formula>$E19="MC"</formula>
    </cfRule>
  </conditionalFormatting>
  <conditionalFormatting sqref="D19">
    <cfRule type="expression" dxfId="1517" priority="1363">
      <formula>$E19="MC"</formula>
    </cfRule>
  </conditionalFormatting>
  <conditionalFormatting sqref="D19">
    <cfRule type="expression" dxfId="1516" priority="1362">
      <formula>$E19="MC"</formula>
    </cfRule>
  </conditionalFormatting>
  <conditionalFormatting sqref="D19">
    <cfRule type="expression" dxfId="1515" priority="1361">
      <formula>$E19="MC"</formula>
    </cfRule>
  </conditionalFormatting>
  <conditionalFormatting sqref="D19">
    <cfRule type="expression" dxfId="1514" priority="1360">
      <formula>$E19="MC"</formula>
    </cfRule>
  </conditionalFormatting>
  <conditionalFormatting sqref="D19">
    <cfRule type="expression" dxfId="1513" priority="1359">
      <formula>$E19="MC"</formula>
    </cfRule>
  </conditionalFormatting>
  <conditionalFormatting sqref="D19">
    <cfRule type="expression" dxfId="1512" priority="1358">
      <formula>$E19="MC"</formula>
    </cfRule>
  </conditionalFormatting>
  <conditionalFormatting sqref="D19">
    <cfRule type="expression" dxfId="1511" priority="1357">
      <formula>$E19="MC"</formula>
    </cfRule>
  </conditionalFormatting>
  <conditionalFormatting sqref="D19">
    <cfRule type="expression" dxfId="1510" priority="1356">
      <formula>$E19="MC"</formula>
    </cfRule>
  </conditionalFormatting>
  <conditionalFormatting sqref="D19">
    <cfRule type="expression" dxfId="1509" priority="1355">
      <formula>$E19="MC"</formula>
    </cfRule>
  </conditionalFormatting>
  <conditionalFormatting sqref="D19">
    <cfRule type="expression" dxfId="1508" priority="1354">
      <formula>$E19="MC"</formula>
    </cfRule>
  </conditionalFormatting>
  <conditionalFormatting sqref="D19">
    <cfRule type="expression" dxfId="1507" priority="1353">
      <formula>$E19="MC"</formula>
    </cfRule>
  </conditionalFormatting>
  <conditionalFormatting sqref="D19">
    <cfRule type="expression" dxfId="1506" priority="1352">
      <formula>$E19="MC"</formula>
    </cfRule>
  </conditionalFormatting>
  <conditionalFormatting sqref="D19">
    <cfRule type="expression" dxfId="1505" priority="1351">
      <formula>$E19="MC"</formula>
    </cfRule>
  </conditionalFormatting>
  <conditionalFormatting sqref="D19">
    <cfRule type="expression" dxfId="1504" priority="1350">
      <formula>$E19="MC"</formula>
    </cfRule>
  </conditionalFormatting>
  <conditionalFormatting sqref="D19">
    <cfRule type="expression" dxfId="1503" priority="1349">
      <formula>$E19="MC"</formula>
    </cfRule>
  </conditionalFormatting>
  <conditionalFormatting sqref="D19">
    <cfRule type="expression" dxfId="1502" priority="1348">
      <formula>$E19="MC"</formula>
    </cfRule>
  </conditionalFormatting>
  <conditionalFormatting sqref="D19">
    <cfRule type="expression" dxfId="1501" priority="1347">
      <formula>$E19="MC"</formula>
    </cfRule>
  </conditionalFormatting>
  <conditionalFormatting sqref="D19">
    <cfRule type="expression" dxfId="1500" priority="1346">
      <formula>$E19="MC"</formula>
    </cfRule>
  </conditionalFormatting>
  <conditionalFormatting sqref="D19">
    <cfRule type="expression" dxfId="1499" priority="1345">
      <formula>$E19="MC"</formula>
    </cfRule>
  </conditionalFormatting>
  <conditionalFormatting sqref="D19">
    <cfRule type="expression" dxfId="1498" priority="1344">
      <formula>$E19="MC"</formula>
    </cfRule>
  </conditionalFormatting>
  <conditionalFormatting sqref="D19">
    <cfRule type="expression" dxfId="1497" priority="1343">
      <formula>$E19="MC"</formula>
    </cfRule>
  </conditionalFormatting>
  <conditionalFormatting sqref="D19">
    <cfRule type="expression" dxfId="1496" priority="1342">
      <formula>$E19="MC"</formula>
    </cfRule>
  </conditionalFormatting>
  <conditionalFormatting sqref="D19">
    <cfRule type="expression" dxfId="1495" priority="1341">
      <formula>$E19="MC"</formula>
    </cfRule>
  </conditionalFormatting>
  <conditionalFormatting sqref="D19">
    <cfRule type="expression" dxfId="1494" priority="1340">
      <formula>$E19="MC"</formula>
    </cfRule>
  </conditionalFormatting>
  <conditionalFormatting sqref="D19">
    <cfRule type="expression" dxfId="1493" priority="1339">
      <formula>$E19="MC"</formula>
    </cfRule>
  </conditionalFormatting>
  <conditionalFormatting sqref="D19">
    <cfRule type="expression" dxfId="1492" priority="1338">
      <formula>$E19="MC"</formula>
    </cfRule>
  </conditionalFormatting>
  <conditionalFormatting sqref="D19">
    <cfRule type="expression" dxfId="1491" priority="1337">
      <formula>$E19="MC"</formula>
    </cfRule>
  </conditionalFormatting>
  <conditionalFormatting sqref="D19">
    <cfRule type="expression" dxfId="1490" priority="1336">
      <formula>$E19="MC"</formula>
    </cfRule>
  </conditionalFormatting>
  <conditionalFormatting sqref="D19">
    <cfRule type="expression" dxfId="1489" priority="1335">
      <formula>$E19="MC"</formula>
    </cfRule>
  </conditionalFormatting>
  <conditionalFormatting sqref="D19">
    <cfRule type="expression" dxfId="1488" priority="1334">
      <formula>$E19="MC"</formula>
    </cfRule>
  </conditionalFormatting>
  <conditionalFormatting sqref="D19">
    <cfRule type="expression" dxfId="1487" priority="1333">
      <formula>$E19="MC"</formula>
    </cfRule>
  </conditionalFormatting>
  <conditionalFormatting sqref="D19">
    <cfRule type="expression" dxfId="1486" priority="1332">
      <formula>$E19="MC"</formula>
    </cfRule>
  </conditionalFormatting>
  <conditionalFormatting sqref="D19">
    <cfRule type="expression" dxfId="1485" priority="1331">
      <formula>$E19="MC"</formula>
    </cfRule>
  </conditionalFormatting>
  <conditionalFormatting sqref="D19">
    <cfRule type="expression" dxfId="1484" priority="1330">
      <formula>$E19="MC"</formula>
    </cfRule>
  </conditionalFormatting>
  <conditionalFormatting sqref="D19">
    <cfRule type="expression" dxfId="1483" priority="1329">
      <formula>$E19="MC"</formula>
    </cfRule>
  </conditionalFormatting>
  <conditionalFormatting sqref="C19:D19 F19">
    <cfRule type="expression" dxfId="1482" priority="1328">
      <formula>$E19="MC"</formula>
    </cfRule>
  </conditionalFormatting>
  <conditionalFormatting sqref="C19:D19 F19">
    <cfRule type="expression" dxfId="1481" priority="1327">
      <formula>$E19="MC"</formula>
    </cfRule>
  </conditionalFormatting>
  <conditionalFormatting sqref="G19">
    <cfRule type="expression" dxfId="1480" priority="1326">
      <formula>$E19="MC"</formula>
    </cfRule>
  </conditionalFormatting>
  <conditionalFormatting sqref="C19:D19 F19:G19">
    <cfRule type="expression" dxfId="1479" priority="1325">
      <formula>$E19="MC"</formula>
    </cfRule>
  </conditionalFormatting>
  <conditionalFormatting sqref="C19:D19 F19:G19">
    <cfRule type="expression" dxfId="1478" priority="1324">
      <formula>$E19="MC"</formula>
    </cfRule>
  </conditionalFormatting>
  <conditionalFormatting sqref="C19:D19 F19:G19">
    <cfRule type="expression" dxfId="1477" priority="1323">
      <formula>$E19="MC"</formula>
    </cfRule>
  </conditionalFormatting>
  <conditionalFormatting sqref="C19:D19 F19:G19">
    <cfRule type="expression" dxfId="1476" priority="1322">
      <formula>$E19="MC"</formula>
    </cfRule>
  </conditionalFormatting>
  <conditionalFormatting sqref="C19 F19:G19">
    <cfRule type="expression" dxfId="1475" priority="1321">
      <formula>$E19="MC"</formula>
    </cfRule>
  </conditionalFormatting>
  <conditionalFormatting sqref="C19 F19:G19">
    <cfRule type="expression" dxfId="1474" priority="1320">
      <formula>$E19="MC"</formula>
    </cfRule>
  </conditionalFormatting>
  <conditionalFormatting sqref="C19 F19:G19">
    <cfRule type="expression" dxfId="1473" priority="1319">
      <formula>$E19="MC"</formula>
    </cfRule>
  </conditionalFormatting>
  <conditionalFormatting sqref="C19 F19:G19">
    <cfRule type="expression" dxfId="1472" priority="1318">
      <formula>$E19="MC"</formula>
    </cfRule>
  </conditionalFormatting>
  <conditionalFormatting sqref="C19 F19:G19">
    <cfRule type="expression" dxfId="1471" priority="1317">
      <formula>$E19="MC"</formula>
    </cfRule>
  </conditionalFormatting>
  <conditionalFormatting sqref="C19 F19:G19">
    <cfRule type="expression" dxfId="1470" priority="1316">
      <formula>$E19="MC"</formula>
    </cfRule>
  </conditionalFormatting>
  <conditionalFormatting sqref="D19">
    <cfRule type="expression" dxfId="1469" priority="1315">
      <formula>$E19="MC"</formula>
    </cfRule>
  </conditionalFormatting>
  <conditionalFormatting sqref="D19">
    <cfRule type="expression" dxfId="1468" priority="1314">
      <formula>$E19="MC"</formula>
    </cfRule>
  </conditionalFormatting>
  <conditionalFormatting sqref="D19">
    <cfRule type="expression" dxfId="1467" priority="1313">
      <formula>$E19="MC"</formula>
    </cfRule>
  </conditionalFormatting>
  <conditionalFormatting sqref="D19">
    <cfRule type="expression" dxfId="1466" priority="1312">
      <formula>$E19="MC"</formula>
    </cfRule>
  </conditionalFormatting>
  <conditionalFormatting sqref="D19">
    <cfRule type="expression" dxfId="1465" priority="1311">
      <formula>$E19="MC"</formula>
    </cfRule>
  </conditionalFormatting>
  <conditionalFormatting sqref="D19">
    <cfRule type="expression" dxfId="1464" priority="1310">
      <formula>$E19="MC"</formula>
    </cfRule>
  </conditionalFormatting>
  <conditionalFormatting sqref="C19 F19:G19">
    <cfRule type="expression" dxfId="1463" priority="1309">
      <formula>$E19="MC"</formula>
    </cfRule>
  </conditionalFormatting>
  <conditionalFormatting sqref="C19 F19:G19">
    <cfRule type="expression" dxfId="1462" priority="1308">
      <formula>$E19="MC"</formula>
    </cfRule>
  </conditionalFormatting>
  <conditionalFormatting sqref="C19 F19:G19">
    <cfRule type="expression" dxfId="1461" priority="1307">
      <formula>$E19="MC"</formula>
    </cfRule>
  </conditionalFormatting>
  <conditionalFormatting sqref="C19 F19:G19">
    <cfRule type="expression" dxfId="1460" priority="1306">
      <formula>$E19="MC"</formula>
    </cfRule>
  </conditionalFormatting>
  <conditionalFormatting sqref="C19 F19:G19">
    <cfRule type="expression" dxfId="1459" priority="1305">
      <formula>$E19="MC"</formula>
    </cfRule>
  </conditionalFormatting>
  <conditionalFormatting sqref="C19 F19:G19">
    <cfRule type="expression" dxfId="1458" priority="1304">
      <formula>$E19="MC"</formula>
    </cfRule>
  </conditionalFormatting>
  <conditionalFormatting sqref="D19">
    <cfRule type="expression" dxfId="1457" priority="1303">
      <formula>$E19="MC"</formula>
    </cfRule>
  </conditionalFormatting>
  <conditionalFormatting sqref="D19">
    <cfRule type="expression" dxfId="1456" priority="1302">
      <formula>$E19="MC"</formula>
    </cfRule>
  </conditionalFormatting>
  <conditionalFormatting sqref="D19">
    <cfRule type="expression" dxfId="1455" priority="1301">
      <formula>$E19="MC"</formula>
    </cfRule>
  </conditionalFormatting>
  <conditionalFormatting sqref="D19">
    <cfRule type="expression" dxfId="1454" priority="1300">
      <formula>$E19="MC"</formula>
    </cfRule>
  </conditionalFormatting>
  <conditionalFormatting sqref="D19">
    <cfRule type="expression" dxfId="1453" priority="1299">
      <formula>$E19="MC"</formula>
    </cfRule>
  </conditionalFormatting>
  <conditionalFormatting sqref="D19">
    <cfRule type="expression" dxfId="1452" priority="1298">
      <formula>$E19="MC"</formula>
    </cfRule>
  </conditionalFormatting>
  <conditionalFormatting sqref="C19:D19 F19:G19">
    <cfRule type="expression" dxfId="1451" priority="1297">
      <formula>$E19="MC"</formula>
    </cfRule>
  </conditionalFormatting>
  <conditionalFormatting sqref="C19:D19 F19:G19">
    <cfRule type="expression" dxfId="1450" priority="1296">
      <formula>$E19="MC"</formula>
    </cfRule>
  </conditionalFormatting>
  <conditionalFormatting sqref="C19:D19 F19:G19">
    <cfRule type="expression" dxfId="1449" priority="1295">
      <formula>$E19="MC"</formula>
    </cfRule>
  </conditionalFormatting>
  <conditionalFormatting sqref="C19:D19 F19:G19">
    <cfRule type="expression" dxfId="1448" priority="1294">
      <formula>$E19="MC"</formula>
    </cfRule>
  </conditionalFormatting>
  <conditionalFormatting sqref="C19:D19 F19:G19">
    <cfRule type="expression" dxfId="1447" priority="1293">
      <formula>$E19="MC"</formula>
    </cfRule>
  </conditionalFormatting>
  <conditionalFormatting sqref="C19 F19:G19">
    <cfRule type="expression" dxfId="1446" priority="1292">
      <formula>$E19="MC"</formula>
    </cfRule>
  </conditionalFormatting>
  <conditionalFormatting sqref="C19 F19:G19">
    <cfRule type="expression" dxfId="1445" priority="1291">
      <formula>$E19="MC"</formula>
    </cfRule>
  </conditionalFormatting>
  <conditionalFormatting sqref="C19 F19:G19">
    <cfRule type="expression" dxfId="1444" priority="1290">
      <formula>$E19="MC"</formula>
    </cfRule>
  </conditionalFormatting>
  <conditionalFormatting sqref="C19 F19:G19">
    <cfRule type="expression" dxfId="1443" priority="1289">
      <formula>$E19="MC"</formula>
    </cfRule>
  </conditionalFormatting>
  <conditionalFormatting sqref="C19 F19:G19">
    <cfRule type="expression" dxfId="1442" priority="1288">
      <formula>$E19="MC"</formula>
    </cfRule>
  </conditionalFormatting>
  <conditionalFormatting sqref="C19 F19:G19">
    <cfRule type="expression" dxfId="1441" priority="1287">
      <formula>$E19="MC"</formula>
    </cfRule>
  </conditionalFormatting>
  <conditionalFormatting sqref="D19">
    <cfRule type="expression" dxfId="1440" priority="1286">
      <formula>$E19="MC"</formula>
    </cfRule>
  </conditionalFormatting>
  <conditionalFormatting sqref="D19">
    <cfRule type="expression" dxfId="1439" priority="1285">
      <formula>$E19="MC"</formula>
    </cfRule>
  </conditionalFormatting>
  <conditionalFormatting sqref="D19">
    <cfRule type="expression" dxfId="1438" priority="1284">
      <formula>$E19="MC"</formula>
    </cfRule>
  </conditionalFormatting>
  <conditionalFormatting sqref="D19">
    <cfRule type="expression" dxfId="1437" priority="1283">
      <formula>$E19="MC"</formula>
    </cfRule>
  </conditionalFormatting>
  <conditionalFormatting sqref="D19">
    <cfRule type="expression" dxfId="1436" priority="1282">
      <formula>$E19="MC"</formula>
    </cfRule>
  </conditionalFormatting>
  <conditionalFormatting sqref="D19">
    <cfRule type="expression" dxfId="1435" priority="1281">
      <formula>$E19="MC"</formula>
    </cfRule>
  </conditionalFormatting>
  <conditionalFormatting sqref="C19:D19 F19:G19">
    <cfRule type="expression" dxfId="1434" priority="1280">
      <formula>$E19="MC"</formula>
    </cfRule>
  </conditionalFormatting>
  <conditionalFormatting sqref="C19:D19 F19:G19">
    <cfRule type="expression" dxfId="1433" priority="1279">
      <formula>$E19="MC"</formula>
    </cfRule>
  </conditionalFormatting>
  <conditionalFormatting sqref="C19:D19 F19:G19">
    <cfRule type="expression" dxfId="1432" priority="1278">
      <formula>$E19="MC"</formula>
    </cfRule>
  </conditionalFormatting>
  <conditionalFormatting sqref="C19:D19 F19:G19">
    <cfRule type="expression" dxfId="1431" priority="1277">
      <formula>$E19="MC"</formula>
    </cfRule>
  </conditionalFormatting>
  <conditionalFormatting sqref="C19:D19 F19:G19">
    <cfRule type="expression" dxfId="1430" priority="1276">
      <formula>$E19="MC"</formula>
    </cfRule>
  </conditionalFormatting>
  <conditionalFormatting sqref="C19:D19 F19:G19">
    <cfRule type="expression" dxfId="1429" priority="1275">
      <formula>$E19="MC"</formula>
    </cfRule>
  </conditionalFormatting>
  <conditionalFormatting sqref="C19:D19 F19:G19">
    <cfRule type="expression" dxfId="1428" priority="1274">
      <formula>$E19="MC"</formula>
    </cfRule>
  </conditionalFormatting>
  <conditionalFormatting sqref="C19:D19 F19:G19">
    <cfRule type="expression" dxfId="1427" priority="1273">
      <formula>$E19="MC"</formula>
    </cfRule>
  </conditionalFormatting>
  <conditionalFormatting sqref="C19:D19 F19:G19">
    <cfRule type="expression" dxfId="1426" priority="1272">
      <formula>$E19="MC"</formula>
    </cfRule>
  </conditionalFormatting>
  <conditionalFormatting sqref="C19:D19 F19:G19">
    <cfRule type="expression" dxfId="1425" priority="1271">
      <formula>$E19="MC"</formula>
    </cfRule>
  </conditionalFormatting>
  <conditionalFormatting sqref="D19">
    <cfRule type="expression" dxfId="1424" priority="1270">
      <formula>$E19="MC"</formula>
    </cfRule>
  </conditionalFormatting>
  <conditionalFormatting sqref="C19 F19:G19">
    <cfRule type="expression" dxfId="1423" priority="1269">
      <formula>$E19="MC"</formula>
    </cfRule>
  </conditionalFormatting>
  <conditionalFormatting sqref="C19 F19:G19">
    <cfRule type="expression" dxfId="1422" priority="1268">
      <formula>$E19="MC"</formula>
    </cfRule>
  </conditionalFormatting>
  <conditionalFormatting sqref="C19 F19:G19">
    <cfRule type="expression" dxfId="1421" priority="1267">
      <formula>$E19="MC"</formula>
    </cfRule>
  </conditionalFormatting>
  <conditionalFormatting sqref="C19 F19:G19">
    <cfRule type="expression" dxfId="1420" priority="1266">
      <formula>$E19="MC"</formula>
    </cfRule>
  </conditionalFormatting>
  <conditionalFormatting sqref="C19 F19:G19">
    <cfRule type="expression" dxfId="1419" priority="1265">
      <formula>$E19="MC"</formula>
    </cfRule>
  </conditionalFormatting>
  <conditionalFormatting sqref="C19 F19:G19">
    <cfRule type="expression" dxfId="1418" priority="1264">
      <formula>$E19="MC"</formula>
    </cfRule>
  </conditionalFormatting>
  <conditionalFormatting sqref="D19">
    <cfRule type="expression" dxfId="1417" priority="1263">
      <formula>$E19="MC"</formula>
    </cfRule>
  </conditionalFormatting>
  <conditionalFormatting sqref="D19">
    <cfRule type="expression" dxfId="1416" priority="1262">
      <formula>$E19="MC"</formula>
    </cfRule>
  </conditionalFormatting>
  <conditionalFormatting sqref="D19">
    <cfRule type="expression" dxfId="1415" priority="1261">
      <formula>$E19="MC"</formula>
    </cfRule>
  </conditionalFormatting>
  <conditionalFormatting sqref="D19">
    <cfRule type="expression" dxfId="1414" priority="1260">
      <formula>$E19="MC"</formula>
    </cfRule>
  </conditionalFormatting>
  <conditionalFormatting sqref="D19">
    <cfRule type="expression" dxfId="1413" priority="1259">
      <formula>$E19="MC"</formula>
    </cfRule>
  </conditionalFormatting>
  <conditionalFormatting sqref="D19">
    <cfRule type="expression" dxfId="1412" priority="1258">
      <formula>$E19="MC"</formula>
    </cfRule>
  </conditionalFormatting>
  <conditionalFormatting sqref="C19:D19 F19:G19">
    <cfRule type="expression" dxfId="1411" priority="1257">
      <formula>$E19="MC"</formula>
    </cfRule>
  </conditionalFormatting>
  <conditionalFormatting sqref="C19:D19 F19:G19">
    <cfRule type="expression" dxfId="1410" priority="1256">
      <formula>$E19="MC"</formula>
    </cfRule>
  </conditionalFormatting>
  <conditionalFormatting sqref="C19:D19 F19:G19">
    <cfRule type="expression" dxfId="1409" priority="1255">
      <formula>$E19="MC"</formula>
    </cfRule>
  </conditionalFormatting>
  <conditionalFormatting sqref="C19:D19 F19:G19">
    <cfRule type="expression" dxfId="1408" priority="1254">
      <formula>$E19="MC"</formula>
    </cfRule>
  </conditionalFormatting>
  <conditionalFormatting sqref="C19:D19 F19:G19">
    <cfRule type="expression" dxfId="1407" priority="1253">
      <formula>$E19="MC"</formula>
    </cfRule>
  </conditionalFormatting>
  <conditionalFormatting sqref="C19:D19 F19:G19">
    <cfRule type="expression" dxfId="1406" priority="1252">
      <formula>$E19="MC"</formula>
    </cfRule>
  </conditionalFormatting>
  <conditionalFormatting sqref="C19:D19 F19:G19">
    <cfRule type="expression" dxfId="1405" priority="1251">
      <formula>$E19="MC"</formula>
    </cfRule>
  </conditionalFormatting>
  <conditionalFormatting sqref="C19:D19 F19:G19">
    <cfRule type="expression" dxfId="1404" priority="1250">
      <formula>$E19="MC"</formula>
    </cfRule>
  </conditionalFormatting>
  <conditionalFormatting sqref="C19:D19 F19:G19">
    <cfRule type="expression" dxfId="1403" priority="1249">
      <formula>$E19="MC"</formula>
    </cfRule>
  </conditionalFormatting>
  <conditionalFormatting sqref="C19:D19 F19:G19">
    <cfRule type="expression" dxfId="1402" priority="1248">
      <formula>$E19="MC"</formula>
    </cfRule>
  </conditionalFormatting>
  <conditionalFormatting sqref="D19">
    <cfRule type="expression" dxfId="1401" priority="1247">
      <formula>$E19="MC"</formula>
    </cfRule>
  </conditionalFormatting>
  <conditionalFormatting sqref="C19:D19 F19:G19">
    <cfRule type="expression" dxfId="1400" priority="1246">
      <formula>$E19="MC"</formula>
    </cfRule>
  </conditionalFormatting>
  <conditionalFormatting sqref="C19:D19 F19:G19">
    <cfRule type="expression" dxfId="1399" priority="1245">
      <formula>$E19="MC"</formula>
    </cfRule>
  </conditionalFormatting>
  <conditionalFormatting sqref="C19:D19 F19:G19">
    <cfRule type="expression" dxfId="1398" priority="1244">
      <formula>$E19="MC"</formula>
    </cfRule>
  </conditionalFormatting>
  <conditionalFormatting sqref="C19:D19 F19:G19">
    <cfRule type="expression" dxfId="1397" priority="1243">
      <formula>$E19="MC"</formula>
    </cfRule>
  </conditionalFormatting>
  <conditionalFormatting sqref="C19:D19 F19:G19">
    <cfRule type="expression" dxfId="1396" priority="1242">
      <formula>$E19="MC"</formula>
    </cfRule>
  </conditionalFormatting>
  <conditionalFormatting sqref="D19">
    <cfRule type="expression" dxfId="1395" priority="1241">
      <formula>$E19="MC"</formula>
    </cfRule>
  </conditionalFormatting>
  <conditionalFormatting sqref="D19">
    <cfRule type="expression" dxfId="1394" priority="1240">
      <formula>$E19="MC"</formula>
    </cfRule>
  </conditionalFormatting>
  <conditionalFormatting sqref="C19:D19 F19:G19">
    <cfRule type="expression" dxfId="1393" priority="1239">
      <formula>$E19="MC"</formula>
    </cfRule>
  </conditionalFormatting>
  <conditionalFormatting sqref="C19:D19 F19:G19">
    <cfRule type="expression" dxfId="1392" priority="1238">
      <formula>$E19="MC"</formula>
    </cfRule>
  </conditionalFormatting>
  <conditionalFormatting sqref="C19:D19 F19:G19">
    <cfRule type="expression" dxfId="1391" priority="1237">
      <formula>$E19="MC"</formula>
    </cfRule>
  </conditionalFormatting>
  <conditionalFormatting sqref="C19:D19 F19:G19">
    <cfRule type="expression" dxfId="1390" priority="1236">
      <formula>$E19="MC"</formula>
    </cfRule>
  </conditionalFormatting>
  <conditionalFormatting sqref="C19:D19 F19:G19">
    <cfRule type="expression" dxfId="1389" priority="1235">
      <formula>$E19="MC"</formula>
    </cfRule>
  </conditionalFormatting>
  <conditionalFormatting sqref="D19">
    <cfRule type="expression" dxfId="1388" priority="1234">
      <formula>$E19="MC"</formula>
    </cfRule>
  </conditionalFormatting>
  <conditionalFormatting sqref="D19">
    <cfRule type="expression" dxfId="1387" priority="1233">
      <formula>$E19="MC"</formula>
    </cfRule>
  </conditionalFormatting>
  <conditionalFormatting sqref="D19">
    <cfRule type="expression" dxfId="1386" priority="1232">
      <formula>$E19="MC"</formula>
    </cfRule>
  </conditionalFormatting>
  <conditionalFormatting sqref="D19">
    <cfRule type="expression" dxfId="1385" priority="1231">
      <formula>$E19="MC"</formula>
    </cfRule>
  </conditionalFormatting>
  <conditionalFormatting sqref="B20">
    <cfRule type="expression" dxfId="1384" priority="1230">
      <formula>$E20="MC"</formula>
    </cfRule>
  </conditionalFormatting>
  <conditionalFormatting sqref="B20">
    <cfRule type="expression" dxfId="1383" priority="1227">
      <formula>$E20="MC"</formula>
    </cfRule>
  </conditionalFormatting>
  <conditionalFormatting sqref="B20">
    <cfRule type="expression" dxfId="1382" priority="1226">
      <formula>$E20="MC"</formula>
    </cfRule>
  </conditionalFormatting>
  <conditionalFormatting sqref="B20">
    <cfRule type="expression" dxfId="1381" priority="1225">
      <formula>$E20="MC"</formula>
    </cfRule>
  </conditionalFormatting>
  <conditionalFormatting sqref="B20">
    <cfRule type="expression" dxfId="1380" priority="1229">
      <formula>$E20="MC"</formula>
    </cfRule>
  </conditionalFormatting>
  <conditionalFormatting sqref="B20">
    <cfRule type="expression" dxfId="1379" priority="1228">
      <formula>$E20="MC"</formula>
    </cfRule>
  </conditionalFormatting>
  <conditionalFormatting sqref="B20">
    <cfRule type="expression" dxfId="1378" priority="1224">
      <formula>$E20="MC"</formula>
    </cfRule>
  </conditionalFormatting>
  <conditionalFormatting sqref="B20">
    <cfRule type="expression" dxfId="1377" priority="1223">
      <formula>$E20="MC"</formula>
    </cfRule>
  </conditionalFormatting>
  <conditionalFormatting sqref="B20">
    <cfRule type="expression" dxfId="1376" priority="1222">
      <formula>$E20="MC"</formula>
    </cfRule>
  </conditionalFormatting>
  <conditionalFormatting sqref="B20">
    <cfRule type="expression" dxfId="1375" priority="1221">
      <formula>$E20="MC"</formula>
    </cfRule>
  </conditionalFormatting>
  <conditionalFormatting sqref="B20">
    <cfRule type="expression" dxfId="1374" priority="1220">
      <formula>$E20="MC"</formula>
    </cfRule>
  </conditionalFormatting>
  <conditionalFormatting sqref="B20">
    <cfRule type="expression" dxfId="1373" priority="1219">
      <formula>$E20="MC"</formula>
    </cfRule>
  </conditionalFormatting>
  <conditionalFormatting sqref="B20">
    <cfRule type="expression" dxfId="1372" priority="1218">
      <formula>$E20="MC"</formula>
    </cfRule>
  </conditionalFormatting>
  <conditionalFormatting sqref="B20">
    <cfRule type="expression" dxfId="1371" priority="1217">
      <formula>$E20="MC"</formula>
    </cfRule>
  </conditionalFormatting>
  <conditionalFormatting sqref="B20">
    <cfRule type="expression" dxfId="1370" priority="1214">
      <formula>$E20="MC"</formula>
    </cfRule>
  </conditionalFormatting>
  <conditionalFormatting sqref="B20">
    <cfRule type="expression" dxfId="1369" priority="1213">
      <formula>$E20="MC"</formula>
    </cfRule>
  </conditionalFormatting>
  <conditionalFormatting sqref="B20">
    <cfRule type="expression" dxfId="1368" priority="1212">
      <formula>$E20="MC"</formula>
    </cfRule>
  </conditionalFormatting>
  <conditionalFormatting sqref="B20">
    <cfRule type="expression" dxfId="1367" priority="1216">
      <formula>$E20="MC"</formula>
    </cfRule>
  </conditionalFormatting>
  <conditionalFormatting sqref="B20">
    <cfRule type="expression" dxfId="1366" priority="1215">
      <formula>$E20="MC"</formula>
    </cfRule>
  </conditionalFormatting>
  <conditionalFormatting sqref="B20">
    <cfRule type="expression" dxfId="1365" priority="1211">
      <formula>$E20="MC"</formula>
    </cfRule>
  </conditionalFormatting>
  <conditionalFormatting sqref="B20">
    <cfRule type="expression" dxfId="1364" priority="1208">
      <formula>$E20="MC"</formula>
    </cfRule>
  </conditionalFormatting>
  <conditionalFormatting sqref="B20">
    <cfRule type="expression" dxfId="1363" priority="1207">
      <formula>$E20="MC"</formula>
    </cfRule>
  </conditionalFormatting>
  <conditionalFormatting sqref="B20">
    <cfRule type="expression" dxfId="1362" priority="1206">
      <formula>$E20="MC"</formula>
    </cfRule>
  </conditionalFormatting>
  <conditionalFormatting sqref="B20">
    <cfRule type="expression" dxfId="1361" priority="1210">
      <formula>$E20="MC"</formula>
    </cfRule>
  </conditionalFormatting>
  <conditionalFormatting sqref="B20">
    <cfRule type="expression" dxfId="1360" priority="1209">
      <formula>$E20="MC"</formula>
    </cfRule>
  </conditionalFormatting>
  <conditionalFormatting sqref="B20">
    <cfRule type="expression" dxfId="1359" priority="1205">
      <formula>$E20="MC"</formula>
    </cfRule>
  </conditionalFormatting>
  <conditionalFormatting sqref="B20">
    <cfRule type="expression" dxfId="1358" priority="1202">
      <formula>$E20="MC"</formula>
    </cfRule>
  </conditionalFormatting>
  <conditionalFormatting sqref="B20">
    <cfRule type="expression" dxfId="1357" priority="1201">
      <formula>$E20="MC"</formula>
    </cfRule>
  </conditionalFormatting>
  <conditionalFormatting sqref="B20">
    <cfRule type="expression" dxfId="1356" priority="1200">
      <formula>$E20="MC"</formula>
    </cfRule>
  </conditionalFormatting>
  <conditionalFormatting sqref="B20">
    <cfRule type="expression" dxfId="1355" priority="1204">
      <formula>$E20="MC"</formula>
    </cfRule>
  </conditionalFormatting>
  <conditionalFormatting sqref="B20">
    <cfRule type="expression" dxfId="1354" priority="1203">
      <formula>$E20="MC"</formula>
    </cfRule>
  </conditionalFormatting>
  <conditionalFormatting sqref="B20">
    <cfRule type="expression" dxfId="1353" priority="1199">
      <formula>$E20="MC"</formula>
    </cfRule>
  </conditionalFormatting>
  <conditionalFormatting sqref="B20">
    <cfRule type="expression" dxfId="1352" priority="1198">
      <formula>$E20="MC"</formula>
    </cfRule>
  </conditionalFormatting>
  <conditionalFormatting sqref="B20">
    <cfRule type="expression" dxfId="1351" priority="1197">
      <formula>$E20="MC"</formula>
    </cfRule>
  </conditionalFormatting>
  <conditionalFormatting sqref="B20">
    <cfRule type="expression" dxfId="1350" priority="1196">
      <formula>$E20="MC"</formula>
    </cfRule>
  </conditionalFormatting>
  <conditionalFormatting sqref="B20">
    <cfRule type="expression" dxfId="1349" priority="1195">
      <formula>$E20="MC"</formula>
    </cfRule>
  </conditionalFormatting>
  <conditionalFormatting sqref="B20">
    <cfRule type="expression" dxfId="1348" priority="1194">
      <formula>$E20="MC"</formula>
    </cfRule>
  </conditionalFormatting>
  <conditionalFormatting sqref="B20">
    <cfRule type="expression" dxfId="1347" priority="1193">
      <formula>$E20="MC"</formula>
    </cfRule>
  </conditionalFormatting>
  <conditionalFormatting sqref="B20">
    <cfRule type="expression" dxfId="1346" priority="1192">
      <formula>$E20="MC"</formula>
    </cfRule>
  </conditionalFormatting>
  <conditionalFormatting sqref="B20">
    <cfRule type="expression" dxfId="1345" priority="1191">
      <formula>$E20="MC"</formula>
    </cfRule>
  </conditionalFormatting>
  <conditionalFormatting sqref="B20">
    <cfRule type="expression" dxfId="1344" priority="1190">
      <formula>$E20="MC"</formula>
    </cfRule>
  </conditionalFormatting>
  <conditionalFormatting sqref="B20">
    <cfRule type="expression" dxfId="1343" priority="1189">
      <formula>$E20="MC"</formula>
    </cfRule>
  </conditionalFormatting>
  <conditionalFormatting sqref="B20">
    <cfRule type="expression" dxfId="1342" priority="1188">
      <formula>$E20="MC"</formula>
    </cfRule>
  </conditionalFormatting>
  <conditionalFormatting sqref="B20">
    <cfRule type="expression" dxfId="1341" priority="1187">
      <formula>$E20="MC"</formula>
    </cfRule>
  </conditionalFormatting>
  <conditionalFormatting sqref="B20">
    <cfRule type="expression" dxfId="1340" priority="1186">
      <formula>$E20="MC"</formula>
    </cfRule>
  </conditionalFormatting>
  <conditionalFormatting sqref="B20">
    <cfRule type="expression" dxfId="1339" priority="1185">
      <formula>$E20="MC"</formula>
    </cfRule>
  </conditionalFormatting>
  <conditionalFormatting sqref="B20">
    <cfRule type="expression" dxfId="1338" priority="1184">
      <formula>$E20="MC"</formula>
    </cfRule>
  </conditionalFormatting>
  <conditionalFormatting sqref="B20">
    <cfRule type="expression" dxfId="1337" priority="1183">
      <formula>$E20="MC"</formula>
    </cfRule>
  </conditionalFormatting>
  <conditionalFormatting sqref="B20">
    <cfRule type="expression" dxfId="1336" priority="1182">
      <formula>$E20="MC"</formula>
    </cfRule>
  </conditionalFormatting>
  <conditionalFormatting sqref="B20">
    <cfRule type="expression" dxfId="1335" priority="1181">
      <formula>$E20="MC"</formula>
    </cfRule>
  </conditionalFormatting>
  <conditionalFormatting sqref="B20">
    <cfRule type="expression" dxfId="1334" priority="1180">
      <formula>$E20="MC"</formula>
    </cfRule>
  </conditionalFormatting>
  <conditionalFormatting sqref="B20">
    <cfRule type="expression" dxfId="1333" priority="1179">
      <formula>$E20="MC"</formula>
    </cfRule>
  </conditionalFormatting>
  <conditionalFormatting sqref="B20">
    <cfRule type="expression" dxfId="1332" priority="1178">
      <formula>$E20="MC"</formula>
    </cfRule>
  </conditionalFormatting>
  <conditionalFormatting sqref="B20">
    <cfRule type="expression" dxfId="1331" priority="1177">
      <formula>$E20="MC"</formula>
    </cfRule>
  </conditionalFormatting>
  <conditionalFormatting sqref="B20">
    <cfRule type="expression" dxfId="1330" priority="1176">
      <formula>$E20="MC"</formula>
    </cfRule>
  </conditionalFormatting>
  <conditionalFormatting sqref="B20">
    <cfRule type="expression" dxfId="1329" priority="1175">
      <formula>$E20="MC"</formula>
    </cfRule>
  </conditionalFormatting>
  <conditionalFormatting sqref="B20">
    <cfRule type="expression" dxfId="1328" priority="1174">
      <formula>$E20="MC"</formula>
    </cfRule>
  </conditionalFormatting>
  <conditionalFormatting sqref="B20">
    <cfRule type="expression" dxfId="1327" priority="1173">
      <formula>$E20="MC"</formula>
    </cfRule>
  </conditionalFormatting>
  <conditionalFormatting sqref="B20">
    <cfRule type="expression" dxfId="1326" priority="1172">
      <formula>$E20="MC"</formula>
    </cfRule>
  </conditionalFormatting>
  <conditionalFormatting sqref="B20">
    <cfRule type="expression" dxfId="1325" priority="1171">
      <formula>$E20="MC"</formula>
    </cfRule>
  </conditionalFormatting>
  <conditionalFormatting sqref="B20">
    <cfRule type="expression" dxfId="1324" priority="1170">
      <formula>$E20="MC"</formula>
    </cfRule>
  </conditionalFormatting>
  <conditionalFormatting sqref="B20">
    <cfRule type="expression" dxfId="1323" priority="1169">
      <formula>$E20="MC"</formula>
    </cfRule>
  </conditionalFormatting>
  <conditionalFormatting sqref="B20">
    <cfRule type="expression" dxfId="1322" priority="1168">
      <formula>$E20="MC"</formula>
    </cfRule>
  </conditionalFormatting>
  <conditionalFormatting sqref="B20">
    <cfRule type="expression" dxfId="1321" priority="1167">
      <formula>$E20="MC"</formula>
    </cfRule>
  </conditionalFormatting>
  <conditionalFormatting sqref="B20">
    <cfRule type="expression" dxfId="1320" priority="1166">
      <formula>$E20="MC"</formula>
    </cfRule>
  </conditionalFormatting>
  <conditionalFormatting sqref="B20">
    <cfRule type="expression" dxfId="1319" priority="1165">
      <formula>$E20="MC"</formula>
    </cfRule>
  </conditionalFormatting>
  <conditionalFormatting sqref="B20">
    <cfRule type="expression" dxfId="1318" priority="1164">
      <formula>$E20="MC"</formula>
    </cfRule>
  </conditionalFormatting>
  <conditionalFormatting sqref="B20">
    <cfRule type="expression" dxfId="1317" priority="1163">
      <formula>$E20="MC"</formula>
    </cfRule>
  </conditionalFormatting>
  <conditionalFormatting sqref="B20">
    <cfRule type="expression" dxfId="1316" priority="1162">
      <formula>$E20="MC"</formula>
    </cfRule>
  </conditionalFormatting>
  <conditionalFormatting sqref="B20">
    <cfRule type="expression" dxfId="1315" priority="1161">
      <formula>$E20="MC"</formula>
    </cfRule>
  </conditionalFormatting>
  <conditionalFormatting sqref="B20">
    <cfRule type="expression" dxfId="1314" priority="1160">
      <formula>$E20="MC"</formula>
    </cfRule>
  </conditionalFormatting>
  <conditionalFormatting sqref="B20">
    <cfRule type="expression" dxfId="1313" priority="1159">
      <formula>$E20="MC"</formula>
    </cfRule>
  </conditionalFormatting>
  <conditionalFormatting sqref="B20">
    <cfRule type="expression" dxfId="1312" priority="1158">
      <formula>$E20="MC"</formula>
    </cfRule>
  </conditionalFormatting>
  <conditionalFormatting sqref="B20">
    <cfRule type="expression" dxfId="1311" priority="1157">
      <formula>$E20="MC"</formula>
    </cfRule>
  </conditionalFormatting>
  <conditionalFormatting sqref="B20">
    <cfRule type="expression" dxfId="1310" priority="1156">
      <formula>$E20="MC"</formula>
    </cfRule>
  </conditionalFormatting>
  <conditionalFormatting sqref="B20">
    <cfRule type="expression" dxfId="1309" priority="1155">
      <formula>$E20="MC"</formula>
    </cfRule>
  </conditionalFormatting>
  <conditionalFormatting sqref="B20">
    <cfRule type="expression" dxfId="1308" priority="1154">
      <formula>$E20="MC"</formula>
    </cfRule>
  </conditionalFormatting>
  <conditionalFormatting sqref="B20">
    <cfRule type="expression" dxfId="1307" priority="1153">
      <formula>$E20="MC"</formula>
    </cfRule>
  </conditionalFormatting>
  <conditionalFormatting sqref="B20">
    <cfRule type="expression" dxfId="1306" priority="1152">
      <formula>$E20="MC"</formula>
    </cfRule>
  </conditionalFormatting>
  <conditionalFormatting sqref="B20">
    <cfRule type="expression" dxfId="1305" priority="1151">
      <formula>$E20="MC"</formula>
    </cfRule>
  </conditionalFormatting>
  <conditionalFormatting sqref="B20">
    <cfRule type="expression" dxfId="1304" priority="1150">
      <formula>$E20="MC"</formula>
    </cfRule>
  </conditionalFormatting>
  <conditionalFormatting sqref="B20">
    <cfRule type="expression" dxfId="1303" priority="1149">
      <formula>$E20="MC"</formula>
    </cfRule>
  </conditionalFormatting>
  <conditionalFormatting sqref="B20">
    <cfRule type="expression" dxfId="1302" priority="1148">
      <formula>$E20="MC"</formula>
    </cfRule>
  </conditionalFormatting>
  <conditionalFormatting sqref="B20">
    <cfRule type="expression" dxfId="1301" priority="1147">
      <formula>$E20="MC"</formula>
    </cfRule>
  </conditionalFormatting>
  <conditionalFormatting sqref="B20">
    <cfRule type="expression" dxfId="1300" priority="1146">
      <formula>$E20="MC"</formula>
    </cfRule>
  </conditionalFormatting>
  <conditionalFormatting sqref="B20">
    <cfRule type="expression" dxfId="1299" priority="1145">
      <formula>$E20="MC"</formula>
    </cfRule>
  </conditionalFormatting>
  <conditionalFormatting sqref="B20">
    <cfRule type="expression" dxfId="1298" priority="1144">
      <formula>$E20="MC"</formula>
    </cfRule>
  </conditionalFormatting>
  <conditionalFormatting sqref="B20">
    <cfRule type="expression" dxfId="1297" priority="1143">
      <formula>$E20="MC"</formula>
    </cfRule>
  </conditionalFormatting>
  <conditionalFormatting sqref="B20">
    <cfRule type="expression" dxfId="1296" priority="1142">
      <formula>$E20="MC"</formula>
    </cfRule>
  </conditionalFormatting>
  <conditionalFormatting sqref="B20">
    <cfRule type="expression" dxfId="1295" priority="1141">
      <formula>$E20="MC"</formula>
    </cfRule>
  </conditionalFormatting>
  <conditionalFormatting sqref="B20">
    <cfRule type="expression" dxfId="1294" priority="1140">
      <formula>$E20="MC"</formula>
    </cfRule>
  </conditionalFormatting>
  <conditionalFormatting sqref="B20">
    <cfRule type="expression" dxfId="1293" priority="1139">
      <formula>$E20="MC"</formula>
    </cfRule>
  </conditionalFormatting>
  <conditionalFormatting sqref="B20">
    <cfRule type="expression" dxfId="1292" priority="1138">
      <formula>$E20="MC"</formula>
    </cfRule>
  </conditionalFormatting>
  <conditionalFormatting sqref="B20">
    <cfRule type="expression" dxfId="1291" priority="1137">
      <formula>$E20="MC"</formula>
    </cfRule>
  </conditionalFormatting>
  <conditionalFormatting sqref="B20">
    <cfRule type="expression" dxfId="1290" priority="1136">
      <formula>$E20="MC"</formula>
    </cfRule>
  </conditionalFormatting>
  <conditionalFormatting sqref="B20">
    <cfRule type="expression" dxfId="1289" priority="1135">
      <formula>$E20="MC"</formula>
    </cfRule>
  </conditionalFormatting>
  <conditionalFormatting sqref="B20">
    <cfRule type="expression" dxfId="1288" priority="1134">
      <formula>$E20="MC"</formula>
    </cfRule>
  </conditionalFormatting>
  <conditionalFormatting sqref="B20">
    <cfRule type="expression" dxfId="1287" priority="1133">
      <formula>$E20="MC"</formula>
    </cfRule>
  </conditionalFormatting>
  <conditionalFormatting sqref="D20">
    <cfRule type="expression" dxfId="1286" priority="1132">
      <formula>$E20="MC"</formula>
    </cfRule>
  </conditionalFormatting>
  <conditionalFormatting sqref="D20">
    <cfRule type="expression" dxfId="1285" priority="1131">
      <formula>$E20="MC"</formula>
    </cfRule>
  </conditionalFormatting>
  <conditionalFormatting sqref="D20">
    <cfRule type="expression" dxfId="1284" priority="1130">
      <formula>$E20="MC"</formula>
    </cfRule>
  </conditionalFormatting>
  <conditionalFormatting sqref="D20">
    <cfRule type="expression" dxfId="1283" priority="1129">
      <formula>$E20="MC"</formula>
    </cfRule>
  </conditionalFormatting>
  <conditionalFormatting sqref="D20">
    <cfRule type="expression" dxfId="1282" priority="1128">
      <formula>$E20="MC"</formula>
    </cfRule>
  </conditionalFormatting>
  <conditionalFormatting sqref="D20">
    <cfRule type="expression" dxfId="1281" priority="1127">
      <formula>$E20="MC"</formula>
    </cfRule>
  </conditionalFormatting>
  <conditionalFormatting sqref="D20">
    <cfRule type="expression" dxfId="1280" priority="1126">
      <formula>$E20="MC"</formula>
    </cfRule>
  </conditionalFormatting>
  <conditionalFormatting sqref="D20">
    <cfRule type="expression" dxfId="1279" priority="1125">
      <formula>$E20="MC"</formula>
    </cfRule>
  </conditionalFormatting>
  <conditionalFormatting sqref="D20">
    <cfRule type="expression" dxfId="1278" priority="1124">
      <formula>$E20="MC"</formula>
    </cfRule>
  </conditionalFormatting>
  <conditionalFormatting sqref="D20">
    <cfRule type="expression" dxfId="1277" priority="1123">
      <formula>$E20="MC"</formula>
    </cfRule>
  </conditionalFormatting>
  <conditionalFormatting sqref="D20">
    <cfRule type="expression" dxfId="1276" priority="1122">
      <formula>$E20="MC"</formula>
    </cfRule>
  </conditionalFormatting>
  <conditionalFormatting sqref="D20">
    <cfRule type="expression" dxfId="1275" priority="1121">
      <formula>$E20="MC"</formula>
    </cfRule>
  </conditionalFormatting>
  <conditionalFormatting sqref="C20:D20 F20:G20">
    <cfRule type="expression" dxfId="1274" priority="1120">
      <formula>$E20="MC"</formula>
    </cfRule>
  </conditionalFormatting>
  <conditionalFormatting sqref="C20:D20 F20:G20">
    <cfRule type="expression" dxfId="1273" priority="1117">
      <formula>$E20="MC"</formula>
    </cfRule>
  </conditionalFormatting>
  <conditionalFormatting sqref="C20:D20 F20:G20">
    <cfRule type="expression" dxfId="1272" priority="1116">
      <formula>$E20="MC"</formula>
    </cfRule>
  </conditionalFormatting>
  <conditionalFormatting sqref="C20:D20 F20:G20">
    <cfRule type="expression" dxfId="1271" priority="1115">
      <formula>$E20="MC"</formula>
    </cfRule>
  </conditionalFormatting>
  <conditionalFormatting sqref="C20:D20 F20:G20">
    <cfRule type="expression" dxfId="1270" priority="1119">
      <formula>$E20="MC"</formula>
    </cfRule>
  </conditionalFormatting>
  <conditionalFormatting sqref="F20:G20 C20:D20">
    <cfRule type="expression" dxfId="1269" priority="1118">
      <formula>$E20="MC"</formula>
    </cfRule>
  </conditionalFormatting>
  <conditionalFormatting sqref="C20:D20 F20:G20">
    <cfRule type="expression" dxfId="1268" priority="1114">
      <formula>$E20="MC"</formula>
    </cfRule>
  </conditionalFormatting>
  <conditionalFormatting sqref="C20 F20:G20">
    <cfRule type="expression" dxfId="1267" priority="1113">
      <formula>$E20="MC"</formula>
    </cfRule>
  </conditionalFormatting>
  <conditionalFormatting sqref="C20:D20 F20:G20">
    <cfRule type="expression" dxfId="1266" priority="1112">
      <formula>$E20="MC"</formula>
    </cfRule>
  </conditionalFormatting>
  <conditionalFormatting sqref="C20:D20 F20:G20">
    <cfRule type="expression" dxfId="1265" priority="1111">
      <formula>$E20="MC"</formula>
    </cfRule>
  </conditionalFormatting>
  <conditionalFormatting sqref="C20 F20:G20">
    <cfRule type="expression" dxfId="1264" priority="1110">
      <formula>$E20="MC"</formula>
    </cfRule>
  </conditionalFormatting>
  <conditionalFormatting sqref="C20:D20 F20:G20">
    <cfRule type="expression" dxfId="1263" priority="1109">
      <formula>$E20="MC"</formula>
    </cfRule>
  </conditionalFormatting>
  <conditionalFormatting sqref="C20:D20 F20:G20">
    <cfRule type="expression" dxfId="1262" priority="1108">
      <formula>$E20="MC"</formula>
    </cfRule>
  </conditionalFormatting>
  <conditionalFormatting sqref="D20">
    <cfRule type="expression" dxfId="1261" priority="1107">
      <formula>$E20="MC"</formula>
    </cfRule>
  </conditionalFormatting>
  <conditionalFormatting sqref="D20">
    <cfRule type="expression" dxfId="1260" priority="1106">
      <formula>$E20="MC"</formula>
    </cfRule>
  </conditionalFormatting>
  <conditionalFormatting sqref="D20">
    <cfRule type="expression" dxfId="1259" priority="1105">
      <formula>$E20="MC"</formula>
    </cfRule>
  </conditionalFormatting>
  <conditionalFormatting sqref="D20">
    <cfRule type="expression" dxfId="1258" priority="1104">
      <formula>$E20="MC"</formula>
    </cfRule>
  </conditionalFormatting>
  <conditionalFormatting sqref="C20:D20 F20:G20">
    <cfRule type="expression" dxfId="1257" priority="1103">
      <formula>$E20="MC"</formula>
    </cfRule>
  </conditionalFormatting>
  <conditionalFormatting sqref="C20:D20 F20:G20">
    <cfRule type="expression" dxfId="1256" priority="1100">
      <formula>$E20="MC"</formula>
    </cfRule>
  </conditionalFormatting>
  <conditionalFormatting sqref="C20:D20 F20:G20">
    <cfRule type="expression" dxfId="1255" priority="1099">
      <formula>$E20="MC"</formula>
    </cfRule>
  </conditionalFormatting>
  <conditionalFormatting sqref="C20:D20 F20:G20">
    <cfRule type="expression" dxfId="1254" priority="1098">
      <formula>$E20="MC"</formula>
    </cfRule>
  </conditionalFormatting>
  <conditionalFormatting sqref="C20:D20 F20:G20">
    <cfRule type="expression" dxfId="1253" priority="1102">
      <formula>$E20="MC"</formula>
    </cfRule>
  </conditionalFormatting>
  <conditionalFormatting sqref="C20:D20 F20:G20">
    <cfRule type="expression" dxfId="1252" priority="1101">
      <formula>$E20="MC"</formula>
    </cfRule>
  </conditionalFormatting>
  <conditionalFormatting sqref="C20:D20 F20:G20">
    <cfRule type="expression" dxfId="1251" priority="1097">
      <formula>$E20="MC"</formula>
    </cfRule>
  </conditionalFormatting>
  <conditionalFormatting sqref="C20:D20 F20:G20">
    <cfRule type="expression" dxfId="1250" priority="1094">
      <formula>$E20="MC"</formula>
    </cfRule>
  </conditionalFormatting>
  <conditionalFormatting sqref="C20:D20 F20:G20">
    <cfRule type="expression" dxfId="1249" priority="1093">
      <formula>$E20="MC"</formula>
    </cfRule>
  </conditionalFormatting>
  <conditionalFormatting sqref="C20:D20 F20:G20">
    <cfRule type="expression" dxfId="1248" priority="1092">
      <formula>$E20="MC"</formula>
    </cfRule>
  </conditionalFormatting>
  <conditionalFormatting sqref="C20:D20 F20:G20">
    <cfRule type="expression" dxfId="1247" priority="1096">
      <formula>$E20="MC"</formula>
    </cfRule>
  </conditionalFormatting>
  <conditionalFormatting sqref="F20:G20 C20:D20">
    <cfRule type="expression" dxfId="1246" priority="1095">
      <formula>$E20="MC"</formula>
    </cfRule>
  </conditionalFormatting>
  <conditionalFormatting sqref="C20:D20 F20:G20">
    <cfRule type="expression" dxfId="1245" priority="1091">
      <formula>$E20="MC"</formula>
    </cfRule>
  </conditionalFormatting>
  <conditionalFormatting sqref="C20:D20 F20:G20">
    <cfRule type="expression" dxfId="1244" priority="1088">
      <formula>$E20="MC"</formula>
    </cfRule>
  </conditionalFormatting>
  <conditionalFormatting sqref="C20:D20 F20:G20">
    <cfRule type="expression" dxfId="1243" priority="1087">
      <formula>$E20="MC"</formula>
    </cfRule>
  </conditionalFormatting>
  <conditionalFormatting sqref="C20:D20 F20:G20">
    <cfRule type="expression" dxfId="1242" priority="1086">
      <formula>$E20="MC"</formula>
    </cfRule>
  </conditionalFormatting>
  <conditionalFormatting sqref="C20:D20 F20:G20">
    <cfRule type="expression" dxfId="1241" priority="1090">
      <formula>$E20="MC"</formula>
    </cfRule>
  </conditionalFormatting>
  <conditionalFormatting sqref="F20:G20 C20:D20">
    <cfRule type="expression" dxfId="1240" priority="1089">
      <formula>$E20="MC"</formula>
    </cfRule>
  </conditionalFormatting>
  <conditionalFormatting sqref="D20">
    <cfRule type="expression" dxfId="1239" priority="1085">
      <formula>$E20="MC"</formula>
    </cfRule>
  </conditionalFormatting>
  <conditionalFormatting sqref="C20 F20:G20">
    <cfRule type="expression" dxfId="1238" priority="1084">
      <formula>$E20="MC"</formula>
    </cfRule>
  </conditionalFormatting>
  <conditionalFormatting sqref="C20 F20:G20">
    <cfRule type="expression" dxfId="1237" priority="1083">
      <formula>$E20="MC"</formula>
    </cfRule>
  </conditionalFormatting>
  <conditionalFormatting sqref="D20">
    <cfRule type="expression" dxfId="1236" priority="1082">
      <formula>$E20="MC"</formula>
    </cfRule>
  </conditionalFormatting>
  <conditionalFormatting sqref="D20">
    <cfRule type="expression" dxfId="1235" priority="1081">
      <formula>$E20="MC"</formula>
    </cfRule>
  </conditionalFormatting>
  <conditionalFormatting sqref="D20">
    <cfRule type="expression" dxfId="1234" priority="1080">
      <formula>$E20="MC"</formula>
    </cfRule>
  </conditionalFormatting>
  <conditionalFormatting sqref="D20">
    <cfRule type="expression" dxfId="1233" priority="1079">
      <formula>$E20="MC"</formula>
    </cfRule>
  </conditionalFormatting>
  <conditionalFormatting sqref="D20">
    <cfRule type="expression" dxfId="1232" priority="1078">
      <formula>$E20="MC"</formula>
    </cfRule>
  </conditionalFormatting>
  <conditionalFormatting sqref="D20">
    <cfRule type="expression" dxfId="1231" priority="1077">
      <formula>$E20="MC"</formula>
    </cfRule>
  </conditionalFormatting>
  <conditionalFormatting sqref="D20">
    <cfRule type="expression" dxfId="1230" priority="1076">
      <formula>$E20="MC"</formula>
    </cfRule>
  </conditionalFormatting>
  <conditionalFormatting sqref="D20">
    <cfRule type="expression" dxfId="1229" priority="1075">
      <formula>$E20="MC"</formula>
    </cfRule>
  </conditionalFormatting>
  <conditionalFormatting sqref="D20">
    <cfRule type="expression" dxfId="1228" priority="1074">
      <formula>$E20="MC"</formula>
    </cfRule>
  </conditionalFormatting>
  <conditionalFormatting sqref="D20">
    <cfRule type="expression" dxfId="1227" priority="1073">
      <formula>$E20="MC"</formula>
    </cfRule>
  </conditionalFormatting>
  <conditionalFormatting sqref="D20">
    <cfRule type="expression" dxfId="1226" priority="1072">
      <formula>$E20="MC"</formula>
    </cfRule>
  </conditionalFormatting>
  <conditionalFormatting sqref="D20">
    <cfRule type="expression" dxfId="1225" priority="1071">
      <formula>$E20="MC"</formula>
    </cfRule>
  </conditionalFormatting>
  <conditionalFormatting sqref="D20">
    <cfRule type="expression" dxfId="1224" priority="1070">
      <formula>$E20="MC"</formula>
    </cfRule>
  </conditionalFormatting>
  <conditionalFormatting sqref="D20">
    <cfRule type="expression" dxfId="1223" priority="1069">
      <formula>$E20="MC"</formula>
    </cfRule>
  </conditionalFormatting>
  <conditionalFormatting sqref="D20">
    <cfRule type="expression" dxfId="1222" priority="1068">
      <formula>$E20="MC"</formula>
    </cfRule>
  </conditionalFormatting>
  <conditionalFormatting sqref="D20">
    <cfRule type="expression" dxfId="1221" priority="1067">
      <formula>$E20="MC"</formula>
    </cfRule>
  </conditionalFormatting>
  <conditionalFormatting sqref="D20">
    <cfRule type="expression" dxfId="1220" priority="1066">
      <formula>$E20="MC"</formula>
    </cfRule>
  </conditionalFormatting>
  <conditionalFormatting sqref="D20">
    <cfRule type="expression" dxfId="1219" priority="1065">
      <formula>$E20="MC"</formula>
    </cfRule>
  </conditionalFormatting>
  <conditionalFormatting sqref="D20">
    <cfRule type="expression" dxfId="1218" priority="1064">
      <formula>$E20="MC"</formula>
    </cfRule>
  </conditionalFormatting>
  <conditionalFormatting sqref="D20">
    <cfRule type="expression" dxfId="1217" priority="1063">
      <formula>$E20="MC"</formula>
    </cfRule>
  </conditionalFormatting>
  <conditionalFormatting sqref="D20">
    <cfRule type="expression" dxfId="1216" priority="1062">
      <formula>$E20="MC"</formula>
    </cfRule>
  </conditionalFormatting>
  <conditionalFormatting sqref="D20">
    <cfRule type="expression" dxfId="1215" priority="1061">
      <formula>$E20="MC"</formula>
    </cfRule>
  </conditionalFormatting>
  <conditionalFormatting sqref="D20">
    <cfRule type="expression" dxfId="1214" priority="1060">
      <formula>$E20="MC"</formula>
    </cfRule>
  </conditionalFormatting>
  <conditionalFormatting sqref="D20">
    <cfRule type="expression" dxfId="1213" priority="1059">
      <formula>$E20="MC"</formula>
    </cfRule>
  </conditionalFormatting>
  <conditionalFormatting sqref="D20">
    <cfRule type="expression" dxfId="1212" priority="1058">
      <formula>$E20="MC"</formula>
    </cfRule>
  </conditionalFormatting>
  <conditionalFormatting sqref="D20">
    <cfRule type="expression" dxfId="1211" priority="1057">
      <formula>$E20="MC"</formula>
    </cfRule>
  </conditionalFormatting>
  <conditionalFormatting sqref="D20">
    <cfRule type="expression" dxfId="1210" priority="1056">
      <formula>$E20="MC"</formula>
    </cfRule>
  </conditionalFormatting>
  <conditionalFormatting sqref="D20">
    <cfRule type="expression" dxfId="1209" priority="1055">
      <formula>$E20="MC"</formula>
    </cfRule>
  </conditionalFormatting>
  <conditionalFormatting sqref="D20">
    <cfRule type="expression" dxfId="1208" priority="1054">
      <formula>$E20="MC"</formula>
    </cfRule>
  </conditionalFormatting>
  <conditionalFormatting sqref="D20">
    <cfRule type="expression" dxfId="1207" priority="1053">
      <formula>$E20="MC"</formula>
    </cfRule>
  </conditionalFormatting>
  <conditionalFormatting sqref="D20">
    <cfRule type="expression" dxfId="1206" priority="1052">
      <formula>$E20="MC"</formula>
    </cfRule>
  </conditionalFormatting>
  <conditionalFormatting sqref="D20">
    <cfRule type="expression" dxfId="1205" priority="1051">
      <formula>$E20="MC"</formula>
    </cfRule>
  </conditionalFormatting>
  <conditionalFormatting sqref="D20">
    <cfRule type="expression" dxfId="1204" priority="1050">
      <formula>$E20="MC"</formula>
    </cfRule>
  </conditionalFormatting>
  <conditionalFormatting sqref="D20">
    <cfRule type="expression" dxfId="1203" priority="1049">
      <formula>$E20="MC"</formula>
    </cfRule>
  </conditionalFormatting>
  <conditionalFormatting sqref="D20">
    <cfRule type="expression" dxfId="1202" priority="1048">
      <formula>$E20="MC"</formula>
    </cfRule>
  </conditionalFormatting>
  <conditionalFormatting sqref="D20">
    <cfRule type="expression" dxfId="1201" priority="1047">
      <formula>$E20="MC"</formula>
    </cfRule>
  </conditionalFormatting>
  <conditionalFormatting sqref="D20">
    <cfRule type="expression" dxfId="1200" priority="1046">
      <formula>$E20="MC"</formula>
    </cfRule>
  </conditionalFormatting>
  <conditionalFormatting sqref="D20">
    <cfRule type="expression" dxfId="1199" priority="1045">
      <formula>$E20="MC"</formula>
    </cfRule>
  </conditionalFormatting>
  <conditionalFormatting sqref="D20">
    <cfRule type="expression" dxfId="1198" priority="1044">
      <formula>$E20="MC"</formula>
    </cfRule>
  </conditionalFormatting>
  <conditionalFormatting sqref="D20">
    <cfRule type="expression" dxfId="1197" priority="1043">
      <formula>$E20="MC"</formula>
    </cfRule>
  </conditionalFormatting>
  <conditionalFormatting sqref="D20">
    <cfRule type="expression" dxfId="1196" priority="1042">
      <formula>$E20="MC"</formula>
    </cfRule>
  </conditionalFormatting>
  <conditionalFormatting sqref="D20">
    <cfRule type="expression" dxfId="1195" priority="1041">
      <formula>$E20="MC"</formula>
    </cfRule>
  </conditionalFormatting>
  <conditionalFormatting sqref="D20">
    <cfRule type="expression" dxfId="1194" priority="1040">
      <formula>$E20="MC"</formula>
    </cfRule>
  </conditionalFormatting>
  <conditionalFormatting sqref="D20">
    <cfRule type="expression" dxfId="1193" priority="1039">
      <formula>$E20="MC"</formula>
    </cfRule>
  </conditionalFormatting>
  <conditionalFormatting sqref="D20">
    <cfRule type="expression" dxfId="1192" priority="1038">
      <formula>$E20="MC"</formula>
    </cfRule>
  </conditionalFormatting>
  <conditionalFormatting sqref="D20">
    <cfRule type="expression" dxfId="1191" priority="1037">
      <formula>$E20="MC"</formula>
    </cfRule>
  </conditionalFormatting>
  <conditionalFormatting sqref="D20">
    <cfRule type="expression" dxfId="1190" priority="1036">
      <formula>$E20="MC"</formula>
    </cfRule>
  </conditionalFormatting>
  <conditionalFormatting sqref="D20">
    <cfRule type="expression" dxfId="1189" priority="1035">
      <formula>$E20="MC"</formula>
    </cfRule>
  </conditionalFormatting>
  <conditionalFormatting sqref="D20">
    <cfRule type="expression" dxfId="1188" priority="1034">
      <formula>$E20="MC"</formula>
    </cfRule>
  </conditionalFormatting>
  <conditionalFormatting sqref="D20">
    <cfRule type="expression" dxfId="1187" priority="1033">
      <formula>$E20="MC"</formula>
    </cfRule>
  </conditionalFormatting>
  <conditionalFormatting sqref="D20">
    <cfRule type="expression" dxfId="1186" priority="1032">
      <formula>$E20="MC"</formula>
    </cfRule>
  </conditionalFormatting>
  <conditionalFormatting sqref="D20">
    <cfRule type="expression" dxfId="1185" priority="1031">
      <formula>$E20="MC"</formula>
    </cfRule>
  </conditionalFormatting>
  <conditionalFormatting sqref="D20">
    <cfRule type="expression" dxfId="1184" priority="1030">
      <formula>$E20="MC"</formula>
    </cfRule>
  </conditionalFormatting>
  <conditionalFormatting sqref="D20">
    <cfRule type="expression" dxfId="1183" priority="1029">
      <formula>$E20="MC"</formula>
    </cfRule>
  </conditionalFormatting>
  <conditionalFormatting sqref="D20">
    <cfRule type="expression" dxfId="1182" priority="1028">
      <formula>$E20="MC"</formula>
    </cfRule>
  </conditionalFormatting>
  <conditionalFormatting sqref="D20">
    <cfRule type="expression" dxfId="1181" priority="1027">
      <formula>$E20="MC"</formula>
    </cfRule>
  </conditionalFormatting>
  <conditionalFormatting sqref="D20">
    <cfRule type="expression" dxfId="1180" priority="1026">
      <formula>$E20="MC"</formula>
    </cfRule>
  </conditionalFormatting>
  <conditionalFormatting sqref="D20">
    <cfRule type="expression" dxfId="1179" priority="1025">
      <formula>$E20="MC"</formula>
    </cfRule>
  </conditionalFormatting>
  <conditionalFormatting sqref="D20">
    <cfRule type="expression" dxfId="1178" priority="1024">
      <formula>$E20="MC"</formula>
    </cfRule>
  </conditionalFormatting>
  <conditionalFormatting sqref="D20">
    <cfRule type="expression" dxfId="1177" priority="1023">
      <formula>$E20="MC"</formula>
    </cfRule>
  </conditionalFormatting>
  <conditionalFormatting sqref="D20">
    <cfRule type="expression" dxfId="1176" priority="1022">
      <formula>$E20="MC"</formula>
    </cfRule>
  </conditionalFormatting>
  <conditionalFormatting sqref="D20">
    <cfRule type="expression" dxfId="1175" priority="1021">
      <formula>$E20="MC"</formula>
    </cfRule>
  </conditionalFormatting>
  <conditionalFormatting sqref="D20">
    <cfRule type="expression" dxfId="1174" priority="1020">
      <formula>$E20="MC"</formula>
    </cfRule>
  </conditionalFormatting>
  <conditionalFormatting sqref="D20">
    <cfRule type="expression" dxfId="1173" priority="1019">
      <formula>$E20="MC"</formula>
    </cfRule>
  </conditionalFormatting>
  <conditionalFormatting sqref="D20">
    <cfRule type="expression" dxfId="1172" priority="1018">
      <formula>$E20="MC"</formula>
    </cfRule>
  </conditionalFormatting>
  <conditionalFormatting sqref="D20">
    <cfRule type="expression" dxfId="1171" priority="1017">
      <formula>$E20="MC"</formula>
    </cfRule>
  </conditionalFormatting>
  <conditionalFormatting sqref="D20">
    <cfRule type="expression" dxfId="1170" priority="1016">
      <formula>$E20="MC"</formula>
    </cfRule>
  </conditionalFormatting>
  <conditionalFormatting sqref="D20">
    <cfRule type="expression" dxfId="1169" priority="1015">
      <formula>$E20="MC"</formula>
    </cfRule>
  </conditionalFormatting>
  <conditionalFormatting sqref="D20">
    <cfRule type="expression" dxfId="1168" priority="1014">
      <formula>$E20="MC"</formula>
    </cfRule>
  </conditionalFormatting>
  <conditionalFormatting sqref="D20">
    <cfRule type="expression" dxfId="1167" priority="1013">
      <formula>$E20="MC"</formula>
    </cfRule>
  </conditionalFormatting>
  <conditionalFormatting sqref="D20">
    <cfRule type="expression" dxfId="1166" priority="1012">
      <formula>$E20="MC"</formula>
    </cfRule>
  </conditionalFormatting>
  <conditionalFormatting sqref="D20">
    <cfRule type="expression" dxfId="1165" priority="1011">
      <formula>$E20="MC"</formula>
    </cfRule>
  </conditionalFormatting>
  <conditionalFormatting sqref="D20">
    <cfRule type="expression" dxfId="1164" priority="1010">
      <formula>$E20="MC"</formula>
    </cfRule>
  </conditionalFormatting>
  <conditionalFormatting sqref="D20">
    <cfRule type="expression" dxfId="1163" priority="1009">
      <formula>$E20="MC"</formula>
    </cfRule>
  </conditionalFormatting>
  <conditionalFormatting sqref="D20">
    <cfRule type="expression" dxfId="1162" priority="1008">
      <formula>$E20="MC"</formula>
    </cfRule>
  </conditionalFormatting>
  <conditionalFormatting sqref="D20">
    <cfRule type="expression" dxfId="1161" priority="1007">
      <formula>$E20="MC"</formula>
    </cfRule>
  </conditionalFormatting>
  <conditionalFormatting sqref="D20">
    <cfRule type="expression" dxfId="1160" priority="1006">
      <formula>$E20="MC"</formula>
    </cfRule>
  </conditionalFormatting>
  <conditionalFormatting sqref="D20">
    <cfRule type="expression" dxfId="1159" priority="1005">
      <formula>$E20="MC"</formula>
    </cfRule>
  </conditionalFormatting>
  <conditionalFormatting sqref="D20">
    <cfRule type="expression" dxfId="1158" priority="1004">
      <formula>$E20="MC"</formula>
    </cfRule>
  </conditionalFormatting>
  <conditionalFormatting sqref="D20">
    <cfRule type="expression" dxfId="1157" priority="1003">
      <formula>$E20="MC"</formula>
    </cfRule>
  </conditionalFormatting>
  <conditionalFormatting sqref="D20">
    <cfRule type="expression" dxfId="1156" priority="1002">
      <formula>$E20="MC"</formula>
    </cfRule>
  </conditionalFormatting>
  <conditionalFormatting sqref="D20">
    <cfRule type="expression" dxfId="1155" priority="1001">
      <formula>$E20="MC"</formula>
    </cfRule>
  </conditionalFormatting>
  <conditionalFormatting sqref="D20">
    <cfRule type="expression" dxfId="1154" priority="1000">
      <formula>$E20="MC"</formula>
    </cfRule>
  </conditionalFormatting>
  <conditionalFormatting sqref="D20">
    <cfRule type="expression" dxfId="1153" priority="999">
      <formula>$E20="MC"</formula>
    </cfRule>
  </conditionalFormatting>
  <conditionalFormatting sqref="D20">
    <cfRule type="expression" dxfId="1152" priority="998">
      <formula>$E20="MC"</formula>
    </cfRule>
  </conditionalFormatting>
  <conditionalFormatting sqref="D20">
    <cfRule type="expression" dxfId="1151" priority="997">
      <formula>$E20="MC"</formula>
    </cfRule>
  </conditionalFormatting>
  <conditionalFormatting sqref="D20">
    <cfRule type="expression" dxfId="1150" priority="996">
      <formula>$E20="MC"</formula>
    </cfRule>
  </conditionalFormatting>
  <conditionalFormatting sqref="D20">
    <cfRule type="expression" dxfId="1149" priority="995">
      <formula>$E20="MC"</formula>
    </cfRule>
  </conditionalFormatting>
  <conditionalFormatting sqref="D20">
    <cfRule type="expression" dxfId="1148" priority="994">
      <formula>$E20="MC"</formula>
    </cfRule>
  </conditionalFormatting>
  <conditionalFormatting sqref="D20">
    <cfRule type="expression" dxfId="1147" priority="993">
      <formula>$E20="MC"</formula>
    </cfRule>
  </conditionalFormatting>
  <conditionalFormatting sqref="D20">
    <cfRule type="expression" dxfId="1146" priority="992">
      <formula>$E20="MC"</formula>
    </cfRule>
  </conditionalFormatting>
  <conditionalFormatting sqref="D20">
    <cfRule type="expression" dxfId="1145" priority="991">
      <formula>$E20="MC"</formula>
    </cfRule>
  </conditionalFormatting>
  <conditionalFormatting sqref="D20">
    <cfRule type="expression" dxfId="1144" priority="990">
      <formula>$E20="MC"</formula>
    </cfRule>
  </conditionalFormatting>
  <conditionalFormatting sqref="D20">
    <cfRule type="expression" dxfId="1143" priority="989">
      <formula>$E20="MC"</formula>
    </cfRule>
  </conditionalFormatting>
  <conditionalFormatting sqref="D20">
    <cfRule type="expression" dxfId="1142" priority="988">
      <formula>$E20="MC"</formula>
    </cfRule>
  </conditionalFormatting>
  <conditionalFormatting sqref="D20">
    <cfRule type="expression" dxfId="1141" priority="987">
      <formula>$E20="MC"</formula>
    </cfRule>
  </conditionalFormatting>
  <conditionalFormatting sqref="D20">
    <cfRule type="expression" dxfId="1140" priority="986">
      <formula>$E20="MC"</formula>
    </cfRule>
  </conditionalFormatting>
  <conditionalFormatting sqref="D20">
    <cfRule type="expression" dxfId="1139" priority="985">
      <formula>$E20="MC"</formula>
    </cfRule>
  </conditionalFormatting>
  <conditionalFormatting sqref="D20">
    <cfRule type="expression" dxfId="1138" priority="984">
      <formula>$E20="MC"</formula>
    </cfRule>
  </conditionalFormatting>
  <conditionalFormatting sqref="D20">
    <cfRule type="expression" dxfId="1137" priority="983">
      <formula>$E20="MC"</formula>
    </cfRule>
  </conditionalFormatting>
  <conditionalFormatting sqref="D20">
    <cfRule type="expression" dxfId="1136" priority="982">
      <formula>$E20="MC"</formula>
    </cfRule>
  </conditionalFormatting>
  <conditionalFormatting sqref="D20">
    <cfRule type="expression" dxfId="1135" priority="981">
      <formula>$E20="MC"</formula>
    </cfRule>
  </conditionalFormatting>
  <conditionalFormatting sqref="D20">
    <cfRule type="expression" dxfId="1134" priority="980">
      <formula>$E20="MC"</formula>
    </cfRule>
  </conditionalFormatting>
  <conditionalFormatting sqref="D20">
    <cfRule type="expression" dxfId="1133" priority="979">
      <formula>$E20="MC"</formula>
    </cfRule>
  </conditionalFormatting>
  <conditionalFormatting sqref="D20">
    <cfRule type="expression" dxfId="1132" priority="978">
      <formula>$E20="MC"</formula>
    </cfRule>
  </conditionalFormatting>
  <conditionalFormatting sqref="D20">
    <cfRule type="expression" dxfId="1131" priority="977">
      <formula>$E20="MC"</formula>
    </cfRule>
  </conditionalFormatting>
  <conditionalFormatting sqref="D20">
    <cfRule type="expression" dxfId="1130" priority="976">
      <formula>$E20="MC"</formula>
    </cfRule>
  </conditionalFormatting>
  <conditionalFormatting sqref="D20">
    <cfRule type="expression" dxfId="1129" priority="975">
      <formula>$E20="MC"</formula>
    </cfRule>
  </conditionalFormatting>
  <conditionalFormatting sqref="D20">
    <cfRule type="expression" dxfId="1128" priority="974">
      <formula>$E20="MC"</formula>
    </cfRule>
  </conditionalFormatting>
  <conditionalFormatting sqref="D20">
    <cfRule type="expression" dxfId="1127" priority="973">
      <formula>$E20="MC"</formula>
    </cfRule>
  </conditionalFormatting>
  <conditionalFormatting sqref="D20">
    <cfRule type="expression" dxfId="1126" priority="972">
      <formula>$E20="MC"</formula>
    </cfRule>
  </conditionalFormatting>
  <conditionalFormatting sqref="D20">
    <cfRule type="expression" dxfId="1125" priority="971">
      <formula>$E20="MC"</formula>
    </cfRule>
  </conditionalFormatting>
  <conditionalFormatting sqref="D20">
    <cfRule type="expression" dxfId="1124" priority="970">
      <formula>$E20="MC"</formula>
    </cfRule>
  </conditionalFormatting>
  <conditionalFormatting sqref="D20">
    <cfRule type="expression" dxfId="1123" priority="969">
      <formula>$E20="MC"</formula>
    </cfRule>
  </conditionalFormatting>
  <conditionalFormatting sqref="D20">
    <cfRule type="expression" dxfId="1122" priority="968">
      <formula>$E20="MC"</formula>
    </cfRule>
  </conditionalFormatting>
  <conditionalFormatting sqref="D20">
    <cfRule type="expression" dxfId="1121" priority="967">
      <formula>$E20="MC"</formula>
    </cfRule>
  </conditionalFormatting>
  <conditionalFormatting sqref="D20">
    <cfRule type="expression" dxfId="1120" priority="966">
      <formula>$E20="MC"</formula>
    </cfRule>
  </conditionalFormatting>
  <conditionalFormatting sqref="D20">
    <cfRule type="expression" dxfId="1119" priority="965">
      <formula>$E20="MC"</formula>
    </cfRule>
  </conditionalFormatting>
  <conditionalFormatting sqref="D20">
    <cfRule type="expression" dxfId="1118" priority="964">
      <formula>$E20="MC"</formula>
    </cfRule>
  </conditionalFormatting>
  <conditionalFormatting sqref="D20">
    <cfRule type="expression" dxfId="1117" priority="963">
      <formula>$E20="MC"</formula>
    </cfRule>
  </conditionalFormatting>
  <conditionalFormatting sqref="D20">
    <cfRule type="expression" dxfId="1116" priority="962">
      <formula>$E20="MC"</formula>
    </cfRule>
  </conditionalFormatting>
  <conditionalFormatting sqref="D20">
    <cfRule type="expression" dxfId="1115" priority="961">
      <formula>$E20="MC"</formula>
    </cfRule>
  </conditionalFormatting>
  <conditionalFormatting sqref="D20">
    <cfRule type="expression" dxfId="1114" priority="960">
      <formula>$E20="MC"</formula>
    </cfRule>
  </conditionalFormatting>
  <conditionalFormatting sqref="D20">
    <cfRule type="expression" dxfId="1113" priority="959">
      <formula>$E20="MC"</formula>
    </cfRule>
  </conditionalFormatting>
  <conditionalFormatting sqref="D20">
    <cfRule type="expression" dxfId="1112" priority="958">
      <formula>$E20="MC"</formula>
    </cfRule>
  </conditionalFormatting>
  <conditionalFormatting sqref="D20">
    <cfRule type="expression" dxfId="1111" priority="957">
      <formula>$E20="MC"</formula>
    </cfRule>
  </conditionalFormatting>
  <conditionalFormatting sqref="D20">
    <cfRule type="expression" dxfId="1110" priority="956">
      <formula>$E20="MC"</formula>
    </cfRule>
  </conditionalFormatting>
  <conditionalFormatting sqref="D20">
    <cfRule type="expression" dxfId="1109" priority="955">
      <formula>$E20="MC"</formula>
    </cfRule>
  </conditionalFormatting>
  <conditionalFormatting sqref="D20">
    <cfRule type="expression" dxfId="1108" priority="954">
      <formula>$E20="MC"</formula>
    </cfRule>
  </conditionalFormatting>
  <conditionalFormatting sqref="D20">
    <cfRule type="expression" dxfId="1107" priority="953">
      <formula>$E20="MC"</formula>
    </cfRule>
  </conditionalFormatting>
  <conditionalFormatting sqref="D20">
    <cfRule type="expression" dxfId="1106" priority="952">
      <formula>$E20="MC"</formula>
    </cfRule>
  </conditionalFormatting>
  <conditionalFormatting sqref="D20">
    <cfRule type="expression" dxfId="1105" priority="951">
      <formula>$E20="MC"</formula>
    </cfRule>
  </conditionalFormatting>
  <conditionalFormatting sqref="D20">
    <cfRule type="expression" dxfId="1104" priority="950">
      <formula>$E20="MC"</formula>
    </cfRule>
  </conditionalFormatting>
  <conditionalFormatting sqref="D20">
    <cfRule type="expression" dxfId="1103" priority="949">
      <formula>$E20="MC"</formula>
    </cfRule>
  </conditionalFormatting>
  <conditionalFormatting sqref="C20:D20 F20">
    <cfRule type="expression" dxfId="1102" priority="948">
      <formula>$E20="MC"</formula>
    </cfRule>
  </conditionalFormatting>
  <conditionalFormatting sqref="C20:D20 F20">
    <cfRule type="expression" dxfId="1101" priority="947">
      <formula>$E20="MC"</formula>
    </cfRule>
  </conditionalFormatting>
  <conditionalFormatting sqref="G20">
    <cfRule type="expression" dxfId="1100" priority="946">
      <formula>$E20="MC"</formula>
    </cfRule>
  </conditionalFormatting>
  <conditionalFormatting sqref="C20:D20 F20:G20">
    <cfRule type="expression" dxfId="1099" priority="945">
      <formula>$E20="MC"</formula>
    </cfRule>
  </conditionalFormatting>
  <conditionalFormatting sqref="C20:D20 F20:G20">
    <cfRule type="expression" dxfId="1098" priority="944">
      <formula>$E20="MC"</formula>
    </cfRule>
  </conditionalFormatting>
  <conditionalFormatting sqref="C20:D20 F20:G20">
    <cfRule type="expression" dxfId="1097" priority="943">
      <formula>$E20="MC"</formula>
    </cfRule>
  </conditionalFormatting>
  <conditionalFormatting sqref="C20:D20 F20:G20">
    <cfRule type="expression" dxfId="1096" priority="942">
      <formula>$E20="MC"</formula>
    </cfRule>
  </conditionalFormatting>
  <conditionalFormatting sqref="C20 F20:G20">
    <cfRule type="expression" dxfId="1095" priority="941">
      <formula>$E20="MC"</formula>
    </cfRule>
  </conditionalFormatting>
  <conditionalFormatting sqref="C20 F20:G20">
    <cfRule type="expression" dxfId="1094" priority="940">
      <formula>$E20="MC"</formula>
    </cfRule>
  </conditionalFormatting>
  <conditionalFormatting sqref="C20 F20:G20">
    <cfRule type="expression" dxfId="1093" priority="939">
      <formula>$E20="MC"</formula>
    </cfRule>
  </conditionalFormatting>
  <conditionalFormatting sqref="C20 F20:G20">
    <cfRule type="expression" dxfId="1092" priority="938">
      <formula>$E20="MC"</formula>
    </cfRule>
  </conditionalFormatting>
  <conditionalFormatting sqref="C20 F20:G20">
    <cfRule type="expression" dxfId="1091" priority="937">
      <formula>$E20="MC"</formula>
    </cfRule>
  </conditionalFormatting>
  <conditionalFormatting sqref="C20 F20:G20">
    <cfRule type="expression" dxfId="1090" priority="936">
      <formula>$E20="MC"</formula>
    </cfRule>
  </conditionalFormatting>
  <conditionalFormatting sqref="D20">
    <cfRule type="expression" dxfId="1089" priority="935">
      <formula>$E20="MC"</formula>
    </cfRule>
  </conditionalFormatting>
  <conditionalFormatting sqref="D20">
    <cfRule type="expression" dxfId="1088" priority="934">
      <formula>$E20="MC"</formula>
    </cfRule>
  </conditionalFormatting>
  <conditionalFormatting sqref="D20">
    <cfRule type="expression" dxfId="1087" priority="933">
      <formula>$E20="MC"</formula>
    </cfRule>
  </conditionalFormatting>
  <conditionalFormatting sqref="D20">
    <cfRule type="expression" dxfId="1086" priority="932">
      <formula>$E20="MC"</formula>
    </cfRule>
  </conditionalFormatting>
  <conditionalFormatting sqref="D20">
    <cfRule type="expression" dxfId="1085" priority="931">
      <formula>$E20="MC"</formula>
    </cfRule>
  </conditionalFormatting>
  <conditionalFormatting sqref="D20">
    <cfRule type="expression" dxfId="1084" priority="930">
      <formula>$E20="MC"</formula>
    </cfRule>
  </conditionalFormatting>
  <conditionalFormatting sqref="C20 F20:G20">
    <cfRule type="expression" dxfId="1083" priority="929">
      <formula>$E20="MC"</formula>
    </cfRule>
  </conditionalFormatting>
  <conditionalFormatting sqref="C20 F20:G20">
    <cfRule type="expression" dxfId="1082" priority="928">
      <formula>$E20="MC"</formula>
    </cfRule>
  </conditionalFormatting>
  <conditionalFormatting sqref="C20 F20:G20">
    <cfRule type="expression" dxfId="1081" priority="927">
      <formula>$E20="MC"</formula>
    </cfRule>
  </conditionalFormatting>
  <conditionalFormatting sqref="C20 F20:G20">
    <cfRule type="expression" dxfId="1080" priority="926">
      <formula>$E20="MC"</formula>
    </cfRule>
  </conditionalFormatting>
  <conditionalFormatting sqref="C20 F20:G20">
    <cfRule type="expression" dxfId="1079" priority="925">
      <formula>$E20="MC"</formula>
    </cfRule>
  </conditionalFormatting>
  <conditionalFormatting sqref="C20 F20:G20">
    <cfRule type="expression" dxfId="1078" priority="924">
      <formula>$E20="MC"</formula>
    </cfRule>
  </conditionalFormatting>
  <conditionalFormatting sqref="D20">
    <cfRule type="expression" dxfId="1077" priority="923">
      <formula>$E20="MC"</formula>
    </cfRule>
  </conditionalFormatting>
  <conditionalFormatting sqref="D20">
    <cfRule type="expression" dxfId="1076" priority="922">
      <formula>$E20="MC"</formula>
    </cfRule>
  </conditionalFormatting>
  <conditionalFormatting sqref="D20">
    <cfRule type="expression" dxfId="1075" priority="921">
      <formula>$E20="MC"</formula>
    </cfRule>
  </conditionalFormatting>
  <conditionalFormatting sqref="D20">
    <cfRule type="expression" dxfId="1074" priority="920">
      <formula>$E20="MC"</formula>
    </cfRule>
  </conditionalFormatting>
  <conditionalFormatting sqref="D20">
    <cfRule type="expression" dxfId="1073" priority="919">
      <formula>$E20="MC"</formula>
    </cfRule>
  </conditionalFormatting>
  <conditionalFormatting sqref="D20">
    <cfRule type="expression" dxfId="1072" priority="918">
      <formula>$E20="MC"</formula>
    </cfRule>
  </conditionalFormatting>
  <conditionalFormatting sqref="C20:D20 F20:G20">
    <cfRule type="expression" dxfId="1071" priority="917">
      <formula>$E20="MC"</formula>
    </cfRule>
  </conditionalFormatting>
  <conditionalFormatting sqref="C20:D20 F20:G20">
    <cfRule type="expression" dxfId="1070" priority="916">
      <formula>$E20="MC"</formula>
    </cfRule>
  </conditionalFormatting>
  <conditionalFormatting sqref="C20:D20 F20:G20">
    <cfRule type="expression" dxfId="1069" priority="915">
      <formula>$E20="MC"</formula>
    </cfRule>
  </conditionalFormatting>
  <conditionalFormatting sqref="C20:D20 F20:G20">
    <cfRule type="expression" dxfId="1068" priority="914">
      <formula>$E20="MC"</formula>
    </cfRule>
  </conditionalFormatting>
  <conditionalFormatting sqref="C20:D20 F20:G20">
    <cfRule type="expression" dxfId="1067" priority="913">
      <formula>$E20="MC"</formula>
    </cfRule>
  </conditionalFormatting>
  <conditionalFormatting sqref="C20 F20:G20">
    <cfRule type="expression" dxfId="1066" priority="912">
      <formula>$E20="MC"</formula>
    </cfRule>
  </conditionalFormatting>
  <conditionalFormatting sqref="C20 F20:G20">
    <cfRule type="expression" dxfId="1065" priority="911">
      <formula>$E20="MC"</formula>
    </cfRule>
  </conditionalFormatting>
  <conditionalFormatting sqref="C20 F20:G20">
    <cfRule type="expression" dxfId="1064" priority="910">
      <formula>$E20="MC"</formula>
    </cfRule>
  </conditionalFormatting>
  <conditionalFormatting sqref="C20 F20:G20">
    <cfRule type="expression" dxfId="1063" priority="909">
      <formula>$E20="MC"</formula>
    </cfRule>
  </conditionalFormatting>
  <conditionalFormatting sqref="C20 F20:G20">
    <cfRule type="expression" dxfId="1062" priority="908">
      <formula>$E20="MC"</formula>
    </cfRule>
  </conditionalFormatting>
  <conditionalFormatting sqref="C20 F20:G20">
    <cfRule type="expression" dxfId="1061" priority="907">
      <formula>$E20="MC"</formula>
    </cfRule>
  </conditionalFormatting>
  <conditionalFormatting sqref="D20">
    <cfRule type="expression" dxfId="1060" priority="906">
      <formula>$E20="MC"</formula>
    </cfRule>
  </conditionalFormatting>
  <conditionalFormatting sqref="D20">
    <cfRule type="expression" dxfId="1059" priority="905">
      <formula>$E20="MC"</formula>
    </cfRule>
  </conditionalFormatting>
  <conditionalFormatting sqref="D20">
    <cfRule type="expression" dxfId="1058" priority="904">
      <formula>$E20="MC"</formula>
    </cfRule>
  </conditionalFormatting>
  <conditionalFormatting sqref="D20">
    <cfRule type="expression" dxfId="1057" priority="903">
      <formula>$E20="MC"</formula>
    </cfRule>
  </conditionalFormatting>
  <conditionalFormatting sqref="D20">
    <cfRule type="expression" dxfId="1056" priority="902">
      <formula>$E20="MC"</formula>
    </cfRule>
  </conditionalFormatting>
  <conditionalFormatting sqref="D20">
    <cfRule type="expression" dxfId="1055" priority="901">
      <formula>$E20="MC"</formula>
    </cfRule>
  </conditionalFormatting>
  <conditionalFormatting sqref="C20:D20 F20:G20">
    <cfRule type="expression" dxfId="1054" priority="900">
      <formula>$E20="MC"</formula>
    </cfRule>
  </conditionalFormatting>
  <conditionalFormatting sqref="C20:D20 F20:G20">
    <cfRule type="expression" dxfId="1053" priority="899">
      <formula>$E20="MC"</formula>
    </cfRule>
  </conditionalFormatting>
  <conditionalFormatting sqref="C20:D20 F20:G20">
    <cfRule type="expression" dxfId="1052" priority="898">
      <formula>$E20="MC"</formula>
    </cfRule>
  </conditionalFormatting>
  <conditionalFormatting sqref="C20:D20 F20:G20">
    <cfRule type="expression" dxfId="1051" priority="897">
      <formula>$E20="MC"</formula>
    </cfRule>
  </conditionalFormatting>
  <conditionalFormatting sqref="C20:D20 F20:G20">
    <cfRule type="expression" dxfId="1050" priority="896">
      <formula>$E20="MC"</formula>
    </cfRule>
  </conditionalFormatting>
  <conditionalFormatting sqref="C20:D20 F20:G20">
    <cfRule type="expression" dxfId="1049" priority="895">
      <formula>$E20="MC"</formula>
    </cfRule>
  </conditionalFormatting>
  <conditionalFormatting sqref="C20:D20 F20:G20">
    <cfRule type="expression" dxfId="1048" priority="894">
      <formula>$E20="MC"</formula>
    </cfRule>
  </conditionalFormatting>
  <conditionalFormatting sqref="C20:D20 F20:G20">
    <cfRule type="expression" dxfId="1047" priority="893">
      <formula>$E20="MC"</formula>
    </cfRule>
  </conditionalFormatting>
  <conditionalFormatting sqref="C20:D20 F20:G20">
    <cfRule type="expression" dxfId="1046" priority="892">
      <formula>$E20="MC"</formula>
    </cfRule>
  </conditionalFormatting>
  <conditionalFormatting sqref="C20:D20 F20:G20">
    <cfRule type="expression" dxfId="1045" priority="891">
      <formula>$E20="MC"</formula>
    </cfRule>
  </conditionalFormatting>
  <conditionalFormatting sqref="D20">
    <cfRule type="expression" dxfId="1044" priority="890">
      <formula>$E20="MC"</formula>
    </cfRule>
  </conditionalFormatting>
  <conditionalFormatting sqref="C20 F20:G20">
    <cfRule type="expression" dxfId="1043" priority="889">
      <formula>$E20="MC"</formula>
    </cfRule>
  </conditionalFormatting>
  <conditionalFormatting sqref="C20 F20:G20">
    <cfRule type="expression" dxfId="1042" priority="888">
      <formula>$E20="MC"</formula>
    </cfRule>
  </conditionalFormatting>
  <conditionalFormatting sqref="C20 F20:G20">
    <cfRule type="expression" dxfId="1041" priority="887">
      <formula>$E20="MC"</formula>
    </cfRule>
  </conditionalFormatting>
  <conditionalFormatting sqref="C20 F20:G20">
    <cfRule type="expression" dxfId="1040" priority="886">
      <formula>$E20="MC"</formula>
    </cfRule>
  </conditionalFormatting>
  <conditionalFormatting sqref="C20 F20:G20">
    <cfRule type="expression" dxfId="1039" priority="885">
      <formula>$E20="MC"</formula>
    </cfRule>
  </conditionalFormatting>
  <conditionalFormatting sqref="C20 F20:G20">
    <cfRule type="expression" dxfId="1038" priority="884">
      <formula>$E20="MC"</formula>
    </cfRule>
  </conditionalFormatting>
  <conditionalFormatting sqref="D20">
    <cfRule type="expression" dxfId="1037" priority="883">
      <formula>$E20="MC"</formula>
    </cfRule>
  </conditionalFormatting>
  <conditionalFormatting sqref="D20">
    <cfRule type="expression" dxfId="1036" priority="882">
      <formula>$E20="MC"</formula>
    </cfRule>
  </conditionalFormatting>
  <conditionalFormatting sqref="D20">
    <cfRule type="expression" dxfId="1035" priority="881">
      <formula>$E20="MC"</formula>
    </cfRule>
  </conditionalFormatting>
  <conditionalFormatting sqref="D20">
    <cfRule type="expression" dxfId="1034" priority="880">
      <formula>$E20="MC"</formula>
    </cfRule>
  </conditionalFormatting>
  <conditionalFormatting sqref="D20">
    <cfRule type="expression" dxfId="1033" priority="879">
      <formula>$E20="MC"</formula>
    </cfRule>
  </conditionalFormatting>
  <conditionalFormatting sqref="D20">
    <cfRule type="expression" dxfId="1032" priority="878">
      <formula>$E20="MC"</formula>
    </cfRule>
  </conditionalFormatting>
  <conditionalFormatting sqref="C20:D20 F20:G20">
    <cfRule type="expression" dxfId="1031" priority="877">
      <formula>$E20="MC"</formula>
    </cfRule>
  </conditionalFormatting>
  <conditionalFormatting sqref="C20:D20 F20:G20">
    <cfRule type="expression" dxfId="1030" priority="876">
      <formula>$E20="MC"</formula>
    </cfRule>
  </conditionalFormatting>
  <conditionalFormatting sqref="C20:D20 F20:G20">
    <cfRule type="expression" dxfId="1029" priority="875">
      <formula>$E20="MC"</formula>
    </cfRule>
  </conditionalFormatting>
  <conditionalFormatting sqref="C20:D20 F20:G20">
    <cfRule type="expression" dxfId="1028" priority="874">
      <formula>$E20="MC"</formula>
    </cfRule>
  </conditionalFormatting>
  <conditionalFormatting sqref="C20:D20 F20:G20">
    <cfRule type="expression" dxfId="1027" priority="873">
      <formula>$E20="MC"</formula>
    </cfRule>
  </conditionalFormatting>
  <conditionalFormatting sqref="C20:D20 F20:G20">
    <cfRule type="expression" dxfId="1026" priority="872">
      <formula>$E20="MC"</formula>
    </cfRule>
  </conditionalFormatting>
  <conditionalFormatting sqref="C20:D20 F20:G20">
    <cfRule type="expression" dxfId="1025" priority="871">
      <formula>$E20="MC"</formula>
    </cfRule>
  </conditionalFormatting>
  <conditionalFormatting sqref="C20:D20 F20:G20">
    <cfRule type="expression" dxfId="1024" priority="870">
      <formula>$E20="MC"</formula>
    </cfRule>
  </conditionalFormatting>
  <conditionalFormatting sqref="C20:D20 F20:G20">
    <cfRule type="expression" dxfId="1023" priority="869">
      <formula>$E20="MC"</formula>
    </cfRule>
  </conditionalFormatting>
  <conditionalFormatting sqref="C20:D20 F20:G20">
    <cfRule type="expression" dxfId="1022" priority="868">
      <formula>$E20="MC"</formula>
    </cfRule>
  </conditionalFormatting>
  <conditionalFormatting sqref="D20">
    <cfRule type="expression" dxfId="1021" priority="867">
      <formula>$E20="MC"</formula>
    </cfRule>
  </conditionalFormatting>
  <conditionalFormatting sqref="C20:D20 F20:G20">
    <cfRule type="expression" dxfId="1020" priority="866">
      <formula>$E20="MC"</formula>
    </cfRule>
  </conditionalFormatting>
  <conditionalFormatting sqref="C20:D20 F20:G20">
    <cfRule type="expression" dxfId="1019" priority="865">
      <formula>$E20="MC"</formula>
    </cfRule>
  </conditionalFormatting>
  <conditionalFormatting sqref="C20:D20 F20:G20">
    <cfRule type="expression" dxfId="1018" priority="864">
      <formula>$E20="MC"</formula>
    </cfRule>
  </conditionalFormatting>
  <conditionalFormatting sqref="C20:D20 F20:G20">
    <cfRule type="expression" dxfId="1017" priority="863">
      <formula>$E20="MC"</formula>
    </cfRule>
  </conditionalFormatting>
  <conditionalFormatting sqref="C20:D20 F20:G20">
    <cfRule type="expression" dxfId="1016" priority="862">
      <formula>$E20="MC"</formula>
    </cfRule>
  </conditionalFormatting>
  <conditionalFormatting sqref="D20">
    <cfRule type="expression" dxfId="1015" priority="861">
      <formula>$E20="MC"</formula>
    </cfRule>
  </conditionalFormatting>
  <conditionalFormatting sqref="D20">
    <cfRule type="expression" dxfId="1014" priority="860">
      <formula>$E20="MC"</formula>
    </cfRule>
  </conditionalFormatting>
  <conditionalFormatting sqref="C20:D20 F20:G20">
    <cfRule type="expression" dxfId="1013" priority="859">
      <formula>$E20="MC"</formula>
    </cfRule>
  </conditionalFormatting>
  <conditionalFormatting sqref="C20:D20 F20:G20">
    <cfRule type="expression" dxfId="1012" priority="858">
      <formula>$E20="MC"</formula>
    </cfRule>
  </conditionalFormatting>
  <conditionalFormatting sqref="C20:D20 F20:G20">
    <cfRule type="expression" dxfId="1011" priority="857">
      <formula>$E20="MC"</formula>
    </cfRule>
  </conditionalFormatting>
  <conditionalFormatting sqref="C20:D20 F20:G20">
    <cfRule type="expression" dxfId="1010" priority="856">
      <formula>$E20="MC"</formula>
    </cfRule>
  </conditionalFormatting>
  <conditionalFormatting sqref="C20:D20 F20:G20">
    <cfRule type="expression" dxfId="1009" priority="855">
      <formula>$E20="MC"</formula>
    </cfRule>
  </conditionalFormatting>
  <conditionalFormatting sqref="D20">
    <cfRule type="expression" dxfId="1008" priority="854">
      <formula>$E20="MC"</formula>
    </cfRule>
  </conditionalFormatting>
  <conditionalFormatting sqref="D20">
    <cfRule type="expression" dxfId="1007" priority="853">
      <formula>$E20="MC"</formula>
    </cfRule>
  </conditionalFormatting>
  <conditionalFormatting sqref="D20">
    <cfRule type="expression" dxfId="1006" priority="852">
      <formula>$E20="MC"</formula>
    </cfRule>
  </conditionalFormatting>
  <conditionalFormatting sqref="D20">
    <cfRule type="expression" dxfId="1005" priority="851">
      <formula>$E20="MC"</formula>
    </cfRule>
  </conditionalFormatting>
  <conditionalFormatting sqref="D18">
    <cfRule type="expression" dxfId="1004" priority="742">
      <formula>$E18="MC"</formula>
    </cfRule>
  </conditionalFormatting>
  <conditionalFormatting sqref="B18:D18 F18:H18">
    <cfRule type="expression" dxfId="1003" priority="850">
      <formula>$E18="MC"</formula>
    </cfRule>
  </conditionalFormatting>
  <conditionalFormatting sqref="B18:D18 F18:H18">
    <cfRule type="expression" dxfId="1002" priority="849">
      <formula>$E18="MC"</formula>
    </cfRule>
  </conditionalFormatting>
  <conditionalFormatting sqref="B18:D18 F18:H18">
    <cfRule type="expression" dxfId="1001" priority="848">
      <formula>$E18="MC"</formula>
    </cfRule>
  </conditionalFormatting>
  <conditionalFormatting sqref="B18:D18 F18:H18">
    <cfRule type="expression" dxfId="1000" priority="847">
      <formula>$E18="MC"</formula>
    </cfRule>
  </conditionalFormatting>
  <conditionalFormatting sqref="B18:D18 F18:H18">
    <cfRule type="expression" dxfId="999" priority="846">
      <formula>$E18="MC"</formula>
    </cfRule>
  </conditionalFormatting>
  <conditionalFormatting sqref="B18:D18 F18:H18">
    <cfRule type="expression" dxfId="998" priority="845">
      <formula>$E18="MC"</formula>
    </cfRule>
  </conditionalFormatting>
  <conditionalFormatting sqref="B18:D18 F18:H18">
    <cfRule type="expression" dxfId="997" priority="844">
      <formula>$E18="MC"</formula>
    </cfRule>
  </conditionalFormatting>
  <conditionalFormatting sqref="B18:D18 F18:H18">
    <cfRule type="expression" dxfId="996" priority="843">
      <formula>$E18="MC"</formula>
    </cfRule>
  </conditionalFormatting>
  <conditionalFormatting sqref="B18:D18 F18:H18">
    <cfRule type="expression" dxfId="995" priority="842">
      <formula>$E18="MC"</formula>
    </cfRule>
  </conditionalFormatting>
  <conditionalFormatting sqref="B18 D18 F18:H18">
    <cfRule type="expression" dxfId="994" priority="841">
      <formula>$E18="MC"</formula>
    </cfRule>
  </conditionalFormatting>
  <conditionalFormatting sqref="C18">
    <cfRule type="expression" dxfId="993" priority="840">
      <formula>$E18="MC"</formula>
    </cfRule>
  </conditionalFormatting>
  <conditionalFormatting sqref="B18:D18 F18:H18">
    <cfRule type="expression" dxfId="992" priority="839">
      <formula>$E18="MC"</formula>
    </cfRule>
  </conditionalFormatting>
  <conditionalFormatting sqref="B18:D18 F18:H18">
    <cfRule type="expression" dxfId="991" priority="838">
      <formula>$E18="MC"</formula>
    </cfRule>
  </conditionalFormatting>
  <conditionalFormatting sqref="B18:D18 F18:H18">
    <cfRule type="expression" dxfId="990" priority="837">
      <formula>$E18="MC"</formula>
    </cfRule>
  </conditionalFormatting>
  <conditionalFormatting sqref="B18:D18 F18:H18">
    <cfRule type="expression" dxfId="989" priority="834">
      <formula>$E18="MC"</formula>
    </cfRule>
  </conditionalFormatting>
  <conditionalFormatting sqref="B18:D18 F18:H18">
    <cfRule type="expression" dxfId="988" priority="833">
      <formula>$E18="MC"</formula>
    </cfRule>
  </conditionalFormatting>
  <conditionalFormatting sqref="B18:D18 F18:H18">
    <cfRule type="expression" dxfId="987" priority="832">
      <formula>$E18="MC"</formula>
    </cfRule>
  </conditionalFormatting>
  <conditionalFormatting sqref="B18:D18 F18:H18">
    <cfRule type="expression" dxfId="986" priority="836">
      <formula>$E18="MC"</formula>
    </cfRule>
  </conditionalFormatting>
  <conditionalFormatting sqref="B18:D18 F18:H18">
    <cfRule type="expression" dxfId="985" priority="835">
      <formula>$E18="MC"</formula>
    </cfRule>
  </conditionalFormatting>
  <conditionalFormatting sqref="B18:D18 F18:H18">
    <cfRule type="expression" dxfId="984" priority="831">
      <formula>$E18="MC"</formula>
    </cfRule>
  </conditionalFormatting>
  <conditionalFormatting sqref="B18:D18 F18:H18">
    <cfRule type="expression" dxfId="983" priority="828">
      <formula>$E18="MC"</formula>
    </cfRule>
  </conditionalFormatting>
  <conditionalFormatting sqref="B18:D18 F18:H18">
    <cfRule type="expression" dxfId="982" priority="827">
      <formula>$E18="MC"</formula>
    </cfRule>
  </conditionalFormatting>
  <conditionalFormatting sqref="B18:D18 F18:H18">
    <cfRule type="expression" dxfId="981" priority="826">
      <formula>$E18="MC"</formula>
    </cfRule>
  </conditionalFormatting>
  <conditionalFormatting sqref="B18:D18 F18:H18">
    <cfRule type="expression" dxfId="980" priority="830">
      <formula>$E18="MC"</formula>
    </cfRule>
  </conditionalFormatting>
  <conditionalFormatting sqref="B18:D18 F18:H18">
    <cfRule type="expression" dxfId="979" priority="829">
      <formula>$E18="MC"</formula>
    </cfRule>
  </conditionalFormatting>
  <conditionalFormatting sqref="B18 D18 F18:H18">
    <cfRule type="expression" dxfId="978" priority="825">
      <formula>$E18="MC"</formula>
    </cfRule>
  </conditionalFormatting>
  <conditionalFormatting sqref="B18:C18 F18:H18">
    <cfRule type="expression" dxfId="977" priority="824">
      <formula>$E18="MC"</formula>
    </cfRule>
  </conditionalFormatting>
  <conditionalFormatting sqref="C18">
    <cfRule type="expression" dxfId="976" priority="823">
      <formula>$E18="MC"</formula>
    </cfRule>
  </conditionalFormatting>
  <conditionalFormatting sqref="B18:C18 F18:H18">
    <cfRule type="expression" dxfId="975" priority="822">
      <formula>$E18="MC"</formula>
    </cfRule>
  </conditionalFormatting>
  <conditionalFormatting sqref="B18:D18 F18:H18">
    <cfRule type="expression" dxfId="974" priority="821">
      <formula>$E18="MC"</formula>
    </cfRule>
  </conditionalFormatting>
  <conditionalFormatting sqref="B18:D18 F18:H18">
    <cfRule type="expression" dxfId="973" priority="820">
      <formula>$E18="MC"</formula>
    </cfRule>
  </conditionalFormatting>
  <conditionalFormatting sqref="B18:D18 F18:H18">
    <cfRule type="expression" dxfId="972" priority="819">
      <formula>$E18="MC"</formula>
    </cfRule>
  </conditionalFormatting>
  <conditionalFormatting sqref="B18:D18 H18 F18">
    <cfRule type="expression" dxfId="971" priority="818">
      <formula>$E18="MC"</formula>
    </cfRule>
  </conditionalFormatting>
  <conditionalFormatting sqref="B18:D18 H18 F18">
    <cfRule type="expression" dxfId="970" priority="817">
      <formula>$E18="MC"</formula>
    </cfRule>
  </conditionalFormatting>
  <conditionalFormatting sqref="G18">
    <cfRule type="expression" dxfId="969" priority="816">
      <formula>$E18="MC"</formula>
    </cfRule>
  </conditionalFormatting>
  <conditionalFormatting sqref="B18:D18 F18:H18">
    <cfRule type="expression" dxfId="968" priority="815">
      <formula>$E18="MC"</formula>
    </cfRule>
  </conditionalFormatting>
  <conditionalFormatting sqref="B18:D18 F18:H18">
    <cfRule type="expression" dxfId="967" priority="814">
      <formula>$E18="MC"</formula>
    </cfRule>
  </conditionalFormatting>
  <conditionalFormatting sqref="B18:D18 F18:H18">
    <cfRule type="expression" dxfId="966" priority="813">
      <formula>$E18="MC"</formula>
    </cfRule>
  </conditionalFormatting>
  <conditionalFormatting sqref="B18:D18 F18:H18">
    <cfRule type="expression" dxfId="965" priority="812">
      <formula>$E18="MC"</formula>
    </cfRule>
  </conditionalFormatting>
  <conditionalFormatting sqref="B18:D18 F18:H18">
    <cfRule type="expression" dxfId="964" priority="811">
      <formula>$E18="MC"</formula>
    </cfRule>
  </conditionalFormatting>
  <conditionalFormatting sqref="B18:D18 F18:H18">
    <cfRule type="expression" dxfId="963" priority="810">
      <formula>$E18="MC"</formula>
    </cfRule>
  </conditionalFormatting>
  <conditionalFormatting sqref="B18:D18 F18:H18">
    <cfRule type="expression" dxfId="962" priority="809">
      <formula>$E18="MC"</formula>
    </cfRule>
  </conditionalFormatting>
  <conditionalFormatting sqref="B18:D18 F18:H18">
    <cfRule type="expression" dxfId="961" priority="808">
      <formula>$E18="MC"</formula>
    </cfRule>
  </conditionalFormatting>
  <conditionalFormatting sqref="B18:D18 F18:H18">
    <cfRule type="expression" dxfId="960" priority="807">
      <formula>$E18="MC"</formula>
    </cfRule>
  </conditionalFormatting>
  <conditionalFormatting sqref="B18:D18 F18:H18">
    <cfRule type="expression" dxfId="959" priority="806">
      <formula>$E18="MC"</formula>
    </cfRule>
  </conditionalFormatting>
  <conditionalFormatting sqref="B18:D18 F18:H18">
    <cfRule type="expression" dxfId="958" priority="805">
      <formula>$E18="MC"</formula>
    </cfRule>
  </conditionalFormatting>
  <conditionalFormatting sqref="B18:D18 F18:H18">
    <cfRule type="expression" dxfId="957" priority="804">
      <formula>$E18="MC"</formula>
    </cfRule>
  </conditionalFormatting>
  <conditionalFormatting sqref="B18:D18 H18 F18">
    <cfRule type="expression" dxfId="956" priority="803">
      <formula>$E18="MC"</formula>
    </cfRule>
  </conditionalFormatting>
  <conditionalFormatting sqref="B18:D18 H18 F18">
    <cfRule type="expression" dxfId="955" priority="802">
      <formula>$E18="MC"</formula>
    </cfRule>
  </conditionalFormatting>
  <conditionalFormatting sqref="G18">
    <cfRule type="expression" dxfId="954" priority="801">
      <formula>$E18="MC"</formula>
    </cfRule>
  </conditionalFormatting>
  <conditionalFormatting sqref="B18:D18 F18:H18">
    <cfRule type="expression" dxfId="953" priority="800">
      <formula>$E18="MC"</formula>
    </cfRule>
  </conditionalFormatting>
  <conditionalFormatting sqref="B18:D18 F18:H18">
    <cfRule type="expression" dxfId="952" priority="799">
      <formula>$E18="MC"</formula>
    </cfRule>
  </conditionalFormatting>
  <conditionalFormatting sqref="B18:D18 F18:H18">
    <cfRule type="expression" dxfId="951" priority="798">
      <formula>$E18="MC"</formula>
    </cfRule>
  </conditionalFormatting>
  <conditionalFormatting sqref="B18:D18 F18:H18">
    <cfRule type="expression" dxfId="950" priority="797">
      <formula>$E18="MC"</formula>
    </cfRule>
  </conditionalFormatting>
  <conditionalFormatting sqref="B18:C18 F18:H18">
    <cfRule type="expression" dxfId="949" priority="796">
      <formula>$E18="MC"</formula>
    </cfRule>
  </conditionalFormatting>
  <conditionalFormatting sqref="B18:C18 F18:H18">
    <cfRule type="expression" dxfId="948" priority="795">
      <formula>$E18="MC"</formula>
    </cfRule>
  </conditionalFormatting>
  <conditionalFormatting sqref="B18:C18 F18:H18">
    <cfRule type="expression" dxfId="947" priority="794">
      <formula>$E18="MC"</formula>
    </cfRule>
  </conditionalFormatting>
  <conditionalFormatting sqref="B18:C18 F18:H18">
    <cfRule type="expression" dxfId="946" priority="793">
      <formula>$E18="MC"</formula>
    </cfRule>
  </conditionalFormatting>
  <conditionalFormatting sqref="B18:C18 F18:H18">
    <cfRule type="expression" dxfId="945" priority="792">
      <formula>$E18="MC"</formula>
    </cfRule>
  </conditionalFormatting>
  <conditionalFormatting sqref="B18:C18 F18:H18">
    <cfRule type="expression" dxfId="944" priority="791">
      <formula>$E18="MC"</formula>
    </cfRule>
  </conditionalFormatting>
  <conditionalFormatting sqref="D18">
    <cfRule type="expression" dxfId="943" priority="790">
      <formula>$E18="MC"</formula>
    </cfRule>
  </conditionalFormatting>
  <conditionalFormatting sqref="D18">
    <cfRule type="expression" dxfId="942" priority="789">
      <formula>$E18="MC"</formula>
    </cfRule>
  </conditionalFormatting>
  <conditionalFormatting sqref="D18">
    <cfRule type="expression" dxfId="941" priority="788">
      <formula>$E18="MC"</formula>
    </cfRule>
  </conditionalFormatting>
  <conditionalFormatting sqref="D18">
    <cfRule type="expression" dxfId="940" priority="787">
      <formula>$E18="MC"</formula>
    </cfRule>
  </conditionalFormatting>
  <conditionalFormatting sqref="D18">
    <cfRule type="expression" dxfId="939" priority="786">
      <formula>$E18="MC"</formula>
    </cfRule>
  </conditionalFormatting>
  <conditionalFormatting sqref="D18">
    <cfRule type="expression" dxfId="938" priority="785">
      <formula>$E18="MC"</formula>
    </cfRule>
  </conditionalFormatting>
  <conditionalFormatting sqref="B18:D18 F18:H18">
    <cfRule type="expression" dxfId="937" priority="784">
      <formula>$E18="MC"</formula>
    </cfRule>
  </conditionalFormatting>
  <conditionalFormatting sqref="B18:D18 F18:H18">
    <cfRule type="expression" dxfId="936" priority="783">
      <formula>$E18="MC"</formula>
    </cfRule>
  </conditionalFormatting>
  <conditionalFormatting sqref="B18:D18 F18:H18">
    <cfRule type="expression" dxfId="935" priority="782">
      <formula>$E18="MC"</formula>
    </cfRule>
  </conditionalFormatting>
  <conditionalFormatting sqref="B18:D18 F18:H18">
    <cfRule type="expression" dxfId="934" priority="781">
      <formula>$E18="MC"</formula>
    </cfRule>
  </conditionalFormatting>
  <conditionalFormatting sqref="B18:D18 F18:H18">
    <cfRule type="expression" dxfId="933" priority="780">
      <formula>$E18="MC"</formula>
    </cfRule>
  </conditionalFormatting>
  <conditionalFormatting sqref="B18:D18 F18:H18">
    <cfRule type="expression" dxfId="932" priority="779">
      <formula>$E18="MC"</formula>
    </cfRule>
  </conditionalFormatting>
  <conditionalFormatting sqref="B18:D18 H18 F18">
    <cfRule type="expression" dxfId="931" priority="778">
      <formula>$E18="MC"</formula>
    </cfRule>
  </conditionalFormatting>
  <conditionalFormatting sqref="B18:D18 H18 F18">
    <cfRule type="expression" dxfId="930" priority="777">
      <formula>$E18="MC"</formula>
    </cfRule>
  </conditionalFormatting>
  <conditionalFormatting sqref="G18">
    <cfRule type="expression" dxfId="929" priority="776">
      <formula>$E18="MC"</formula>
    </cfRule>
  </conditionalFormatting>
  <conditionalFormatting sqref="B18:D18 F18:H18">
    <cfRule type="expression" dxfId="928" priority="775">
      <formula>$E18="MC"</formula>
    </cfRule>
  </conditionalFormatting>
  <conditionalFormatting sqref="B18:D18 F18:H18">
    <cfRule type="expression" dxfId="927" priority="774">
      <formula>$E18="MC"</formula>
    </cfRule>
  </conditionalFormatting>
  <conditionalFormatting sqref="B18:D18 F18:H18">
    <cfRule type="expression" dxfId="926" priority="773">
      <formula>$E18="MC"</formula>
    </cfRule>
  </conditionalFormatting>
  <conditionalFormatting sqref="B18:D18 F18:H18">
    <cfRule type="expression" dxfId="925" priority="772">
      <formula>$E18="MC"</formula>
    </cfRule>
  </conditionalFormatting>
  <conditionalFormatting sqref="B18:C18 F18:H18">
    <cfRule type="expression" dxfId="924" priority="771">
      <formula>$E18="MC"</formula>
    </cfRule>
  </conditionalFormatting>
  <conditionalFormatting sqref="B18:C18 F18:H18">
    <cfRule type="expression" dxfId="923" priority="770">
      <formula>$E18="MC"</formula>
    </cfRule>
  </conditionalFormatting>
  <conditionalFormatting sqref="B18:C18 F18:H18">
    <cfRule type="expression" dxfId="922" priority="769">
      <formula>$E18="MC"</formula>
    </cfRule>
  </conditionalFormatting>
  <conditionalFormatting sqref="B18:C18 F18:H18">
    <cfRule type="expression" dxfId="921" priority="768">
      <formula>$E18="MC"</formula>
    </cfRule>
  </conditionalFormatting>
  <conditionalFormatting sqref="B18:C18 F18:H18">
    <cfRule type="expression" dxfId="920" priority="767">
      <formula>$E18="MC"</formula>
    </cfRule>
  </conditionalFormatting>
  <conditionalFormatting sqref="B18:C18 F18:H18">
    <cfRule type="expression" dxfId="919" priority="766">
      <formula>$E18="MC"</formula>
    </cfRule>
  </conditionalFormatting>
  <conditionalFormatting sqref="D18">
    <cfRule type="expression" dxfId="918" priority="765">
      <formula>$E18="MC"</formula>
    </cfRule>
  </conditionalFormatting>
  <conditionalFormatting sqref="D18">
    <cfRule type="expression" dxfId="917" priority="764">
      <formula>$E18="MC"</formula>
    </cfRule>
  </conditionalFormatting>
  <conditionalFormatting sqref="D18">
    <cfRule type="expression" dxfId="916" priority="763">
      <formula>$E18="MC"</formula>
    </cfRule>
  </conditionalFormatting>
  <conditionalFormatting sqref="D18">
    <cfRule type="expression" dxfId="915" priority="762">
      <formula>$E18="MC"</formula>
    </cfRule>
  </conditionalFormatting>
  <conditionalFormatting sqref="D18">
    <cfRule type="expression" dxfId="914" priority="761">
      <formula>$E18="MC"</formula>
    </cfRule>
  </conditionalFormatting>
  <conditionalFormatting sqref="D18">
    <cfRule type="expression" dxfId="913" priority="760">
      <formula>$E18="MC"</formula>
    </cfRule>
  </conditionalFormatting>
  <conditionalFormatting sqref="B18:D18 H18 F18">
    <cfRule type="expression" dxfId="912" priority="759">
      <formula>$E18="MC"</formula>
    </cfRule>
  </conditionalFormatting>
  <conditionalFormatting sqref="B18:D18 H18 F18">
    <cfRule type="expression" dxfId="911" priority="758">
      <formula>$E18="MC"</formula>
    </cfRule>
  </conditionalFormatting>
  <conditionalFormatting sqref="G18">
    <cfRule type="expression" dxfId="910" priority="757">
      <formula>$E18="MC"</formula>
    </cfRule>
  </conditionalFormatting>
  <conditionalFormatting sqref="B18:D18 F18:H18">
    <cfRule type="expression" dxfId="909" priority="756">
      <formula>$E18="MC"</formula>
    </cfRule>
  </conditionalFormatting>
  <conditionalFormatting sqref="B18:D18 F18:H18">
    <cfRule type="expression" dxfId="908" priority="755">
      <formula>$E18="MC"</formula>
    </cfRule>
  </conditionalFormatting>
  <conditionalFormatting sqref="B18:D18 F18:H18">
    <cfRule type="expression" dxfId="907" priority="754">
      <formula>$E18="MC"</formula>
    </cfRule>
  </conditionalFormatting>
  <conditionalFormatting sqref="B18:D18 F18:H18">
    <cfRule type="expression" dxfId="906" priority="753">
      <formula>$E18="MC"</formula>
    </cfRule>
  </conditionalFormatting>
  <conditionalFormatting sqref="B18:C18 F18:H18">
    <cfRule type="expression" dxfId="905" priority="752">
      <formula>$E18="MC"</formula>
    </cfRule>
  </conditionalFormatting>
  <conditionalFormatting sqref="B18:C18 F18:H18">
    <cfRule type="expression" dxfId="904" priority="751">
      <formula>$E18="MC"</formula>
    </cfRule>
  </conditionalFormatting>
  <conditionalFormatting sqref="B18:C18 F18:H18">
    <cfRule type="expression" dxfId="903" priority="750">
      <formula>$E18="MC"</formula>
    </cfRule>
  </conditionalFormatting>
  <conditionalFormatting sqref="B18:C18 F18:H18">
    <cfRule type="expression" dxfId="902" priority="749">
      <formula>$E18="MC"</formula>
    </cfRule>
  </conditionalFormatting>
  <conditionalFormatting sqref="B18:C18 F18:H18">
    <cfRule type="expression" dxfId="901" priority="748">
      <formula>$E18="MC"</formula>
    </cfRule>
  </conditionalFormatting>
  <conditionalFormatting sqref="B18:C18 F18:H18">
    <cfRule type="expression" dxfId="900" priority="747">
      <formula>$E18="MC"</formula>
    </cfRule>
  </conditionalFormatting>
  <conditionalFormatting sqref="D18">
    <cfRule type="expression" dxfId="899" priority="746">
      <formula>$E18="MC"</formula>
    </cfRule>
  </conditionalFormatting>
  <conditionalFormatting sqref="D18">
    <cfRule type="expression" dxfId="898" priority="745">
      <formula>$E18="MC"</formula>
    </cfRule>
  </conditionalFormatting>
  <conditionalFormatting sqref="D18">
    <cfRule type="expression" dxfId="897" priority="744">
      <formula>$E18="MC"</formula>
    </cfRule>
  </conditionalFormatting>
  <conditionalFormatting sqref="D18">
    <cfRule type="expression" dxfId="896" priority="743">
      <formula>$E18="MC"</formula>
    </cfRule>
  </conditionalFormatting>
  <conditionalFormatting sqref="D18">
    <cfRule type="expression" dxfId="895" priority="741">
      <formula>$E18="MC"</formula>
    </cfRule>
  </conditionalFormatting>
  <conditionalFormatting sqref="B18:C18 F18:H18">
    <cfRule type="expression" dxfId="894" priority="740">
      <formula>$E18="MC"</formula>
    </cfRule>
  </conditionalFormatting>
  <conditionalFormatting sqref="B18:C18 F18:H18">
    <cfRule type="expression" dxfId="893" priority="739">
      <formula>$E18="MC"</formula>
    </cfRule>
  </conditionalFormatting>
  <conditionalFormatting sqref="B18:C18 F18:H18">
    <cfRule type="expression" dxfId="892" priority="738">
      <formula>$E18="MC"</formula>
    </cfRule>
  </conditionalFormatting>
  <conditionalFormatting sqref="B18:C18 F18:H18">
    <cfRule type="expression" dxfId="891" priority="737">
      <formula>$E18="MC"</formula>
    </cfRule>
  </conditionalFormatting>
  <conditionalFormatting sqref="B18:C18 F18:H18">
    <cfRule type="expression" dxfId="890" priority="736">
      <formula>$E18="MC"</formula>
    </cfRule>
  </conditionalFormatting>
  <conditionalFormatting sqref="B18:C18 F18:H18">
    <cfRule type="expression" dxfId="889" priority="735">
      <formula>$E18="MC"</formula>
    </cfRule>
  </conditionalFormatting>
  <conditionalFormatting sqref="D18">
    <cfRule type="expression" dxfId="888" priority="734">
      <formula>$E18="MC"</formula>
    </cfRule>
  </conditionalFormatting>
  <conditionalFormatting sqref="D18">
    <cfRule type="expression" dxfId="887" priority="733">
      <formula>$E18="MC"</formula>
    </cfRule>
  </conditionalFormatting>
  <conditionalFormatting sqref="D18">
    <cfRule type="expression" dxfId="886" priority="732">
      <formula>$E18="MC"</formula>
    </cfRule>
  </conditionalFormatting>
  <conditionalFormatting sqref="D18">
    <cfRule type="expression" dxfId="885" priority="731">
      <formula>$E18="MC"</formula>
    </cfRule>
  </conditionalFormatting>
  <conditionalFormatting sqref="D18">
    <cfRule type="expression" dxfId="884" priority="730">
      <formula>$E18="MC"</formula>
    </cfRule>
  </conditionalFormatting>
  <conditionalFormatting sqref="D18">
    <cfRule type="expression" dxfId="883" priority="729">
      <formula>$E18="MC"</formula>
    </cfRule>
  </conditionalFormatting>
  <conditionalFormatting sqref="B18:D18 F18:H18">
    <cfRule type="expression" dxfId="882" priority="728">
      <formula>$E18="MC"</formula>
    </cfRule>
  </conditionalFormatting>
  <conditionalFormatting sqref="B18:D18 F18:H18">
    <cfRule type="expression" dxfId="881" priority="727">
      <formula>$E18="MC"</formula>
    </cfRule>
  </conditionalFormatting>
  <conditionalFormatting sqref="B18:D18 F18:H18">
    <cfRule type="expression" dxfId="880" priority="726">
      <formula>$E18="MC"</formula>
    </cfRule>
  </conditionalFormatting>
  <conditionalFormatting sqref="B18:D18 F18:H18">
    <cfRule type="expression" dxfId="879" priority="725">
      <formula>$E18="MC"</formula>
    </cfRule>
  </conditionalFormatting>
  <conditionalFormatting sqref="B18:D18 F18:H18">
    <cfRule type="expression" dxfId="878" priority="724">
      <formula>$E18="MC"</formula>
    </cfRule>
  </conditionalFormatting>
  <conditionalFormatting sqref="B18:D18 H18 F18">
    <cfRule type="expression" dxfId="877" priority="723">
      <formula>$E18="MC"</formula>
    </cfRule>
  </conditionalFormatting>
  <conditionalFormatting sqref="B18:D18 H18 F18">
    <cfRule type="expression" dxfId="876" priority="722">
      <formula>$E18="MC"</formula>
    </cfRule>
  </conditionalFormatting>
  <conditionalFormatting sqref="G18">
    <cfRule type="expression" dxfId="875" priority="721">
      <formula>$E18="MC"</formula>
    </cfRule>
  </conditionalFormatting>
  <conditionalFormatting sqref="B18:D18 F18:H18">
    <cfRule type="expression" dxfId="874" priority="720">
      <formula>$E18="MC"</formula>
    </cfRule>
  </conditionalFormatting>
  <conditionalFormatting sqref="B18:D18 F18:H18">
    <cfRule type="expression" dxfId="873" priority="719">
      <formula>$E18="MC"</formula>
    </cfRule>
  </conditionalFormatting>
  <conditionalFormatting sqref="B18:D18 F18:H18">
    <cfRule type="expression" dxfId="872" priority="718">
      <formula>$E18="MC"</formula>
    </cfRule>
  </conditionalFormatting>
  <conditionalFormatting sqref="B18:D18 F18:H18">
    <cfRule type="expression" dxfId="871" priority="717">
      <formula>$E18="MC"</formula>
    </cfRule>
  </conditionalFormatting>
  <conditionalFormatting sqref="B18:C18 F18:H18">
    <cfRule type="expression" dxfId="870" priority="716">
      <formula>$E18="MC"</formula>
    </cfRule>
  </conditionalFormatting>
  <conditionalFormatting sqref="B18:C18 F18:H18">
    <cfRule type="expression" dxfId="869" priority="715">
      <formula>$E18="MC"</formula>
    </cfRule>
  </conditionalFormatting>
  <conditionalFormatting sqref="B18:C18 F18:H18">
    <cfRule type="expression" dxfId="868" priority="714">
      <formula>$E18="MC"</formula>
    </cfRule>
  </conditionalFormatting>
  <conditionalFormatting sqref="B18:C18 F18:H18">
    <cfRule type="expression" dxfId="867" priority="713">
      <formula>$E18="MC"</formula>
    </cfRule>
  </conditionalFormatting>
  <conditionalFormatting sqref="B18:C18 F18:H18">
    <cfRule type="expression" dxfId="866" priority="712">
      <formula>$E18="MC"</formula>
    </cfRule>
  </conditionalFormatting>
  <conditionalFormatting sqref="B18:C18 F18:H18">
    <cfRule type="expression" dxfId="865" priority="711">
      <formula>$E18="MC"</formula>
    </cfRule>
  </conditionalFormatting>
  <conditionalFormatting sqref="D18">
    <cfRule type="expression" dxfId="864" priority="710">
      <formula>$E18="MC"</formula>
    </cfRule>
  </conditionalFormatting>
  <conditionalFormatting sqref="D18">
    <cfRule type="expression" dxfId="863" priority="709">
      <formula>$E18="MC"</formula>
    </cfRule>
  </conditionalFormatting>
  <conditionalFormatting sqref="D18">
    <cfRule type="expression" dxfId="862" priority="708">
      <formula>$E18="MC"</formula>
    </cfRule>
  </conditionalFormatting>
  <conditionalFormatting sqref="D18">
    <cfRule type="expression" dxfId="861" priority="707">
      <formula>$E18="MC"</formula>
    </cfRule>
  </conditionalFormatting>
  <conditionalFormatting sqref="D18">
    <cfRule type="expression" dxfId="860" priority="706">
      <formula>$E18="MC"</formula>
    </cfRule>
  </conditionalFormatting>
  <conditionalFormatting sqref="D18">
    <cfRule type="expression" dxfId="859" priority="705">
      <formula>$E18="MC"</formula>
    </cfRule>
  </conditionalFormatting>
  <conditionalFormatting sqref="B18:C18 F18:H18">
    <cfRule type="expression" dxfId="858" priority="704">
      <formula>$E18="MC"</formula>
    </cfRule>
  </conditionalFormatting>
  <conditionalFormatting sqref="B18:C18 F18:H18">
    <cfRule type="expression" dxfId="857" priority="703">
      <formula>$E18="MC"</formula>
    </cfRule>
  </conditionalFormatting>
  <conditionalFormatting sqref="B18:C18 F18:H18">
    <cfRule type="expression" dxfId="856" priority="702">
      <formula>$E18="MC"</formula>
    </cfRule>
  </conditionalFormatting>
  <conditionalFormatting sqref="B18:C18 F18:H18">
    <cfRule type="expression" dxfId="855" priority="701">
      <formula>$E18="MC"</formula>
    </cfRule>
  </conditionalFormatting>
  <conditionalFormatting sqref="B18:C18 F18:H18">
    <cfRule type="expression" dxfId="854" priority="700">
      <formula>$E18="MC"</formula>
    </cfRule>
  </conditionalFormatting>
  <conditionalFormatting sqref="B18:C18 F18:H18">
    <cfRule type="expression" dxfId="853" priority="699">
      <formula>$E18="MC"</formula>
    </cfRule>
  </conditionalFormatting>
  <conditionalFormatting sqref="D18">
    <cfRule type="expression" dxfId="852" priority="698">
      <formula>$E18="MC"</formula>
    </cfRule>
  </conditionalFormatting>
  <conditionalFormatting sqref="D18">
    <cfRule type="expression" dxfId="851" priority="697">
      <formula>$E18="MC"</formula>
    </cfRule>
  </conditionalFormatting>
  <conditionalFormatting sqref="D18">
    <cfRule type="expression" dxfId="850" priority="696">
      <formula>$E18="MC"</formula>
    </cfRule>
  </conditionalFormatting>
  <conditionalFormatting sqref="D18">
    <cfRule type="expression" dxfId="849" priority="695">
      <formula>$E18="MC"</formula>
    </cfRule>
  </conditionalFormatting>
  <conditionalFormatting sqref="D18">
    <cfRule type="expression" dxfId="848" priority="694">
      <formula>$E18="MC"</formula>
    </cfRule>
  </conditionalFormatting>
  <conditionalFormatting sqref="D18">
    <cfRule type="expression" dxfId="847" priority="693">
      <formula>$E18="MC"</formula>
    </cfRule>
  </conditionalFormatting>
  <conditionalFormatting sqref="B18:D18 F18:H18">
    <cfRule type="expression" dxfId="846" priority="692">
      <formula>$E18="MC"</formula>
    </cfRule>
  </conditionalFormatting>
  <conditionalFormatting sqref="B18:D18 F18:H18">
    <cfRule type="expression" dxfId="845" priority="691">
      <formula>$E18="MC"</formula>
    </cfRule>
  </conditionalFormatting>
  <conditionalFormatting sqref="B18:D18 F18:H18">
    <cfRule type="expression" dxfId="844" priority="690">
      <formula>$E18="MC"</formula>
    </cfRule>
  </conditionalFormatting>
  <conditionalFormatting sqref="B18:D18 F18:H18">
    <cfRule type="expression" dxfId="843" priority="689">
      <formula>$E18="MC"</formula>
    </cfRule>
  </conditionalFormatting>
  <conditionalFormatting sqref="B18:D18 F18:H18">
    <cfRule type="expression" dxfId="842" priority="688">
      <formula>$E18="MC"</formula>
    </cfRule>
  </conditionalFormatting>
  <conditionalFormatting sqref="B18:C18 F18:H18">
    <cfRule type="expression" dxfId="841" priority="687">
      <formula>$E18="MC"</formula>
    </cfRule>
  </conditionalFormatting>
  <conditionalFormatting sqref="B18:C18 F18:H18">
    <cfRule type="expression" dxfId="840" priority="686">
      <formula>$E18="MC"</formula>
    </cfRule>
  </conditionalFormatting>
  <conditionalFormatting sqref="B18:C18 F18:H18">
    <cfRule type="expression" dxfId="839" priority="685">
      <formula>$E18="MC"</formula>
    </cfRule>
  </conditionalFormatting>
  <conditionalFormatting sqref="B18:C18 F18:H18">
    <cfRule type="expression" dxfId="838" priority="684">
      <formula>$E18="MC"</formula>
    </cfRule>
  </conditionalFormatting>
  <conditionalFormatting sqref="B18:C18 F18:H18">
    <cfRule type="expression" dxfId="837" priority="683">
      <formula>$E18="MC"</formula>
    </cfRule>
  </conditionalFormatting>
  <conditionalFormatting sqref="B18:C18 F18:H18">
    <cfRule type="expression" dxfId="836" priority="682">
      <formula>$E18="MC"</formula>
    </cfRule>
  </conditionalFormatting>
  <conditionalFormatting sqref="D18">
    <cfRule type="expression" dxfId="835" priority="681">
      <formula>$E18="MC"</formula>
    </cfRule>
  </conditionalFormatting>
  <conditionalFormatting sqref="D18">
    <cfRule type="expression" dxfId="834" priority="680">
      <formula>$E18="MC"</formula>
    </cfRule>
  </conditionalFormatting>
  <conditionalFormatting sqref="D18">
    <cfRule type="expression" dxfId="833" priority="679">
      <formula>$E18="MC"</formula>
    </cfRule>
  </conditionalFormatting>
  <conditionalFormatting sqref="D18">
    <cfRule type="expression" dxfId="832" priority="678">
      <formula>$E18="MC"</formula>
    </cfRule>
  </conditionalFormatting>
  <conditionalFormatting sqref="D18">
    <cfRule type="expression" dxfId="831" priority="677">
      <formula>$E18="MC"</formula>
    </cfRule>
  </conditionalFormatting>
  <conditionalFormatting sqref="D18">
    <cfRule type="expression" dxfId="830" priority="676">
      <formula>$E18="MC"</formula>
    </cfRule>
  </conditionalFormatting>
  <conditionalFormatting sqref="B18:D18 F18:H18">
    <cfRule type="expression" dxfId="829" priority="675">
      <formula>$E18="MC"</formula>
    </cfRule>
  </conditionalFormatting>
  <conditionalFormatting sqref="B18:D18 F18:H18">
    <cfRule type="expression" dxfId="828" priority="674">
      <formula>$E18="MC"</formula>
    </cfRule>
  </conditionalFormatting>
  <conditionalFormatting sqref="B18:D18 F18:H18">
    <cfRule type="expression" dxfId="827" priority="673">
      <formula>$E18="MC"</formula>
    </cfRule>
  </conditionalFormatting>
  <conditionalFormatting sqref="B18:D18 F18:H18">
    <cfRule type="expression" dxfId="826" priority="672">
      <formula>$E18="MC"</formula>
    </cfRule>
  </conditionalFormatting>
  <conditionalFormatting sqref="B18:D18 F18:H18">
    <cfRule type="expression" dxfId="825" priority="671">
      <formula>$E18="MC"</formula>
    </cfRule>
  </conditionalFormatting>
  <conditionalFormatting sqref="B18:D18 F18:H18">
    <cfRule type="expression" dxfId="824" priority="670">
      <formula>$E18="MC"</formula>
    </cfRule>
  </conditionalFormatting>
  <conditionalFormatting sqref="B18:D18 F18:H18">
    <cfRule type="expression" dxfId="823" priority="669">
      <formula>$E18="MC"</formula>
    </cfRule>
  </conditionalFormatting>
  <conditionalFormatting sqref="B18:D18 F18:H18">
    <cfRule type="expression" dxfId="822" priority="668">
      <formula>$E18="MC"</formula>
    </cfRule>
  </conditionalFormatting>
  <conditionalFormatting sqref="B18:D18 F18:H18">
    <cfRule type="expression" dxfId="821" priority="667">
      <formula>$E18="MC"</formula>
    </cfRule>
  </conditionalFormatting>
  <conditionalFormatting sqref="B18:D18 F18:H18">
    <cfRule type="expression" dxfId="820" priority="666">
      <formula>$E18="MC"</formula>
    </cfRule>
  </conditionalFormatting>
  <conditionalFormatting sqref="D18">
    <cfRule type="expression" dxfId="819" priority="665">
      <formula>$E18="MC"</formula>
    </cfRule>
  </conditionalFormatting>
  <conditionalFormatting sqref="B18:C18 F18:H18">
    <cfRule type="expression" dxfId="818" priority="664">
      <formula>$E18="MC"</formula>
    </cfRule>
  </conditionalFormatting>
  <conditionalFormatting sqref="B18:C18 F18:H18">
    <cfRule type="expression" dxfId="817" priority="663">
      <formula>$E18="MC"</formula>
    </cfRule>
  </conditionalFormatting>
  <conditionalFormatting sqref="B18:C18 F18:H18">
    <cfRule type="expression" dxfId="816" priority="662">
      <formula>$E18="MC"</formula>
    </cfRule>
  </conditionalFormatting>
  <conditionalFormatting sqref="B18:C18 F18:H18">
    <cfRule type="expression" dxfId="815" priority="661">
      <formula>$E18="MC"</formula>
    </cfRule>
  </conditionalFormatting>
  <conditionalFormatting sqref="B18:C18 F18:H18">
    <cfRule type="expression" dxfId="814" priority="660">
      <formula>$E18="MC"</formula>
    </cfRule>
  </conditionalFormatting>
  <conditionalFormatting sqref="B18:C18 F18:H18">
    <cfRule type="expression" dxfId="813" priority="659">
      <formula>$E18="MC"</formula>
    </cfRule>
  </conditionalFormatting>
  <conditionalFormatting sqref="D18">
    <cfRule type="expression" dxfId="812" priority="658">
      <formula>$E18="MC"</formula>
    </cfRule>
  </conditionalFormatting>
  <conditionalFormatting sqref="D18">
    <cfRule type="expression" dxfId="811" priority="657">
      <formula>$E18="MC"</formula>
    </cfRule>
  </conditionalFormatting>
  <conditionalFormatting sqref="D18">
    <cfRule type="expression" dxfId="810" priority="656">
      <formula>$E18="MC"</formula>
    </cfRule>
  </conditionalFormatting>
  <conditionalFormatting sqref="D18">
    <cfRule type="expression" dxfId="809" priority="655">
      <formula>$E18="MC"</formula>
    </cfRule>
  </conditionalFormatting>
  <conditionalFormatting sqref="D18">
    <cfRule type="expression" dxfId="808" priority="654">
      <formula>$E18="MC"</formula>
    </cfRule>
  </conditionalFormatting>
  <conditionalFormatting sqref="D18">
    <cfRule type="expression" dxfId="807" priority="653">
      <formula>$E18="MC"</formula>
    </cfRule>
  </conditionalFormatting>
  <conditionalFormatting sqref="B18:D18 F18:H18">
    <cfRule type="expression" dxfId="806" priority="652">
      <formula>$E18="MC"</formula>
    </cfRule>
  </conditionalFormatting>
  <conditionalFormatting sqref="B18:D18 F18:H18">
    <cfRule type="expression" dxfId="805" priority="651">
      <formula>$E18="MC"</formula>
    </cfRule>
  </conditionalFormatting>
  <conditionalFormatting sqref="B18:D18 F18:H18">
    <cfRule type="expression" dxfId="804" priority="650">
      <formula>$E18="MC"</formula>
    </cfRule>
  </conditionalFormatting>
  <conditionalFormatting sqref="B18:D18 F18:H18">
    <cfRule type="expression" dxfId="803" priority="649">
      <formula>$E18="MC"</formula>
    </cfRule>
  </conditionalFormatting>
  <conditionalFormatting sqref="B18:D18 F18:H18">
    <cfRule type="expression" dxfId="802" priority="648">
      <formula>$E18="MC"</formula>
    </cfRule>
  </conditionalFormatting>
  <conditionalFormatting sqref="B18:D18 F18:H18">
    <cfRule type="expression" dxfId="801" priority="647">
      <formula>$E18="MC"</formula>
    </cfRule>
  </conditionalFormatting>
  <conditionalFormatting sqref="B18:D18 F18:H18">
    <cfRule type="expression" dxfId="800" priority="646">
      <formula>$E18="MC"</formula>
    </cfRule>
  </conditionalFormatting>
  <conditionalFormatting sqref="B18:D18 F18:H18">
    <cfRule type="expression" dxfId="799" priority="645">
      <formula>$E18="MC"</formula>
    </cfRule>
  </conditionalFormatting>
  <conditionalFormatting sqref="B18:D18 F18:H18">
    <cfRule type="expression" dxfId="798" priority="644">
      <formula>$E18="MC"</formula>
    </cfRule>
  </conditionalFormatting>
  <conditionalFormatting sqref="B18:D18 F18:H18">
    <cfRule type="expression" dxfId="797" priority="643">
      <formula>$E18="MC"</formula>
    </cfRule>
  </conditionalFormatting>
  <conditionalFormatting sqref="D18">
    <cfRule type="expression" dxfId="796" priority="642">
      <formula>$E18="MC"</formula>
    </cfRule>
  </conditionalFormatting>
  <conditionalFormatting sqref="B18:D18 F18:H18">
    <cfRule type="expression" dxfId="795" priority="641">
      <formula>$E18="MC"</formula>
    </cfRule>
  </conditionalFormatting>
  <conditionalFormatting sqref="B18:D18 F18:H18">
    <cfRule type="expression" dxfId="794" priority="640">
      <formula>$E18="MC"</formula>
    </cfRule>
  </conditionalFormatting>
  <conditionalFormatting sqref="B18:D18 F18:H18">
    <cfRule type="expression" dxfId="793" priority="639">
      <formula>$E18="MC"</formula>
    </cfRule>
  </conditionalFormatting>
  <conditionalFormatting sqref="B18:D18 F18:H18">
    <cfRule type="expression" dxfId="792" priority="638">
      <formula>$E18="MC"</formula>
    </cfRule>
  </conditionalFormatting>
  <conditionalFormatting sqref="B18:D18 F18:H18">
    <cfRule type="expression" dxfId="791" priority="637">
      <formula>$E18="MC"</formula>
    </cfRule>
  </conditionalFormatting>
  <conditionalFormatting sqref="D18">
    <cfRule type="expression" dxfId="790" priority="636">
      <formula>$E18="MC"</formula>
    </cfRule>
  </conditionalFormatting>
  <conditionalFormatting sqref="D18">
    <cfRule type="expression" dxfId="789" priority="635">
      <formula>$E18="MC"</formula>
    </cfRule>
  </conditionalFormatting>
  <conditionalFormatting sqref="E15:E16">
    <cfRule type="expression" dxfId="788" priority="634">
      <formula>$E15="MC"</formula>
    </cfRule>
  </conditionalFormatting>
  <conditionalFormatting sqref="E18 E21:E22">
    <cfRule type="expression" dxfId="787" priority="633">
      <formula>$E18="MC"</formula>
    </cfRule>
  </conditionalFormatting>
  <conditionalFormatting sqref="E17 E20">
    <cfRule type="expression" dxfId="786" priority="632">
      <formula>$E17="MC"</formula>
    </cfRule>
  </conditionalFormatting>
  <conditionalFormatting sqref="C22">
    <cfRule type="containsText" dxfId="785" priority="629" operator="containsText" text="DUPLICADO">
      <formula>NOT(ISERROR(SEARCH("DUPLICADO",C22)))</formula>
    </cfRule>
  </conditionalFormatting>
  <conditionalFormatting sqref="C22">
    <cfRule type="containsText" dxfId="784" priority="630" operator="containsText" text="DUPLICADO">
      <formula>NOT(ISERROR(SEARCH("DUPLICADO",C22)))</formula>
    </cfRule>
    <cfRule type="duplicateValues" dxfId="783" priority="631"/>
  </conditionalFormatting>
  <conditionalFormatting sqref="I8:I31">
    <cfRule type="expression" dxfId="782" priority="628">
      <formula>$E8="MC"</formula>
    </cfRule>
  </conditionalFormatting>
  <conditionalFormatting sqref="I8:I31">
    <cfRule type="expression" dxfId="781" priority="618">
      <formula>$E8="MC"</formula>
    </cfRule>
  </conditionalFormatting>
  <conditionalFormatting sqref="I8:I31">
    <cfRule type="expression" dxfId="780" priority="627">
      <formula>$E8="MC"</formula>
    </cfRule>
  </conditionalFormatting>
  <conditionalFormatting sqref="I8:I31">
    <cfRule type="expression" dxfId="779" priority="626">
      <formula>$E8="MC"</formula>
    </cfRule>
  </conditionalFormatting>
  <conditionalFormatting sqref="I8:I31">
    <cfRule type="expression" dxfId="778" priority="625">
      <formula>$E8="MC"</formula>
    </cfRule>
  </conditionalFormatting>
  <conditionalFormatting sqref="I8:I31">
    <cfRule type="expression" dxfId="777" priority="624">
      <formula>$E8="MC"</formula>
    </cfRule>
  </conditionalFormatting>
  <conditionalFormatting sqref="I8:I31">
    <cfRule type="expression" dxfId="776" priority="623">
      <formula>$E8="MC"</formula>
    </cfRule>
  </conditionalFormatting>
  <conditionalFormatting sqref="I8:I31">
    <cfRule type="expression" dxfId="775" priority="622">
      <formula>$E8="MC"</formula>
    </cfRule>
  </conditionalFormatting>
  <conditionalFormatting sqref="I8:I31">
    <cfRule type="expression" dxfId="774" priority="621">
      <formula>$E8="MC"</formula>
    </cfRule>
  </conditionalFormatting>
  <conditionalFormatting sqref="I8:I31">
    <cfRule type="expression" dxfId="773" priority="620">
      <formula>$E8="MC"</formula>
    </cfRule>
  </conditionalFormatting>
  <conditionalFormatting sqref="I8:I31">
    <cfRule type="expression" dxfId="772" priority="619">
      <formula>$E8="MC"</formula>
    </cfRule>
  </conditionalFormatting>
  <conditionalFormatting sqref="H13">
    <cfRule type="expression" dxfId="771" priority="617">
      <formula>$E13="MC"</formula>
    </cfRule>
  </conditionalFormatting>
  <conditionalFormatting sqref="B13">
    <cfRule type="expression" dxfId="770" priority="616">
      <formula>$E13="MC"</formula>
    </cfRule>
  </conditionalFormatting>
  <conditionalFormatting sqref="C13:D13 F13:G13">
    <cfRule type="expression" dxfId="769" priority="615">
      <formula>$E13="MC"</formula>
    </cfRule>
  </conditionalFormatting>
  <conditionalFormatting sqref="D13">
    <cfRule type="expression" dxfId="768" priority="614">
      <formula>$E13="MC"</formula>
    </cfRule>
  </conditionalFormatting>
  <conditionalFormatting sqref="E13">
    <cfRule type="expression" dxfId="767" priority="613">
      <formula>$E13="MC"</formula>
    </cfRule>
  </conditionalFormatting>
  <conditionalFormatting sqref="D29">
    <cfRule type="expression" dxfId="766" priority="504">
      <formula>$E29="MC"</formula>
    </cfRule>
  </conditionalFormatting>
  <conditionalFormatting sqref="B29:D29 F29:H29">
    <cfRule type="expression" dxfId="765" priority="612">
      <formula>$E29="MC"</formula>
    </cfRule>
  </conditionalFormatting>
  <conditionalFormatting sqref="B29:D29 F29:H29">
    <cfRule type="expression" dxfId="764" priority="611">
      <formula>$E29="MC"</formula>
    </cfRule>
  </conditionalFormatting>
  <conditionalFormatting sqref="B29:D29 F29:H29">
    <cfRule type="expression" dxfId="763" priority="610">
      <formula>$E29="MC"</formula>
    </cfRule>
  </conditionalFormatting>
  <conditionalFormatting sqref="B29:D29 F29:H29">
    <cfRule type="expression" dxfId="762" priority="609">
      <formula>$E29="MC"</formula>
    </cfRule>
  </conditionalFormatting>
  <conditionalFormatting sqref="B29:D29 F29:H29">
    <cfRule type="expression" dxfId="761" priority="608">
      <formula>$E29="MC"</formula>
    </cfRule>
  </conditionalFormatting>
  <conditionalFormatting sqref="B29:D29 F29:H29">
    <cfRule type="expression" dxfId="760" priority="607">
      <formula>$E29="MC"</formula>
    </cfRule>
  </conditionalFormatting>
  <conditionalFormatting sqref="B29:D29 F29:H29">
    <cfRule type="expression" dxfId="759" priority="606">
      <formula>$E29="MC"</formula>
    </cfRule>
  </conditionalFormatting>
  <conditionalFormatting sqref="B29:D29 F29:H29">
    <cfRule type="expression" dxfId="758" priority="605">
      <formula>$E29="MC"</formula>
    </cfRule>
  </conditionalFormatting>
  <conditionalFormatting sqref="B29:D29 F29:H29">
    <cfRule type="expression" dxfId="757" priority="604">
      <formula>$E29="MC"</formula>
    </cfRule>
  </conditionalFormatting>
  <conditionalFormatting sqref="B29 D29 F29:H29">
    <cfRule type="expression" dxfId="756" priority="603">
      <formula>$E29="MC"</formula>
    </cfRule>
  </conditionalFormatting>
  <conditionalFormatting sqref="C29">
    <cfRule type="expression" dxfId="755" priority="602">
      <formula>$E29="MC"</formula>
    </cfRule>
  </conditionalFormatting>
  <conditionalFormatting sqref="B29:D29 F29:H29">
    <cfRule type="expression" dxfId="754" priority="601">
      <formula>$E29="MC"</formula>
    </cfRule>
  </conditionalFormatting>
  <conditionalFormatting sqref="B29:D29 F29:H29">
    <cfRule type="expression" dxfId="753" priority="600">
      <formula>$E29="MC"</formula>
    </cfRule>
  </conditionalFormatting>
  <conditionalFormatting sqref="B29:D29 F29:H29">
    <cfRule type="expression" dxfId="752" priority="599">
      <formula>$E29="MC"</formula>
    </cfRule>
  </conditionalFormatting>
  <conditionalFormatting sqref="B29:D29 F29:H29">
    <cfRule type="expression" dxfId="751" priority="596">
      <formula>$E29="MC"</formula>
    </cfRule>
  </conditionalFormatting>
  <conditionalFormatting sqref="B29:D29 F29:H29">
    <cfRule type="expression" dxfId="750" priority="595">
      <formula>$E29="MC"</formula>
    </cfRule>
  </conditionalFormatting>
  <conditionalFormatting sqref="B29:D29 F29:H29">
    <cfRule type="expression" dxfId="749" priority="594">
      <formula>$E29="MC"</formula>
    </cfRule>
  </conditionalFormatting>
  <conditionalFormatting sqref="B29:D29 F29:H29">
    <cfRule type="expression" dxfId="748" priority="598">
      <formula>$E29="MC"</formula>
    </cfRule>
  </conditionalFormatting>
  <conditionalFormatting sqref="B29:D29 F29:H29">
    <cfRule type="expression" dxfId="747" priority="597">
      <formula>$E29="MC"</formula>
    </cfRule>
  </conditionalFormatting>
  <conditionalFormatting sqref="B29:D29 F29:H29">
    <cfRule type="expression" dxfId="746" priority="593">
      <formula>$E29="MC"</formula>
    </cfRule>
  </conditionalFormatting>
  <conditionalFormatting sqref="B29:D29 F29:H29">
    <cfRule type="expression" dxfId="745" priority="590">
      <formula>$E29="MC"</formula>
    </cfRule>
  </conditionalFormatting>
  <conditionalFormatting sqref="B29:D29 F29:H29">
    <cfRule type="expression" dxfId="744" priority="589">
      <formula>$E29="MC"</formula>
    </cfRule>
  </conditionalFormatting>
  <conditionalFormatting sqref="B29:D29 F29:H29">
    <cfRule type="expression" dxfId="743" priority="588">
      <formula>$E29="MC"</formula>
    </cfRule>
  </conditionalFormatting>
  <conditionalFormatting sqref="B29:D29 F29:H29">
    <cfRule type="expression" dxfId="742" priority="592">
      <formula>$E29="MC"</formula>
    </cfRule>
  </conditionalFormatting>
  <conditionalFormatting sqref="B29:D29 F29:H29">
    <cfRule type="expression" dxfId="741" priority="591">
      <formula>$E29="MC"</formula>
    </cfRule>
  </conditionalFormatting>
  <conditionalFormatting sqref="B29 D29 F29:H29">
    <cfRule type="expression" dxfId="740" priority="587">
      <formula>$E29="MC"</formula>
    </cfRule>
  </conditionalFormatting>
  <conditionalFormatting sqref="B29:C29 F29:H29">
    <cfRule type="expression" dxfId="739" priority="586">
      <formula>$E29="MC"</formula>
    </cfRule>
  </conditionalFormatting>
  <conditionalFormatting sqref="C29">
    <cfRule type="expression" dxfId="738" priority="585">
      <formula>$E29="MC"</formula>
    </cfRule>
  </conditionalFormatting>
  <conditionalFormatting sqref="B29:C29 F29:H29">
    <cfRule type="expression" dxfId="737" priority="584">
      <formula>$E29="MC"</formula>
    </cfRule>
  </conditionalFormatting>
  <conditionalFormatting sqref="B29:D29 F29:H29">
    <cfRule type="expression" dxfId="736" priority="583">
      <formula>$E29="MC"</formula>
    </cfRule>
  </conditionalFormatting>
  <conditionalFormatting sqref="B29:D29 F29:H29">
    <cfRule type="expression" dxfId="735" priority="582">
      <formula>$E29="MC"</formula>
    </cfRule>
  </conditionalFormatting>
  <conditionalFormatting sqref="B29:D29 F29:H29">
    <cfRule type="expression" dxfId="734" priority="581">
      <formula>$E29="MC"</formula>
    </cfRule>
  </conditionalFormatting>
  <conditionalFormatting sqref="B29:D29 H29 F29">
    <cfRule type="expression" dxfId="733" priority="580">
      <formula>$E29="MC"</formula>
    </cfRule>
  </conditionalFormatting>
  <conditionalFormatting sqref="B29:D29 H29 F29">
    <cfRule type="expression" dxfId="732" priority="579">
      <formula>$E29="MC"</formula>
    </cfRule>
  </conditionalFormatting>
  <conditionalFormatting sqref="G29">
    <cfRule type="expression" dxfId="731" priority="578">
      <formula>$E29="MC"</formula>
    </cfRule>
  </conditionalFormatting>
  <conditionalFormatting sqref="B29:D29 F29:H29">
    <cfRule type="expression" dxfId="730" priority="577">
      <formula>$E29="MC"</formula>
    </cfRule>
  </conditionalFormatting>
  <conditionalFormatting sqref="B29:D29 F29:H29">
    <cfRule type="expression" dxfId="729" priority="576">
      <formula>$E29="MC"</formula>
    </cfRule>
  </conditionalFormatting>
  <conditionalFormatting sqref="B29:D29 F29:H29">
    <cfRule type="expression" dxfId="728" priority="575">
      <formula>$E29="MC"</formula>
    </cfRule>
  </conditionalFormatting>
  <conditionalFormatting sqref="B29:D29 F29:H29">
    <cfRule type="expression" dxfId="727" priority="574">
      <formula>$E29="MC"</formula>
    </cfRule>
  </conditionalFormatting>
  <conditionalFormatting sqref="B29:D29 F29:H29">
    <cfRule type="expression" dxfId="726" priority="573">
      <formula>$E29="MC"</formula>
    </cfRule>
  </conditionalFormatting>
  <conditionalFormatting sqref="B29:D29 F29:H29">
    <cfRule type="expression" dxfId="725" priority="572">
      <formula>$E29="MC"</formula>
    </cfRule>
  </conditionalFormatting>
  <conditionalFormatting sqref="B29:D29 F29:H29">
    <cfRule type="expression" dxfId="724" priority="571">
      <formula>$E29="MC"</formula>
    </cfRule>
  </conditionalFormatting>
  <conditionalFormatting sqref="B29:D29 F29:H29">
    <cfRule type="expression" dxfId="723" priority="570">
      <formula>$E29="MC"</formula>
    </cfRule>
  </conditionalFormatting>
  <conditionalFormatting sqref="B29:D29 F29:H29">
    <cfRule type="expression" dxfId="722" priority="569">
      <formula>$E29="MC"</formula>
    </cfRule>
  </conditionalFormatting>
  <conditionalFormatting sqref="B29:D29 F29:H29">
    <cfRule type="expression" dxfId="721" priority="568">
      <formula>$E29="MC"</formula>
    </cfRule>
  </conditionalFormatting>
  <conditionalFormatting sqref="B29:D29 F29:H29">
    <cfRule type="expression" dxfId="720" priority="567">
      <formula>$E29="MC"</formula>
    </cfRule>
  </conditionalFormatting>
  <conditionalFormatting sqref="B29:D29 F29:H29">
    <cfRule type="expression" dxfId="719" priority="566">
      <formula>$E29="MC"</formula>
    </cfRule>
  </conditionalFormatting>
  <conditionalFormatting sqref="B29:D29 H29 F29">
    <cfRule type="expression" dxfId="718" priority="565">
      <formula>$E29="MC"</formula>
    </cfRule>
  </conditionalFormatting>
  <conditionalFormatting sqref="B29:D29 H29 F29">
    <cfRule type="expression" dxfId="717" priority="564">
      <formula>$E29="MC"</formula>
    </cfRule>
  </conditionalFormatting>
  <conditionalFormatting sqref="G29">
    <cfRule type="expression" dxfId="716" priority="563">
      <formula>$E29="MC"</formula>
    </cfRule>
  </conditionalFormatting>
  <conditionalFormatting sqref="B29:D29 F29:H29">
    <cfRule type="expression" dxfId="715" priority="562">
      <formula>$E29="MC"</formula>
    </cfRule>
  </conditionalFormatting>
  <conditionalFormatting sqref="B29:D29 F29:H29">
    <cfRule type="expression" dxfId="714" priority="561">
      <formula>$E29="MC"</formula>
    </cfRule>
  </conditionalFormatting>
  <conditionalFormatting sqref="B29:D29 F29:H29">
    <cfRule type="expression" dxfId="713" priority="560">
      <formula>$E29="MC"</formula>
    </cfRule>
  </conditionalFormatting>
  <conditionalFormatting sqref="B29:D29 F29:H29">
    <cfRule type="expression" dxfId="712" priority="559">
      <formula>$E29="MC"</formula>
    </cfRule>
  </conditionalFormatting>
  <conditionalFormatting sqref="B29:C29 F29:H29">
    <cfRule type="expression" dxfId="711" priority="558">
      <formula>$E29="MC"</formula>
    </cfRule>
  </conditionalFormatting>
  <conditionalFormatting sqref="B29:C29 F29:H29">
    <cfRule type="expression" dxfId="710" priority="557">
      <formula>$E29="MC"</formula>
    </cfRule>
  </conditionalFormatting>
  <conditionalFormatting sqref="B29:C29 F29:H29">
    <cfRule type="expression" dxfId="709" priority="556">
      <formula>$E29="MC"</formula>
    </cfRule>
  </conditionalFormatting>
  <conditionalFormatting sqref="B29:C29 F29:H29">
    <cfRule type="expression" dxfId="708" priority="555">
      <formula>$E29="MC"</formula>
    </cfRule>
  </conditionalFormatting>
  <conditionalFormatting sqref="B29:C29 F29:H29">
    <cfRule type="expression" dxfId="707" priority="554">
      <formula>$E29="MC"</formula>
    </cfRule>
  </conditionalFormatting>
  <conditionalFormatting sqref="B29:C29 F29:H29">
    <cfRule type="expression" dxfId="706" priority="553">
      <formula>$E29="MC"</formula>
    </cfRule>
  </conditionalFormatting>
  <conditionalFormatting sqref="D29">
    <cfRule type="expression" dxfId="705" priority="552">
      <formula>$E29="MC"</formula>
    </cfRule>
  </conditionalFormatting>
  <conditionalFormatting sqref="D29">
    <cfRule type="expression" dxfId="704" priority="551">
      <formula>$E29="MC"</formula>
    </cfRule>
  </conditionalFormatting>
  <conditionalFormatting sqref="D29">
    <cfRule type="expression" dxfId="703" priority="550">
      <formula>$E29="MC"</formula>
    </cfRule>
  </conditionalFormatting>
  <conditionalFormatting sqref="D29">
    <cfRule type="expression" dxfId="702" priority="549">
      <formula>$E29="MC"</formula>
    </cfRule>
  </conditionalFormatting>
  <conditionalFormatting sqref="D29">
    <cfRule type="expression" dxfId="701" priority="548">
      <formula>$E29="MC"</formula>
    </cfRule>
  </conditionalFormatting>
  <conditionalFormatting sqref="D29">
    <cfRule type="expression" dxfId="700" priority="547">
      <formula>$E29="MC"</formula>
    </cfRule>
  </conditionalFormatting>
  <conditionalFormatting sqref="B29:D29 F29:H29">
    <cfRule type="expression" dxfId="699" priority="546">
      <formula>$E29="MC"</formula>
    </cfRule>
  </conditionalFormatting>
  <conditionalFormatting sqref="B29:D29 F29:H29">
    <cfRule type="expression" dxfId="698" priority="545">
      <formula>$E29="MC"</formula>
    </cfRule>
  </conditionalFormatting>
  <conditionalFormatting sqref="B29:D29 F29:H29">
    <cfRule type="expression" dxfId="697" priority="544">
      <formula>$E29="MC"</formula>
    </cfRule>
  </conditionalFormatting>
  <conditionalFormatting sqref="B29:D29 F29:H29">
    <cfRule type="expression" dxfId="696" priority="543">
      <formula>$E29="MC"</formula>
    </cfRule>
  </conditionalFormatting>
  <conditionalFormatting sqref="B29:D29 F29:H29">
    <cfRule type="expression" dxfId="695" priority="542">
      <formula>$E29="MC"</formula>
    </cfRule>
  </conditionalFormatting>
  <conditionalFormatting sqref="B29:D29 F29:H29">
    <cfRule type="expression" dxfId="694" priority="541">
      <formula>$E29="MC"</formula>
    </cfRule>
  </conditionalFormatting>
  <conditionalFormatting sqref="B29:D29 H29 F29">
    <cfRule type="expression" dxfId="693" priority="540">
      <formula>$E29="MC"</formula>
    </cfRule>
  </conditionalFormatting>
  <conditionalFormatting sqref="B29:D29 H29 F29">
    <cfRule type="expression" dxfId="692" priority="539">
      <formula>$E29="MC"</formula>
    </cfRule>
  </conditionalFormatting>
  <conditionalFormatting sqref="G29">
    <cfRule type="expression" dxfId="691" priority="538">
      <formula>$E29="MC"</formula>
    </cfRule>
  </conditionalFormatting>
  <conditionalFormatting sqref="B29:D29 F29:H29">
    <cfRule type="expression" dxfId="690" priority="537">
      <formula>$E29="MC"</formula>
    </cfRule>
  </conditionalFormatting>
  <conditionalFormatting sqref="B29:D29 F29:H29">
    <cfRule type="expression" dxfId="689" priority="536">
      <formula>$E29="MC"</formula>
    </cfRule>
  </conditionalFormatting>
  <conditionalFormatting sqref="B29:D29 F29:H29">
    <cfRule type="expression" dxfId="688" priority="535">
      <formula>$E29="MC"</formula>
    </cfRule>
  </conditionalFormatting>
  <conditionalFormatting sqref="B29:D29 F29:H29">
    <cfRule type="expression" dxfId="687" priority="534">
      <formula>$E29="MC"</formula>
    </cfRule>
  </conditionalFormatting>
  <conditionalFormatting sqref="B29:C29 F29:H29">
    <cfRule type="expression" dxfId="686" priority="533">
      <formula>$E29="MC"</formula>
    </cfRule>
  </conditionalFormatting>
  <conditionalFormatting sqref="B29:C29 F29:H29">
    <cfRule type="expression" dxfId="685" priority="532">
      <formula>$E29="MC"</formula>
    </cfRule>
  </conditionalFormatting>
  <conditionalFormatting sqref="B29:C29 F29:H29">
    <cfRule type="expression" dxfId="684" priority="531">
      <formula>$E29="MC"</formula>
    </cfRule>
  </conditionalFormatting>
  <conditionalFormatting sqref="B29:C29 F29:H29">
    <cfRule type="expression" dxfId="683" priority="530">
      <formula>$E29="MC"</formula>
    </cfRule>
  </conditionalFormatting>
  <conditionalFormatting sqref="B29:C29 F29:H29">
    <cfRule type="expression" dxfId="682" priority="529">
      <formula>$E29="MC"</formula>
    </cfRule>
  </conditionalFormatting>
  <conditionalFormatting sqref="B29:C29 F29:H29">
    <cfRule type="expression" dxfId="681" priority="528">
      <formula>$E29="MC"</formula>
    </cfRule>
  </conditionalFormatting>
  <conditionalFormatting sqref="D29">
    <cfRule type="expression" dxfId="680" priority="527">
      <formula>$E29="MC"</formula>
    </cfRule>
  </conditionalFormatting>
  <conditionalFormatting sqref="D29">
    <cfRule type="expression" dxfId="679" priority="526">
      <formula>$E29="MC"</formula>
    </cfRule>
  </conditionalFormatting>
  <conditionalFormatting sqref="D29">
    <cfRule type="expression" dxfId="678" priority="525">
      <formula>$E29="MC"</formula>
    </cfRule>
  </conditionalFormatting>
  <conditionalFormatting sqref="D29">
    <cfRule type="expression" dxfId="677" priority="524">
      <formula>$E29="MC"</formula>
    </cfRule>
  </conditionalFormatting>
  <conditionalFormatting sqref="D29">
    <cfRule type="expression" dxfId="676" priority="523">
      <formula>$E29="MC"</formula>
    </cfRule>
  </conditionalFormatting>
  <conditionalFormatting sqref="D29">
    <cfRule type="expression" dxfId="675" priority="522">
      <formula>$E29="MC"</formula>
    </cfRule>
  </conditionalFormatting>
  <conditionalFormatting sqref="B29:D29 H29 F29">
    <cfRule type="expression" dxfId="674" priority="521">
      <formula>$E29="MC"</formula>
    </cfRule>
  </conditionalFormatting>
  <conditionalFormatting sqref="B29:D29 H29 F29">
    <cfRule type="expression" dxfId="673" priority="520">
      <formula>$E29="MC"</formula>
    </cfRule>
  </conditionalFormatting>
  <conditionalFormatting sqref="G29">
    <cfRule type="expression" dxfId="672" priority="519">
      <formula>$E29="MC"</formula>
    </cfRule>
  </conditionalFormatting>
  <conditionalFormatting sqref="B29:D29 F29:H29">
    <cfRule type="expression" dxfId="671" priority="518">
      <formula>$E29="MC"</formula>
    </cfRule>
  </conditionalFormatting>
  <conditionalFormatting sqref="B29:D29 F29:H29">
    <cfRule type="expression" dxfId="670" priority="517">
      <formula>$E29="MC"</formula>
    </cfRule>
  </conditionalFormatting>
  <conditionalFormatting sqref="B29:D29 F29:H29">
    <cfRule type="expression" dxfId="669" priority="516">
      <formula>$E29="MC"</formula>
    </cfRule>
  </conditionalFormatting>
  <conditionalFormatting sqref="B29:D29 F29:H29">
    <cfRule type="expression" dxfId="668" priority="515">
      <formula>$E29="MC"</formula>
    </cfRule>
  </conditionalFormatting>
  <conditionalFormatting sqref="B29:C29 F29:H29">
    <cfRule type="expression" dxfId="667" priority="514">
      <formula>$E29="MC"</formula>
    </cfRule>
  </conditionalFormatting>
  <conditionalFormatting sqref="B29:C29 F29:H29">
    <cfRule type="expression" dxfId="666" priority="513">
      <formula>$E29="MC"</formula>
    </cfRule>
  </conditionalFormatting>
  <conditionalFormatting sqref="B29:C29 F29:H29">
    <cfRule type="expression" dxfId="665" priority="512">
      <formula>$E29="MC"</formula>
    </cfRule>
  </conditionalFormatting>
  <conditionalFormatting sqref="B29:C29 F29:H29">
    <cfRule type="expression" dxfId="664" priority="511">
      <formula>$E29="MC"</formula>
    </cfRule>
  </conditionalFormatting>
  <conditionalFormatting sqref="B29:C29 F29:H29">
    <cfRule type="expression" dxfId="663" priority="510">
      <formula>$E29="MC"</formula>
    </cfRule>
  </conditionalFormatting>
  <conditionalFormatting sqref="B29:C29 F29:H29">
    <cfRule type="expression" dxfId="662" priority="509">
      <formula>$E29="MC"</formula>
    </cfRule>
  </conditionalFormatting>
  <conditionalFormatting sqref="D29">
    <cfRule type="expression" dxfId="661" priority="508">
      <formula>$E29="MC"</formula>
    </cfRule>
  </conditionalFormatting>
  <conditionalFormatting sqref="D29">
    <cfRule type="expression" dxfId="660" priority="507">
      <formula>$E29="MC"</formula>
    </cfRule>
  </conditionalFormatting>
  <conditionalFormatting sqref="D29">
    <cfRule type="expression" dxfId="659" priority="506">
      <formula>$E29="MC"</formula>
    </cfRule>
  </conditionalFormatting>
  <conditionalFormatting sqref="D29">
    <cfRule type="expression" dxfId="658" priority="505">
      <formula>$E29="MC"</formula>
    </cfRule>
  </conditionalFormatting>
  <conditionalFormatting sqref="D29">
    <cfRule type="expression" dxfId="657" priority="503">
      <formula>$E29="MC"</formula>
    </cfRule>
  </conditionalFormatting>
  <conditionalFormatting sqref="B29:C29 F29:H29">
    <cfRule type="expression" dxfId="656" priority="502">
      <formula>$E29="MC"</formula>
    </cfRule>
  </conditionalFormatting>
  <conditionalFormatting sqref="B29:C29 F29:H29">
    <cfRule type="expression" dxfId="655" priority="501">
      <formula>$E29="MC"</formula>
    </cfRule>
  </conditionalFormatting>
  <conditionalFormatting sqref="B29:C29 F29:H29">
    <cfRule type="expression" dxfId="654" priority="500">
      <formula>$E29="MC"</formula>
    </cfRule>
  </conditionalFormatting>
  <conditionalFormatting sqref="B29:C29 F29:H29">
    <cfRule type="expression" dxfId="653" priority="499">
      <formula>$E29="MC"</formula>
    </cfRule>
  </conditionalFormatting>
  <conditionalFormatting sqref="B29:C29 F29:H29">
    <cfRule type="expression" dxfId="652" priority="498">
      <formula>$E29="MC"</formula>
    </cfRule>
  </conditionalFormatting>
  <conditionalFormatting sqref="B29:C29 F29:H29">
    <cfRule type="expression" dxfId="651" priority="497">
      <formula>$E29="MC"</formula>
    </cfRule>
  </conditionalFormatting>
  <conditionalFormatting sqref="D29">
    <cfRule type="expression" dxfId="650" priority="496">
      <formula>$E29="MC"</formula>
    </cfRule>
  </conditionalFormatting>
  <conditionalFormatting sqref="D29">
    <cfRule type="expression" dxfId="649" priority="495">
      <formula>$E29="MC"</formula>
    </cfRule>
  </conditionalFormatting>
  <conditionalFormatting sqref="D29">
    <cfRule type="expression" dxfId="648" priority="494">
      <formula>$E29="MC"</formula>
    </cfRule>
  </conditionalFormatting>
  <conditionalFormatting sqref="D29">
    <cfRule type="expression" dxfId="647" priority="493">
      <formula>$E29="MC"</formula>
    </cfRule>
  </conditionalFormatting>
  <conditionalFormatting sqref="D29">
    <cfRule type="expression" dxfId="646" priority="492">
      <formula>$E29="MC"</formula>
    </cfRule>
  </conditionalFormatting>
  <conditionalFormatting sqref="D29">
    <cfRule type="expression" dxfId="645" priority="491">
      <formula>$E29="MC"</formula>
    </cfRule>
  </conditionalFormatting>
  <conditionalFormatting sqref="B29:D29 F29:H29">
    <cfRule type="expression" dxfId="644" priority="490">
      <formula>$E29="MC"</formula>
    </cfRule>
  </conditionalFormatting>
  <conditionalFormatting sqref="B29:D29 F29:H29">
    <cfRule type="expression" dxfId="643" priority="489">
      <formula>$E29="MC"</formula>
    </cfRule>
  </conditionalFormatting>
  <conditionalFormatting sqref="B29:D29 F29:H29">
    <cfRule type="expression" dxfId="642" priority="488">
      <formula>$E29="MC"</formula>
    </cfRule>
  </conditionalFormatting>
  <conditionalFormatting sqref="B29:D29 F29:H29">
    <cfRule type="expression" dxfId="641" priority="487">
      <formula>$E29="MC"</formula>
    </cfRule>
  </conditionalFormatting>
  <conditionalFormatting sqref="B29:D29 F29:H29">
    <cfRule type="expression" dxfId="640" priority="486">
      <formula>$E29="MC"</formula>
    </cfRule>
  </conditionalFormatting>
  <conditionalFormatting sqref="B29:D29 H29 F29">
    <cfRule type="expression" dxfId="639" priority="485">
      <formula>$E29="MC"</formula>
    </cfRule>
  </conditionalFormatting>
  <conditionalFormatting sqref="B29:D29 H29 F29">
    <cfRule type="expression" dxfId="638" priority="484">
      <formula>$E29="MC"</formula>
    </cfRule>
  </conditionalFormatting>
  <conditionalFormatting sqref="G29">
    <cfRule type="expression" dxfId="637" priority="483">
      <formula>$E29="MC"</formula>
    </cfRule>
  </conditionalFormatting>
  <conditionalFormatting sqref="B29:D29 F29:H29">
    <cfRule type="expression" dxfId="636" priority="482">
      <formula>$E29="MC"</formula>
    </cfRule>
  </conditionalFormatting>
  <conditionalFormatting sqref="B29:D29 F29:H29">
    <cfRule type="expression" dxfId="635" priority="481">
      <formula>$E29="MC"</formula>
    </cfRule>
  </conditionalFormatting>
  <conditionalFormatting sqref="B29:D29 F29:H29">
    <cfRule type="expression" dxfId="634" priority="480">
      <formula>$E29="MC"</formula>
    </cfRule>
  </conditionalFormatting>
  <conditionalFormatting sqref="B29:D29 F29:H29">
    <cfRule type="expression" dxfId="633" priority="479">
      <formula>$E29="MC"</formula>
    </cfRule>
  </conditionalFormatting>
  <conditionalFormatting sqref="B29:C29 F29:H29">
    <cfRule type="expression" dxfId="632" priority="478">
      <formula>$E29="MC"</formula>
    </cfRule>
  </conditionalFormatting>
  <conditionalFormatting sqref="B29:C29 F29:H29">
    <cfRule type="expression" dxfId="631" priority="477">
      <formula>$E29="MC"</formula>
    </cfRule>
  </conditionalFormatting>
  <conditionalFormatting sqref="B29:C29 F29:H29">
    <cfRule type="expression" dxfId="630" priority="476">
      <formula>$E29="MC"</formula>
    </cfRule>
  </conditionalFormatting>
  <conditionalFormatting sqref="B29:C29 F29:H29">
    <cfRule type="expression" dxfId="629" priority="475">
      <formula>$E29="MC"</formula>
    </cfRule>
  </conditionalFormatting>
  <conditionalFormatting sqref="B29:C29 F29:H29">
    <cfRule type="expression" dxfId="628" priority="474">
      <formula>$E29="MC"</formula>
    </cfRule>
  </conditionalFormatting>
  <conditionalFormatting sqref="B29:C29 F29:H29">
    <cfRule type="expression" dxfId="627" priority="473">
      <formula>$E29="MC"</formula>
    </cfRule>
  </conditionalFormatting>
  <conditionalFormatting sqref="D29">
    <cfRule type="expression" dxfId="626" priority="472">
      <formula>$E29="MC"</formula>
    </cfRule>
  </conditionalFormatting>
  <conditionalFormatting sqref="D29">
    <cfRule type="expression" dxfId="625" priority="471">
      <formula>$E29="MC"</formula>
    </cfRule>
  </conditionalFormatting>
  <conditionalFormatting sqref="D29">
    <cfRule type="expression" dxfId="624" priority="470">
      <formula>$E29="MC"</formula>
    </cfRule>
  </conditionalFormatting>
  <conditionalFormatting sqref="D29">
    <cfRule type="expression" dxfId="623" priority="469">
      <formula>$E29="MC"</formula>
    </cfRule>
  </conditionalFormatting>
  <conditionalFormatting sqref="D29">
    <cfRule type="expression" dxfId="622" priority="468">
      <formula>$E29="MC"</formula>
    </cfRule>
  </conditionalFormatting>
  <conditionalFormatting sqref="D29">
    <cfRule type="expression" dxfId="621" priority="467">
      <formula>$E29="MC"</formula>
    </cfRule>
  </conditionalFormatting>
  <conditionalFormatting sqref="B29:C29 F29:H29">
    <cfRule type="expression" dxfId="620" priority="466">
      <formula>$E29="MC"</formula>
    </cfRule>
  </conditionalFormatting>
  <conditionalFormatting sqref="B29:C29 F29:H29">
    <cfRule type="expression" dxfId="619" priority="465">
      <formula>$E29="MC"</formula>
    </cfRule>
  </conditionalFormatting>
  <conditionalFormatting sqref="B29:C29 F29:H29">
    <cfRule type="expression" dxfId="618" priority="464">
      <formula>$E29="MC"</formula>
    </cfRule>
  </conditionalFormatting>
  <conditionalFormatting sqref="B29:C29 F29:H29">
    <cfRule type="expression" dxfId="617" priority="463">
      <formula>$E29="MC"</formula>
    </cfRule>
  </conditionalFormatting>
  <conditionalFormatting sqref="B29:C29 F29:H29">
    <cfRule type="expression" dxfId="616" priority="462">
      <formula>$E29="MC"</formula>
    </cfRule>
  </conditionalFormatting>
  <conditionalFormatting sqref="B29:C29 F29:H29">
    <cfRule type="expression" dxfId="615" priority="461">
      <formula>$E29="MC"</formula>
    </cfRule>
  </conditionalFormatting>
  <conditionalFormatting sqref="D29">
    <cfRule type="expression" dxfId="614" priority="460">
      <formula>$E29="MC"</formula>
    </cfRule>
  </conditionalFormatting>
  <conditionalFormatting sqref="D29">
    <cfRule type="expression" dxfId="613" priority="459">
      <formula>$E29="MC"</formula>
    </cfRule>
  </conditionalFormatting>
  <conditionalFormatting sqref="D29">
    <cfRule type="expression" dxfId="612" priority="458">
      <formula>$E29="MC"</formula>
    </cfRule>
  </conditionalFormatting>
  <conditionalFormatting sqref="D29">
    <cfRule type="expression" dxfId="611" priority="457">
      <formula>$E29="MC"</formula>
    </cfRule>
  </conditionalFormatting>
  <conditionalFormatting sqref="D29">
    <cfRule type="expression" dxfId="610" priority="456">
      <formula>$E29="MC"</formula>
    </cfRule>
  </conditionalFormatting>
  <conditionalFormatting sqref="D29">
    <cfRule type="expression" dxfId="609" priority="455">
      <formula>$E29="MC"</formula>
    </cfRule>
  </conditionalFormatting>
  <conditionalFormatting sqref="B29:D29 F29:H29">
    <cfRule type="expression" dxfId="608" priority="454">
      <formula>$E29="MC"</formula>
    </cfRule>
  </conditionalFormatting>
  <conditionalFormatting sqref="B29:D29 F29:H29">
    <cfRule type="expression" dxfId="607" priority="453">
      <formula>$E29="MC"</formula>
    </cfRule>
  </conditionalFormatting>
  <conditionalFormatting sqref="B29:D29 F29:H29">
    <cfRule type="expression" dxfId="606" priority="452">
      <formula>$E29="MC"</formula>
    </cfRule>
  </conditionalFormatting>
  <conditionalFormatting sqref="B29:D29 F29:H29">
    <cfRule type="expression" dxfId="605" priority="451">
      <formula>$E29="MC"</formula>
    </cfRule>
  </conditionalFormatting>
  <conditionalFormatting sqref="B29:D29 F29:H29">
    <cfRule type="expression" dxfId="604" priority="450">
      <formula>$E29="MC"</formula>
    </cfRule>
  </conditionalFormatting>
  <conditionalFormatting sqref="B29:C29 F29:H29">
    <cfRule type="expression" dxfId="603" priority="449">
      <formula>$E29="MC"</formula>
    </cfRule>
  </conditionalFormatting>
  <conditionalFormatting sqref="B29:C29 F29:H29">
    <cfRule type="expression" dxfId="602" priority="448">
      <formula>$E29="MC"</formula>
    </cfRule>
  </conditionalFormatting>
  <conditionalFormatting sqref="B29:C29 F29:H29">
    <cfRule type="expression" dxfId="601" priority="447">
      <formula>$E29="MC"</formula>
    </cfRule>
  </conditionalFormatting>
  <conditionalFormatting sqref="B29:C29 F29:H29">
    <cfRule type="expression" dxfId="600" priority="446">
      <formula>$E29="MC"</formula>
    </cfRule>
  </conditionalFormatting>
  <conditionalFormatting sqref="B29:C29 F29:H29">
    <cfRule type="expression" dxfId="599" priority="445">
      <formula>$E29="MC"</formula>
    </cfRule>
  </conditionalFormatting>
  <conditionalFormatting sqref="B29:C29 F29:H29">
    <cfRule type="expression" dxfId="598" priority="444">
      <formula>$E29="MC"</formula>
    </cfRule>
  </conditionalFormatting>
  <conditionalFormatting sqref="D29">
    <cfRule type="expression" dxfId="597" priority="443">
      <formula>$E29="MC"</formula>
    </cfRule>
  </conditionalFormatting>
  <conditionalFormatting sqref="D29">
    <cfRule type="expression" dxfId="596" priority="442">
      <formula>$E29="MC"</formula>
    </cfRule>
  </conditionalFormatting>
  <conditionalFormatting sqref="D29">
    <cfRule type="expression" dxfId="595" priority="441">
      <formula>$E29="MC"</formula>
    </cfRule>
  </conditionalFormatting>
  <conditionalFormatting sqref="D29">
    <cfRule type="expression" dxfId="594" priority="440">
      <formula>$E29="MC"</formula>
    </cfRule>
  </conditionalFormatting>
  <conditionalFormatting sqref="D29">
    <cfRule type="expression" dxfId="593" priority="439">
      <formula>$E29="MC"</formula>
    </cfRule>
  </conditionalFormatting>
  <conditionalFormatting sqref="D29">
    <cfRule type="expression" dxfId="592" priority="438">
      <formula>$E29="MC"</formula>
    </cfRule>
  </conditionalFormatting>
  <conditionalFormatting sqref="B29:D29 F29:H29">
    <cfRule type="expression" dxfId="591" priority="437">
      <formula>$E29="MC"</formula>
    </cfRule>
  </conditionalFormatting>
  <conditionalFormatting sqref="B29:D29 F29:H29">
    <cfRule type="expression" dxfId="590" priority="436">
      <formula>$E29="MC"</formula>
    </cfRule>
  </conditionalFormatting>
  <conditionalFormatting sqref="B29:D29 F29:H29">
    <cfRule type="expression" dxfId="589" priority="435">
      <formula>$E29="MC"</formula>
    </cfRule>
  </conditionalFormatting>
  <conditionalFormatting sqref="B29:D29 F29:H29">
    <cfRule type="expression" dxfId="588" priority="434">
      <formula>$E29="MC"</formula>
    </cfRule>
  </conditionalFormatting>
  <conditionalFormatting sqref="B29:D29 F29:H29">
    <cfRule type="expression" dxfId="587" priority="433">
      <formula>$E29="MC"</formula>
    </cfRule>
  </conditionalFormatting>
  <conditionalFormatting sqref="B29:D29 F29:H29">
    <cfRule type="expression" dxfId="586" priority="432">
      <formula>$E29="MC"</formula>
    </cfRule>
  </conditionalFormatting>
  <conditionalFormatting sqref="B29:D29 F29:H29">
    <cfRule type="expression" dxfId="585" priority="431">
      <formula>$E29="MC"</formula>
    </cfRule>
  </conditionalFormatting>
  <conditionalFormatting sqref="B29:D29 F29:H29">
    <cfRule type="expression" dxfId="584" priority="430">
      <formula>$E29="MC"</formula>
    </cfRule>
  </conditionalFormatting>
  <conditionalFormatting sqref="B29:D29 F29:H29">
    <cfRule type="expression" dxfId="583" priority="429">
      <formula>$E29="MC"</formula>
    </cfRule>
  </conditionalFormatting>
  <conditionalFormatting sqref="B29:D29 F29:H29">
    <cfRule type="expression" dxfId="582" priority="428">
      <formula>$E29="MC"</formula>
    </cfRule>
  </conditionalFormatting>
  <conditionalFormatting sqref="D29">
    <cfRule type="expression" dxfId="581" priority="427">
      <formula>$E29="MC"</formula>
    </cfRule>
  </conditionalFormatting>
  <conditionalFormatting sqref="B29:C29 F29:H29">
    <cfRule type="expression" dxfId="580" priority="426">
      <formula>$E29="MC"</formula>
    </cfRule>
  </conditionalFormatting>
  <conditionalFormatting sqref="B29:C29 F29:H29">
    <cfRule type="expression" dxfId="579" priority="425">
      <formula>$E29="MC"</formula>
    </cfRule>
  </conditionalFormatting>
  <conditionalFormatting sqref="B29:C29 F29:H29">
    <cfRule type="expression" dxfId="578" priority="424">
      <formula>$E29="MC"</formula>
    </cfRule>
  </conditionalFormatting>
  <conditionalFormatting sqref="B29:C29 F29:H29">
    <cfRule type="expression" dxfId="577" priority="423">
      <formula>$E29="MC"</formula>
    </cfRule>
  </conditionalFormatting>
  <conditionalFormatting sqref="B29:C29 F29:H29">
    <cfRule type="expression" dxfId="576" priority="422">
      <formula>$E29="MC"</formula>
    </cfRule>
  </conditionalFormatting>
  <conditionalFormatting sqref="B29:C29 F29:H29">
    <cfRule type="expression" dxfId="575" priority="421">
      <formula>$E29="MC"</formula>
    </cfRule>
  </conditionalFormatting>
  <conditionalFormatting sqref="D29">
    <cfRule type="expression" dxfId="574" priority="420">
      <formula>$E29="MC"</formula>
    </cfRule>
  </conditionalFormatting>
  <conditionalFormatting sqref="D29">
    <cfRule type="expression" dxfId="573" priority="419">
      <formula>$E29="MC"</formula>
    </cfRule>
  </conditionalFormatting>
  <conditionalFormatting sqref="D29">
    <cfRule type="expression" dxfId="572" priority="418">
      <formula>$E29="MC"</formula>
    </cfRule>
  </conditionalFormatting>
  <conditionalFormatting sqref="D29">
    <cfRule type="expression" dxfId="571" priority="417">
      <formula>$E29="MC"</formula>
    </cfRule>
  </conditionalFormatting>
  <conditionalFormatting sqref="D29">
    <cfRule type="expression" dxfId="570" priority="416">
      <formula>$E29="MC"</formula>
    </cfRule>
  </conditionalFormatting>
  <conditionalFormatting sqref="D29">
    <cfRule type="expression" dxfId="569" priority="415">
      <formula>$E29="MC"</formula>
    </cfRule>
  </conditionalFormatting>
  <conditionalFormatting sqref="B29:D29 F29:H29">
    <cfRule type="expression" dxfId="568" priority="414">
      <formula>$E29="MC"</formula>
    </cfRule>
  </conditionalFormatting>
  <conditionalFormatting sqref="B29:D29 F29:H29">
    <cfRule type="expression" dxfId="567" priority="413">
      <formula>$E29="MC"</formula>
    </cfRule>
  </conditionalFormatting>
  <conditionalFormatting sqref="B29:D29 F29:H29">
    <cfRule type="expression" dxfId="566" priority="412">
      <formula>$E29="MC"</formula>
    </cfRule>
  </conditionalFormatting>
  <conditionalFormatting sqref="B29:D29 F29:H29">
    <cfRule type="expression" dxfId="565" priority="411">
      <formula>$E29="MC"</formula>
    </cfRule>
  </conditionalFormatting>
  <conditionalFormatting sqref="B29:D29 F29:H29">
    <cfRule type="expression" dxfId="564" priority="410">
      <formula>$E29="MC"</formula>
    </cfRule>
  </conditionalFormatting>
  <conditionalFormatting sqref="B29:D29 F29:H29">
    <cfRule type="expression" dxfId="563" priority="409">
      <formula>$E29="MC"</formula>
    </cfRule>
  </conditionalFormatting>
  <conditionalFormatting sqref="B29:D29 F29:H29">
    <cfRule type="expression" dxfId="562" priority="408">
      <formula>$E29="MC"</formula>
    </cfRule>
  </conditionalFormatting>
  <conditionalFormatting sqref="B29:D29 F29:H29">
    <cfRule type="expression" dxfId="561" priority="407">
      <formula>$E29="MC"</formula>
    </cfRule>
  </conditionalFormatting>
  <conditionalFormatting sqref="B29:D29 F29:H29">
    <cfRule type="expression" dxfId="560" priority="406">
      <formula>$E29="MC"</formula>
    </cfRule>
  </conditionalFormatting>
  <conditionalFormatting sqref="B29:D29 F29:H29">
    <cfRule type="expression" dxfId="559" priority="405">
      <formula>$E29="MC"</formula>
    </cfRule>
  </conditionalFormatting>
  <conditionalFormatting sqref="D29">
    <cfRule type="expression" dxfId="558" priority="404">
      <formula>$E29="MC"</formula>
    </cfRule>
  </conditionalFormatting>
  <conditionalFormatting sqref="B29:D29 F29:H29">
    <cfRule type="expression" dxfId="557" priority="403">
      <formula>$E29="MC"</formula>
    </cfRule>
  </conditionalFormatting>
  <conditionalFormatting sqref="B29:D29 F29:H29">
    <cfRule type="expression" dxfId="556" priority="402">
      <formula>$E29="MC"</formula>
    </cfRule>
  </conditionalFormatting>
  <conditionalFormatting sqref="B29:D29 F29:H29">
    <cfRule type="expression" dxfId="555" priority="401">
      <formula>$E29="MC"</formula>
    </cfRule>
  </conditionalFormatting>
  <conditionalFormatting sqref="B29:D29 F29:H29">
    <cfRule type="expression" dxfId="554" priority="400">
      <formula>$E29="MC"</formula>
    </cfRule>
  </conditionalFormatting>
  <conditionalFormatting sqref="B29:D29 F29:H29">
    <cfRule type="expression" dxfId="553" priority="399">
      <formula>$E29="MC"</formula>
    </cfRule>
  </conditionalFormatting>
  <conditionalFormatting sqref="D29">
    <cfRule type="expression" dxfId="552" priority="398">
      <formula>$E29="MC"</formula>
    </cfRule>
  </conditionalFormatting>
  <conditionalFormatting sqref="D29">
    <cfRule type="expression" dxfId="551" priority="397">
      <formula>$E29="MC"</formula>
    </cfRule>
  </conditionalFormatting>
  <conditionalFormatting sqref="E29">
    <cfRule type="expression" dxfId="550" priority="396">
      <formula>$E29="MC"</formula>
    </cfRule>
  </conditionalFormatting>
  <conditionalFormatting sqref="D30">
    <cfRule type="expression" dxfId="549" priority="287">
      <formula>$E30="MC"</formula>
    </cfRule>
  </conditionalFormatting>
  <conditionalFormatting sqref="B30:D30 F30:H30">
    <cfRule type="expression" dxfId="548" priority="395">
      <formula>$E30="MC"</formula>
    </cfRule>
  </conditionalFormatting>
  <conditionalFormatting sqref="B30:D30 F30:H30">
    <cfRule type="expression" dxfId="547" priority="394">
      <formula>$E30="MC"</formula>
    </cfRule>
  </conditionalFormatting>
  <conditionalFormatting sqref="B30:D30 F30:H30">
    <cfRule type="expression" dxfId="546" priority="393">
      <formula>$E30="MC"</formula>
    </cfRule>
  </conditionalFormatting>
  <conditionalFormatting sqref="B30:D30 F30:H30">
    <cfRule type="expression" dxfId="545" priority="392">
      <formula>$E30="MC"</formula>
    </cfRule>
  </conditionalFormatting>
  <conditionalFormatting sqref="B30:D30 F30:H30">
    <cfRule type="expression" dxfId="544" priority="391">
      <formula>$E30="MC"</formula>
    </cfRule>
  </conditionalFormatting>
  <conditionalFormatting sqref="B30:D30 F30:H30">
    <cfRule type="expression" dxfId="543" priority="390">
      <formula>$E30="MC"</formula>
    </cfRule>
  </conditionalFormatting>
  <conditionalFormatting sqref="B30:D30 F30:H30">
    <cfRule type="expression" dxfId="542" priority="389">
      <formula>$E30="MC"</formula>
    </cfRule>
  </conditionalFormatting>
  <conditionalFormatting sqref="B30:D30 F30:H30">
    <cfRule type="expression" dxfId="541" priority="388">
      <formula>$E30="MC"</formula>
    </cfRule>
  </conditionalFormatting>
  <conditionalFormatting sqref="B30:D30 F30:H30">
    <cfRule type="expression" dxfId="540" priority="387">
      <formula>$E30="MC"</formula>
    </cfRule>
  </conditionalFormatting>
  <conditionalFormatting sqref="B30 D30 F30:H30">
    <cfRule type="expression" dxfId="539" priority="386">
      <formula>$E30="MC"</formula>
    </cfRule>
  </conditionalFormatting>
  <conditionalFormatting sqref="C30">
    <cfRule type="expression" dxfId="538" priority="385">
      <formula>$E30="MC"</formula>
    </cfRule>
  </conditionalFormatting>
  <conditionalFormatting sqref="B30:D30 F30:H30">
    <cfRule type="expression" dxfId="537" priority="384">
      <formula>$E30="MC"</formula>
    </cfRule>
  </conditionalFormatting>
  <conditionalFormatting sqref="B30:D30 F30:H30">
    <cfRule type="expression" dxfId="536" priority="383">
      <formula>$E30="MC"</formula>
    </cfRule>
  </conditionalFormatting>
  <conditionalFormatting sqref="B30:D30 F30:H30">
    <cfRule type="expression" dxfId="535" priority="382">
      <formula>$E30="MC"</formula>
    </cfRule>
  </conditionalFormatting>
  <conditionalFormatting sqref="B30:D30 F30:H30">
    <cfRule type="expression" dxfId="534" priority="379">
      <formula>$E30="MC"</formula>
    </cfRule>
  </conditionalFormatting>
  <conditionalFormatting sqref="B30:D30 F30:H30">
    <cfRule type="expression" dxfId="533" priority="378">
      <formula>$E30="MC"</formula>
    </cfRule>
  </conditionalFormatting>
  <conditionalFormatting sqref="B30:D30 F30:H30">
    <cfRule type="expression" dxfId="532" priority="377">
      <formula>$E30="MC"</formula>
    </cfRule>
  </conditionalFormatting>
  <conditionalFormatting sqref="B30:D30 F30:H30">
    <cfRule type="expression" dxfId="531" priority="381">
      <formula>$E30="MC"</formula>
    </cfRule>
  </conditionalFormatting>
  <conditionalFormatting sqref="B30:D30 F30:H30">
    <cfRule type="expression" dxfId="530" priority="380">
      <formula>$E30="MC"</formula>
    </cfRule>
  </conditionalFormatting>
  <conditionalFormatting sqref="B30:D30 F30:H30">
    <cfRule type="expression" dxfId="529" priority="376">
      <formula>$E30="MC"</formula>
    </cfRule>
  </conditionalFormatting>
  <conditionalFormatting sqref="B30:D30 F30:H30">
    <cfRule type="expression" dxfId="528" priority="373">
      <formula>$E30="MC"</formula>
    </cfRule>
  </conditionalFormatting>
  <conditionalFormatting sqref="B30:D30 F30:H30">
    <cfRule type="expression" dxfId="527" priority="372">
      <formula>$E30="MC"</formula>
    </cfRule>
  </conditionalFormatting>
  <conditionalFormatting sqref="B30:D30 F30:H30">
    <cfRule type="expression" dxfId="526" priority="371">
      <formula>$E30="MC"</formula>
    </cfRule>
  </conditionalFormatting>
  <conditionalFormatting sqref="B30:D30 F30:H30">
    <cfRule type="expression" dxfId="525" priority="375">
      <formula>$E30="MC"</formula>
    </cfRule>
  </conditionalFormatting>
  <conditionalFormatting sqref="B30:D30 F30:H30">
    <cfRule type="expression" dxfId="524" priority="374">
      <formula>$E30="MC"</formula>
    </cfRule>
  </conditionalFormatting>
  <conditionalFormatting sqref="B30 D30 F30:H30">
    <cfRule type="expression" dxfId="523" priority="370">
      <formula>$E30="MC"</formula>
    </cfRule>
  </conditionalFormatting>
  <conditionalFormatting sqref="B30:C30 F30:H30">
    <cfRule type="expression" dxfId="522" priority="369">
      <formula>$E30="MC"</formula>
    </cfRule>
  </conditionalFormatting>
  <conditionalFormatting sqref="C30">
    <cfRule type="expression" dxfId="521" priority="368">
      <formula>$E30="MC"</formula>
    </cfRule>
  </conditionalFormatting>
  <conditionalFormatting sqref="B30:C30 F30:H30">
    <cfRule type="expression" dxfId="520" priority="367">
      <formula>$E30="MC"</formula>
    </cfRule>
  </conditionalFormatting>
  <conditionalFormatting sqref="B30:D30 F30:H30">
    <cfRule type="expression" dxfId="519" priority="366">
      <formula>$E30="MC"</formula>
    </cfRule>
  </conditionalFormatting>
  <conditionalFormatting sqref="B30:D30 F30:H30">
    <cfRule type="expression" dxfId="518" priority="365">
      <formula>$E30="MC"</formula>
    </cfRule>
  </conditionalFormatting>
  <conditionalFormatting sqref="B30:D30 F30:H30">
    <cfRule type="expression" dxfId="517" priority="364">
      <formula>$E30="MC"</formula>
    </cfRule>
  </conditionalFormatting>
  <conditionalFormatting sqref="B30:D30 H30 F30">
    <cfRule type="expression" dxfId="516" priority="363">
      <formula>$E30="MC"</formula>
    </cfRule>
  </conditionalFormatting>
  <conditionalFormatting sqref="B30:D30 H30 F30">
    <cfRule type="expression" dxfId="515" priority="362">
      <formula>$E30="MC"</formula>
    </cfRule>
  </conditionalFormatting>
  <conditionalFormatting sqref="G30">
    <cfRule type="expression" dxfId="514" priority="361">
      <formula>$E30="MC"</formula>
    </cfRule>
  </conditionalFormatting>
  <conditionalFormatting sqref="B30:D30 F30:H30">
    <cfRule type="expression" dxfId="513" priority="360">
      <formula>$E30="MC"</formula>
    </cfRule>
  </conditionalFormatting>
  <conditionalFormatting sqref="B30:D30 F30:H30">
    <cfRule type="expression" dxfId="512" priority="359">
      <formula>$E30="MC"</formula>
    </cfRule>
  </conditionalFormatting>
  <conditionalFormatting sqref="B30:D30 F30:H30">
    <cfRule type="expression" dxfId="511" priority="358">
      <formula>$E30="MC"</formula>
    </cfRule>
  </conditionalFormatting>
  <conditionalFormatting sqref="B30:D30 F30:H30">
    <cfRule type="expression" dxfId="510" priority="357">
      <formula>$E30="MC"</formula>
    </cfRule>
  </conditionalFormatting>
  <conditionalFormatting sqref="B30:D30 F30:H30">
    <cfRule type="expression" dxfId="509" priority="356">
      <formula>$E30="MC"</formula>
    </cfRule>
  </conditionalFormatting>
  <conditionalFormatting sqref="B30:D30 F30:H30">
    <cfRule type="expression" dxfId="508" priority="355">
      <formula>$E30="MC"</formula>
    </cfRule>
  </conditionalFormatting>
  <conditionalFormatting sqref="B30:D30 F30:H30">
    <cfRule type="expression" dxfId="507" priority="354">
      <formula>$E30="MC"</formula>
    </cfRule>
  </conditionalFormatting>
  <conditionalFormatting sqref="B30:D30 F30:H30">
    <cfRule type="expression" dxfId="506" priority="353">
      <formula>$E30="MC"</formula>
    </cfRule>
  </conditionalFormatting>
  <conditionalFormatting sqref="B30:D30 F30:H30">
    <cfRule type="expression" dxfId="505" priority="352">
      <formula>$E30="MC"</formula>
    </cfRule>
  </conditionalFormatting>
  <conditionalFormatting sqref="B30:D30 F30:H30">
    <cfRule type="expression" dxfId="504" priority="351">
      <formula>$E30="MC"</formula>
    </cfRule>
  </conditionalFormatting>
  <conditionalFormatting sqref="B30:D30 F30:H30">
    <cfRule type="expression" dxfId="503" priority="350">
      <formula>$E30="MC"</formula>
    </cfRule>
  </conditionalFormatting>
  <conditionalFormatting sqref="B30:D30 F30:H30">
    <cfRule type="expression" dxfId="502" priority="349">
      <formula>$E30="MC"</formula>
    </cfRule>
  </conditionalFormatting>
  <conditionalFormatting sqref="B30:D30 H30 F30">
    <cfRule type="expression" dxfId="501" priority="348">
      <formula>$E30="MC"</formula>
    </cfRule>
  </conditionalFormatting>
  <conditionalFormatting sqref="B30:D30 H30 F30">
    <cfRule type="expression" dxfId="500" priority="347">
      <formula>$E30="MC"</formula>
    </cfRule>
  </conditionalFormatting>
  <conditionalFormatting sqref="G30">
    <cfRule type="expression" dxfId="499" priority="346">
      <formula>$E30="MC"</formula>
    </cfRule>
  </conditionalFormatting>
  <conditionalFormatting sqref="B30:D30 F30:H30">
    <cfRule type="expression" dxfId="498" priority="345">
      <formula>$E30="MC"</formula>
    </cfRule>
  </conditionalFormatting>
  <conditionalFormatting sqref="B30:D30 F30:H30">
    <cfRule type="expression" dxfId="497" priority="344">
      <formula>$E30="MC"</formula>
    </cfRule>
  </conditionalFormatting>
  <conditionalFormatting sqref="B30:D30 F30:H30">
    <cfRule type="expression" dxfId="496" priority="343">
      <formula>$E30="MC"</formula>
    </cfRule>
  </conditionalFormatting>
  <conditionalFormatting sqref="B30:D30 F30:H30">
    <cfRule type="expression" dxfId="495" priority="342">
      <formula>$E30="MC"</formula>
    </cfRule>
  </conditionalFormatting>
  <conditionalFormatting sqref="B30:C30 F30:H30">
    <cfRule type="expression" dxfId="494" priority="341">
      <formula>$E30="MC"</formula>
    </cfRule>
  </conditionalFormatting>
  <conditionalFormatting sqref="B30:C30 F30:H30">
    <cfRule type="expression" dxfId="493" priority="340">
      <formula>$E30="MC"</formula>
    </cfRule>
  </conditionalFormatting>
  <conditionalFormatting sqref="B30:C30 F30:H30">
    <cfRule type="expression" dxfId="492" priority="339">
      <formula>$E30="MC"</formula>
    </cfRule>
  </conditionalFormatting>
  <conditionalFormatting sqref="B30:C30 F30:H30">
    <cfRule type="expression" dxfId="491" priority="338">
      <formula>$E30="MC"</formula>
    </cfRule>
  </conditionalFormatting>
  <conditionalFormatting sqref="B30:C30 F30:H30">
    <cfRule type="expression" dxfId="490" priority="337">
      <formula>$E30="MC"</formula>
    </cfRule>
  </conditionalFormatting>
  <conditionalFormatting sqref="B30:C30 F30:H30">
    <cfRule type="expression" dxfId="489" priority="336">
      <formula>$E30="MC"</formula>
    </cfRule>
  </conditionalFormatting>
  <conditionalFormatting sqref="D30">
    <cfRule type="expression" dxfId="488" priority="335">
      <formula>$E30="MC"</formula>
    </cfRule>
  </conditionalFormatting>
  <conditionalFormatting sqref="D30">
    <cfRule type="expression" dxfId="487" priority="334">
      <formula>$E30="MC"</formula>
    </cfRule>
  </conditionalFormatting>
  <conditionalFormatting sqref="D30">
    <cfRule type="expression" dxfId="486" priority="333">
      <formula>$E30="MC"</formula>
    </cfRule>
  </conditionalFormatting>
  <conditionalFormatting sqref="D30">
    <cfRule type="expression" dxfId="485" priority="332">
      <formula>$E30="MC"</formula>
    </cfRule>
  </conditionalFormatting>
  <conditionalFormatting sqref="D30">
    <cfRule type="expression" dxfId="484" priority="331">
      <formula>$E30="MC"</formula>
    </cfRule>
  </conditionalFormatting>
  <conditionalFormatting sqref="D30">
    <cfRule type="expression" dxfId="483" priority="330">
      <formula>$E30="MC"</formula>
    </cfRule>
  </conditionalFormatting>
  <conditionalFormatting sqref="B30:D30 F30:H30">
    <cfRule type="expression" dxfId="482" priority="329">
      <formula>$E30="MC"</formula>
    </cfRule>
  </conditionalFormatting>
  <conditionalFormatting sqref="B30:D30 F30:H30">
    <cfRule type="expression" dxfId="481" priority="328">
      <formula>$E30="MC"</formula>
    </cfRule>
  </conditionalFormatting>
  <conditionalFormatting sqref="B30:D30 F30:H30">
    <cfRule type="expression" dxfId="480" priority="327">
      <formula>$E30="MC"</formula>
    </cfRule>
  </conditionalFormatting>
  <conditionalFormatting sqref="B30:D30 F30:H30">
    <cfRule type="expression" dxfId="479" priority="326">
      <formula>$E30="MC"</formula>
    </cfRule>
  </conditionalFormatting>
  <conditionalFormatting sqref="B30:D30 F30:H30">
    <cfRule type="expression" dxfId="478" priority="325">
      <formula>$E30="MC"</formula>
    </cfRule>
  </conditionalFormatting>
  <conditionalFormatting sqref="B30:D30 F30:H30">
    <cfRule type="expression" dxfId="477" priority="324">
      <formula>$E30="MC"</formula>
    </cfRule>
  </conditionalFormatting>
  <conditionalFormatting sqref="B30:D30 H30 F30">
    <cfRule type="expression" dxfId="476" priority="323">
      <formula>$E30="MC"</formula>
    </cfRule>
  </conditionalFormatting>
  <conditionalFormatting sqref="B30:D30 H30 F30">
    <cfRule type="expression" dxfId="475" priority="322">
      <formula>$E30="MC"</formula>
    </cfRule>
  </conditionalFormatting>
  <conditionalFormatting sqref="G30">
    <cfRule type="expression" dxfId="474" priority="321">
      <formula>$E30="MC"</formula>
    </cfRule>
  </conditionalFormatting>
  <conditionalFormatting sqref="B30:D30 F30:H30">
    <cfRule type="expression" dxfId="473" priority="320">
      <formula>$E30="MC"</formula>
    </cfRule>
  </conditionalFormatting>
  <conditionalFormatting sqref="B30:D30 F30:H30">
    <cfRule type="expression" dxfId="472" priority="319">
      <formula>$E30="MC"</formula>
    </cfRule>
  </conditionalFormatting>
  <conditionalFormatting sqref="B30:D30 F30:H30">
    <cfRule type="expression" dxfId="471" priority="318">
      <formula>$E30="MC"</formula>
    </cfRule>
  </conditionalFormatting>
  <conditionalFormatting sqref="B30:D30 F30:H30">
    <cfRule type="expression" dxfId="470" priority="317">
      <formula>$E30="MC"</formula>
    </cfRule>
  </conditionalFormatting>
  <conditionalFormatting sqref="B30:C30 F30:H30">
    <cfRule type="expression" dxfId="469" priority="316">
      <formula>$E30="MC"</formula>
    </cfRule>
  </conditionalFormatting>
  <conditionalFormatting sqref="B30:C30 F30:H30">
    <cfRule type="expression" dxfId="468" priority="315">
      <formula>$E30="MC"</formula>
    </cfRule>
  </conditionalFormatting>
  <conditionalFormatting sqref="B30:C30 F30:H30">
    <cfRule type="expression" dxfId="467" priority="314">
      <formula>$E30="MC"</formula>
    </cfRule>
  </conditionalFormatting>
  <conditionalFormatting sqref="B30:C30 F30:H30">
    <cfRule type="expression" dxfId="466" priority="313">
      <formula>$E30="MC"</formula>
    </cfRule>
  </conditionalFormatting>
  <conditionalFormatting sqref="B30:C30 F30:H30">
    <cfRule type="expression" dxfId="465" priority="312">
      <formula>$E30="MC"</formula>
    </cfRule>
  </conditionalFormatting>
  <conditionalFormatting sqref="B30:C30 F30:H30">
    <cfRule type="expression" dxfId="464" priority="311">
      <formula>$E30="MC"</formula>
    </cfRule>
  </conditionalFormatting>
  <conditionalFormatting sqref="D30">
    <cfRule type="expression" dxfId="463" priority="310">
      <formula>$E30="MC"</formula>
    </cfRule>
  </conditionalFormatting>
  <conditionalFormatting sqref="D30">
    <cfRule type="expression" dxfId="462" priority="309">
      <formula>$E30="MC"</formula>
    </cfRule>
  </conditionalFormatting>
  <conditionalFormatting sqref="D30">
    <cfRule type="expression" dxfId="461" priority="308">
      <formula>$E30="MC"</formula>
    </cfRule>
  </conditionalFormatting>
  <conditionalFormatting sqref="D30">
    <cfRule type="expression" dxfId="460" priority="307">
      <formula>$E30="MC"</formula>
    </cfRule>
  </conditionalFormatting>
  <conditionalFormatting sqref="D30">
    <cfRule type="expression" dxfId="459" priority="306">
      <formula>$E30="MC"</formula>
    </cfRule>
  </conditionalFormatting>
  <conditionalFormatting sqref="D30">
    <cfRule type="expression" dxfId="458" priority="305">
      <formula>$E30="MC"</formula>
    </cfRule>
  </conditionalFormatting>
  <conditionalFormatting sqref="B30:D30 H30 F30">
    <cfRule type="expression" dxfId="457" priority="304">
      <formula>$E30="MC"</formula>
    </cfRule>
  </conditionalFormatting>
  <conditionalFormatting sqref="B30:D30 H30 F30">
    <cfRule type="expression" dxfId="456" priority="303">
      <formula>$E30="MC"</formula>
    </cfRule>
  </conditionalFormatting>
  <conditionalFormatting sqref="G30">
    <cfRule type="expression" dxfId="455" priority="302">
      <formula>$E30="MC"</formula>
    </cfRule>
  </conditionalFormatting>
  <conditionalFormatting sqref="B30:D30 F30:H30">
    <cfRule type="expression" dxfId="454" priority="301">
      <formula>$E30="MC"</formula>
    </cfRule>
  </conditionalFormatting>
  <conditionalFormatting sqref="B30:D30 F30:H30">
    <cfRule type="expression" dxfId="453" priority="300">
      <formula>$E30="MC"</formula>
    </cfRule>
  </conditionalFormatting>
  <conditionalFormatting sqref="B30:D30 F30:H30">
    <cfRule type="expression" dxfId="452" priority="299">
      <formula>$E30="MC"</formula>
    </cfRule>
  </conditionalFormatting>
  <conditionalFormatting sqref="B30:D30 F30:H30">
    <cfRule type="expression" dxfId="451" priority="298">
      <formula>$E30="MC"</formula>
    </cfRule>
  </conditionalFormatting>
  <conditionalFormatting sqref="B30:C30 F30:H30">
    <cfRule type="expression" dxfId="450" priority="297">
      <formula>$E30="MC"</formula>
    </cfRule>
  </conditionalFormatting>
  <conditionalFormatting sqref="B30:C30 F30:H30">
    <cfRule type="expression" dxfId="449" priority="296">
      <formula>$E30="MC"</formula>
    </cfRule>
  </conditionalFormatting>
  <conditionalFormatting sqref="B30:C30 F30:H30">
    <cfRule type="expression" dxfId="448" priority="295">
      <formula>$E30="MC"</formula>
    </cfRule>
  </conditionalFormatting>
  <conditionalFormatting sqref="B30:C30 F30:H30">
    <cfRule type="expression" dxfId="447" priority="294">
      <formula>$E30="MC"</formula>
    </cfRule>
  </conditionalFormatting>
  <conditionalFormatting sqref="B30:C30 F30:H30">
    <cfRule type="expression" dxfId="446" priority="293">
      <formula>$E30="MC"</formula>
    </cfRule>
  </conditionalFormatting>
  <conditionalFormatting sqref="B30:C30 F30:H30">
    <cfRule type="expression" dxfId="445" priority="292">
      <formula>$E30="MC"</formula>
    </cfRule>
  </conditionalFormatting>
  <conditionalFormatting sqref="D30">
    <cfRule type="expression" dxfId="444" priority="291">
      <formula>$E30="MC"</formula>
    </cfRule>
  </conditionalFormatting>
  <conditionalFormatting sqref="D30">
    <cfRule type="expression" dxfId="443" priority="290">
      <formula>$E30="MC"</formula>
    </cfRule>
  </conditionalFormatting>
  <conditionalFormatting sqref="D30">
    <cfRule type="expression" dxfId="442" priority="289">
      <formula>$E30="MC"</formula>
    </cfRule>
  </conditionalFormatting>
  <conditionalFormatting sqref="D30">
    <cfRule type="expression" dxfId="441" priority="288">
      <formula>$E30="MC"</formula>
    </cfRule>
  </conditionalFormatting>
  <conditionalFormatting sqref="D30">
    <cfRule type="expression" dxfId="440" priority="286">
      <formula>$E30="MC"</formula>
    </cfRule>
  </conditionalFormatting>
  <conditionalFormatting sqref="B30:C30 F30:H30">
    <cfRule type="expression" dxfId="439" priority="285">
      <formula>$E30="MC"</formula>
    </cfRule>
  </conditionalFormatting>
  <conditionalFormatting sqref="B30:C30 F30:H30">
    <cfRule type="expression" dxfId="438" priority="284">
      <formula>$E30="MC"</formula>
    </cfRule>
  </conditionalFormatting>
  <conditionalFormatting sqref="B30:C30 F30:H30">
    <cfRule type="expression" dxfId="437" priority="283">
      <formula>$E30="MC"</formula>
    </cfRule>
  </conditionalFormatting>
  <conditionalFormatting sqref="B30:C30 F30:H30">
    <cfRule type="expression" dxfId="436" priority="282">
      <formula>$E30="MC"</formula>
    </cfRule>
  </conditionalFormatting>
  <conditionalFormatting sqref="B30:C30 F30:H30">
    <cfRule type="expression" dxfId="435" priority="281">
      <formula>$E30="MC"</formula>
    </cfRule>
  </conditionalFormatting>
  <conditionalFormatting sqref="B30:C30 F30:H30">
    <cfRule type="expression" dxfId="434" priority="280">
      <formula>$E30="MC"</formula>
    </cfRule>
  </conditionalFormatting>
  <conditionalFormatting sqref="D30">
    <cfRule type="expression" dxfId="433" priority="279">
      <formula>$E30="MC"</formula>
    </cfRule>
  </conditionalFormatting>
  <conditionalFormatting sqref="D30">
    <cfRule type="expression" dxfId="432" priority="278">
      <formula>$E30="MC"</formula>
    </cfRule>
  </conditionalFormatting>
  <conditionalFormatting sqref="D30">
    <cfRule type="expression" dxfId="431" priority="277">
      <formula>$E30="MC"</formula>
    </cfRule>
  </conditionalFormatting>
  <conditionalFormatting sqref="D30">
    <cfRule type="expression" dxfId="430" priority="276">
      <formula>$E30="MC"</formula>
    </cfRule>
  </conditionalFormatting>
  <conditionalFormatting sqref="D30">
    <cfRule type="expression" dxfId="429" priority="275">
      <formula>$E30="MC"</formula>
    </cfRule>
  </conditionalFormatting>
  <conditionalFormatting sqref="D30">
    <cfRule type="expression" dxfId="428" priority="274">
      <formula>$E30="MC"</formula>
    </cfRule>
  </conditionalFormatting>
  <conditionalFormatting sqref="B30:D30 F30:H30">
    <cfRule type="expression" dxfId="427" priority="273">
      <formula>$E30="MC"</formula>
    </cfRule>
  </conditionalFormatting>
  <conditionalFormatting sqref="B30:D30 F30:H30">
    <cfRule type="expression" dxfId="426" priority="272">
      <formula>$E30="MC"</formula>
    </cfRule>
  </conditionalFormatting>
  <conditionalFormatting sqref="B30:D30 F30:H30">
    <cfRule type="expression" dxfId="425" priority="271">
      <formula>$E30="MC"</formula>
    </cfRule>
  </conditionalFormatting>
  <conditionalFormatting sqref="B30:D30 F30:H30">
    <cfRule type="expression" dxfId="424" priority="270">
      <formula>$E30="MC"</formula>
    </cfRule>
  </conditionalFormatting>
  <conditionalFormatting sqref="B30:D30 F30:H30">
    <cfRule type="expression" dxfId="423" priority="269">
      <formula>$E30="MC"</formula>
    </cfRule>
  </conditionalFormatting>
  <conditionalFormatting sqref="B30:D30 H30 F30">
    <cfRule type="expression" dxfId="422" priority="268">
      <formula>$E30="MC"</formula>
    </cfRule>
  </conditionalFormatting>
  <conditionalFormatting sqref="B30:D30 H30 F30">
    <cfRule type="expression" dxfId="421" priority="267">
      <formula>$E30="MC"</formula>
    </cfRule>
  </conditionalFormatting>
  <conditionalFormatting sqref="G30">
    <cfRule type="expression" dxfId="420" priority="266">
      <formula>$E30="MC"</formula>
    </cfRule>
  </conditionalFormatting>
  <conditionalFormatting sqref="B30:D30 F30:H30">
    <cfRule type="expression" dxfId="419" priority="265">
      <formula>$E30="MC"</formula>
    </cfRule>
  </conditionalFormatting>
  <conditionalFormatting sqref="B30:D30 F30:H30">
    <cfRule type="expression" dxfId="418" priority="264">
      <formula>$E30="MC"</formula>
    </cfRule>
  </conditionalFormatting>
  <conditionalFormatting sqref="B30:D30 F30:H30">
    <cfRule type="expression" dxfId="417" priority="263">
      <formula>$E30="MC"</formula>
    </cfRule>
  </conditionalFormatting>
  <conditionalFormatting sqref="B30:D30 F30:H30">
    <cfRule type="expression" dxfId="416" priority="262">
      <formula>$E30="MC"</formula>
    </cfRule>
  </conditionalFormatting>
  <conditionalFormatting sqref="B30:C30 F30:H30">
    <cfRule type="expression" dxfId="415" priority="261">
      <formula>$E30="MC"</formula>
    </cfRule>
  </conditionalFormatting>
  <conditionalFormatting sqref="B30:C30 F30:H30">
    <cfRule type="expression" dxfId="414" priority="260">
      <formula>$E30="MC"</formula>
    </cfRule>
  </conditionalFormatting>
  <conditionalFormatting sqref="B30:C30 F30:H30">
    <cfRule type="expression" dxfId="413" priority="259">
      <formula>$E30="MC"</formula>
    </cfRule>
  </conditionalFormatting>
  <conditionalFormatting sqref="B30:C30 F30:H30">
    <cfRule type="expression" dxfId="412" priority="258">
      <formula>$E30="MC"</formula>
    </cfRule>
  </conditionalFormatting>
  <conditionalFormatting sqref="B30:C30 F30:H30">
    <cfRule type="expression" dxfId="411" priority="257">
      <formula>$E30="MC"</formula>
    </cfRule>
  </conditionalFormatting>
  <conditionalFormatting sqref="B30:C30 F30:H30">
    <cfRule type="expression" dxfId="410" priority="256">
      <formula>$E30="MC"</formula>
    </cfRule>
  </conditionalFormatting>
  <conditionalFormatting sqref="D30">
    <cfRule type="expression" dxfId="409" priority="255">
      <formula>$E30="MC"</formula>
    </cfRule>
  </conditionalFormatting>
  <conditionalFormatting sqref="D30">
    <cfRule type="expression" dxfId="408" priority="254">
      <formula>$E30="MC"</formula>
    </cfRule>
  </conditionalFormatting>
  <conditionalFormatting sqref="D30">
    <cfRule type="expression" dxfId="407" priority="253">
      <formula>$E30="MC"</formula>
    </cfRule>
  </conditionalFormatting>
  <conditionalFormatting sqref="D30">
    <cfRule type="expression" dxfId="406" priority="252">
      <formula>$E30="MC"</formula>
    </cfRule>
  </conditionalFormatting>
  <conditionalFormatting sqref="D30">
    <cfRule type="expression" dxfId="405" priority="251">
      <formula>$E30="MC"</formula>
    </cfRule>
  </conditionalFormatting>
  <conditionalFormatting sqref="D30">
    <cfRule type="expression" dxfId="404" priority="250">
      <formula>$E30="MC"</formula>
    </cfRule>
  </conditionalFormatting>
  <conditionalFormatting sqref="B30:C30 F30:H30">
    <cfRule type="expression" dxfId="403" priority="249">
      <formula>$E30="MC"</formula>
    </cfRule>
  </conditionalFormatting>
  <conditionalFormatting sqref="B30:C30 F30:H30">
    <cfRule type="expression" dxfId="402" priority="248">
      <formula>$E30="MC"</formula>
    </cfRule>
  </conditionalFormatting>
  <conditionalFormatting sqref="B30:C30 F30:H30">
    <cfRule type="expression" dxfId="401" priority="247">
      <formula>$E30="MC"</formula>
    </cfRule>
  </conditionalFormatting>
  <conditionalFormatting sqref="B30:C30 F30:H30">
    <cfRule type="expression" dxfId="400" priority="246">
      <formula>$E30="MC"</formula>
    </cfRule>
  </conditionalFormatting>
  <conditionalFormatting sqref="B30:C30 F30:H30">
    <cfRule type="expression" dxfId="399" priority="245">
      <formula>$E30="MC"</formula>
    </cfRule>
  </conditionalFormatting>
  <conditionalFormatting sqref="B30:C30 F30:H30">
    <cfRule type="expression" dxfId="398" priority="244">
      <formula>$E30="MC"</formula>
    </cfRule>
  </conditionalFormatting>
  <conditionalFormatting sqref="D30">
    <cfRule type="expression" dxfId="397" priority="243">
      <formula>$E30="MC"</formula>
    </cfRule>
  </conditionalFormatting>
  <conditionalFormatting sqref="D30">
    <cfRule type="expression" dxfId="396" priority="242">
      <formula>$E30="MC"</formula>
    </cfRule>
  </conditionalFormatting>
  <conditionalFormatting sqref="D30">
    <cfRule type="expression" dxfId="395" priority="241">
      <formula>$E30="MC"</formula>
    </cfRule>
  </conditionalFormatting>
  <conditionalFormatting sqref="D30">
    <cfRule type="expression" dxfId="394" priority="240">
      <formula>$E30="MC"</formula>
    </cfRule>
  </conditionalFormatting>
  <conditionalFormatting sqref="D30">
    <cfRule type="expression" dxfId="393" priority="239">
      <formula>$E30="MC"</formula>
    </cfRule>
  </conditionalFormatting>
  <conditionalFormatting sqref="D30">
    <cfRule type="expression" dxfId="392" priority="238">
      <formula>$E30="MC"</formula>
    </cfRule>
  </conditionalFormatting>
  <conditionalFormatting sqref="B30:D30 F30:H30">
    <cfRule type="expression" dxfId="391" priority="237">
      <formula>$E30="MC"</formula>
    </cfRule>
  </conditionalFormatting>
  <conditionalFormatting sqref="B30:D30 F30:H30">
    <cfRule type="expression" dxfId="390" priority="236">
      <formula>$E30="MC"</formula>
    </cfRule>
  </conditionalFormatting>
  <conditionalFormatting sqref="B30:D30 F30:H30">
    <cfRule type="expression" dxfId="389" priority="235">
      <formula>$E30="MC"</formula>
    </cfRule>
  </conditionalFormatting>
  <conditionalFormatting sqref="B30:D30 F30:H30">
    <cfRule type="expression" dxfId="388" priority="234">
      <formula>$E30="MC"</formula>
    </cfRule>
  </conditionalFormatting>
  <conditionalFormatting sqref="B30:D30 F30:H30">
    <cfRule type="expression" dxfId="387" priority="233">
      <formula>$E30="MC"</formula>
    </cfRule>
  </conditionalFormatting>
  <conditionalFormatting sqref="B30:C30 F30:H30">
    <cfRule type="expression" dxfId="386" priority="232">
      <formula>$E30="MC"</formula>
    </cfRule>
  </conditionalFormatting>
  <conditionalFormatting sqref="B30:C30 F30:H30">
    <cfRule type="expression" dxfId="385" priority="231">
      <formula>$E30="MC"</formula>
    </cfRule>
  </conditionalFormatting>
  <conditionalFormatting sqref="B30:C30 F30:H30">
    <cfRule type="expression" dxfId="384" priority="230">
      <formula>$E30="MC"</formula>
    </cfRule>
  </conditionalFormatting>
  <conditionalFormatting sqref="B30:C30 F30:H30">
    <cfRule type="expression" dxfId="383" priority="229">
      <formula>$E30="MC"</formula>
    </cfRule>
  </conditionalFormatting>
  <conditionalFormatting sqref="B30:C30 F30:H30">
    <cfRule type="expression" dxfId="382" priority="228">
      <formula>$E30="MC"</formula>
    </cfRule>
  </conditionalFormatting>
  <conditionalFormatting sqref="B30:C30 F30:H30">
    <cfRule type="expression" dxfId="381" priority="227">
      <formula>$E30="MC"</formula>
    </cfRule>
  </conditionalFormatting>
  <conditionalFormatting sqref="D30">
    <cfRule type="expression" dxfId="380" priority="226">
      <formula>$E30="MC"</formula>
    </cfRule>
  </conditionalFormatting>
  <conditionalFormatting sqref="D30">
    <cfRule type="expression" dxfId="379" priority="225">
      <formula>$E30="MC"</formula>
    </cfRule>
  </conditionalFormatting>
  <conditionalFormatting sqref="D30">
    <cfRule type="expression" dxfId="378" priority="224">
      <formula>$E30="MC"</formula>
    </cfRule>
  </conditionalFormatting>
  <conditionalFormatting sqref="D30">
    <cfRule type="expression" dxfId="377" priority="223">
      <formula>$E30="MC"</formula>
    </cfRule>
  </conditionalFormatting>
  <conditionalFormatting sqref="D30">
    <cfRule type="expression" dxfId="376" priority="222">
      <formula>$E30="MC"</formula>
    </cfRule>
  </conditionalFormatting>
  <conditionalFormatting sqref="D30">
    <cfRule type="expression" dxfId="375" priority="221">
      <formula>$E30="MC"</formula>
    </cfRule>
  </conditionalFormatting>
  <conditionalFormatting sqref="B30:D30 F30:H30">
    <cfRule type="expression" dxfId="374" priority="220">
      <formula>$E30="MC"</formula>
    </cfRule>
  </conditionalFormatting>
  <conditionalFormatting sqref="B30:D30 F30:H30">
    <cfRule type="expression" dxfId="373" priority="219">
      <formula>$E30="MC"</formula>
    </cfRule>
  </conditionalFormatting>
  <conditionalFormatting sqref="B30:D30 F30:H30">
    <cfRule type="expression" dxfId="372" priority="218">
      <formula>$E30="MC"</formula>
    </cfRule>
  </conditionalFormatting>
  <conditionalFormatting sqref="B30:D30 F30:H30">
    <cfRule type="expression" dxfId="371" priority="217">
      <formula>$E30="MC"</formula>
    </cfRule>
  </conditionalFormatting>
  <conditionalFormatting sqref="B30:D30 F30:H30">
    <cfRule type="expression" dxfId="370" priority="216">
      <formula>$E30="MC"</formula>
    </cfRule>
  </conditionalFormatting>
  <conditionalFormatting sqref="B30:D30 F30:H30">
    <cfRule type="expression" dxfId="369" priority="215">
      <formula>$E30="MC"</formula>
    </cfRule>
  </conditionalFormatting>
  <conditionalFormatting sqref="B30:D30 F30:H30">
    <cfRule type="expression" dxfId="368" priority="214">
      <formula>$E30="MC"</formula>
    </cfRule>
  </conditionalFormatting>
  <conditionalFormatting sqref="B30:D30 F30:H30">
    <cfRule type="expression" dxfId="367" priority="213">
      <formula>$E30="MC"</formula>
    </cfRule>
  </conditionalFormatting>
  <conditionalFormatting sqref="B30:D30 F30:H30">
    <cfRule type="expression" dxfId="366" priority="212">
      <formula>$E30="MC"</formula>
    </cfRule>
  </conditionalFormatting>
  <conditionalFormatting sqref="B30:D30 F30:H30">
    <cfRule type="expression" dxfId="365" priority="211">
      <formula>$E30="MC"</formula>
    </cfRule>
  </conditionalFormatting>
  <conditionalFormatting sqref="D30">
    <cfRule type="expression" dxfId="364" priority="210">
      <formula>$E30="MC"</formula>
    </cfRule>
  </conditionalFormatting>
  <conditionalFormatting sqref="B30:C30 F30:H30">
    <cfRule type="expression" dxfId="363" priority="209">
      <formula>$E30="MC"</formula>
    </cfRule>
  </conditionalFormatting>
  <conditionalFormatting sqref="B30:C30 F30:H30">
    <cfRule type="expression" dxfId="362" priority="208">
      <formula>$E30="MC"</formula>
    </cfRule>
  </conditionalFormatting>
  <conditionalFormatting sqref="B30:C30 F30:H30">
    <cfRule type="expression" dxfId="361" priority="207">
      <formula>$E30="MC"</formula>
    </cfRule>
  </conditionalFormatting>
  <conditionalFormatting sqref="B30:C30 F30:H30">
    <cfRule type="expression" dxfId="360" priority="206">
      <formula>$E30="MC"</formula>
    </cfRule>
  </conditionalFormatting>
  <conditionalFormatting sqref="B30:C30 F30:H30">
    <cfRule type="expression" dxfId="359" priority="205">
      <formula>$E30="MC"</formula>
    </cfRule>
  </conditionalFormatting>
  <conditionalFormatting sqref="B30:C30 F30:H30">
    <cfRule type="expression" dxfId="358" priority="204">
      <formula>$E30="MC"</formula>
    </cfRule>
  </conditionalFormatting>
  <conditionalFormatting sqref="D30">
    <cfRule type="expression" dxfId="357" priority="203">
      <formula>$E30="MC"</formula>
    </cfRule>
  </conditionalFormatting>
  <conditionalFormatting sqref="D30">
    <cfRule type="expression" dxfId="356" priority="202">
      <formula>$E30="MC"</formula>
    </cfRule>
  </conditionalFormatting>
  <conditionalFormatting sqref="D30">
    <cfRule type="expression" dxfId="355" priority="201">
      <formula>$E30="MC"</formula>
    </cfRule>
  </conditionalFormatting>
  <conditionalFormatting sqref="D30">
    <cfRule type="expression" dxfId="354" priority="200">
      <formula>$E30="MC"</formula>
    </cfRule>
  </conditionalFormatting>
  <conditionalFormatting sqref="D30">
    <cfRule type="expression" dxfId="353" priority="199">
      <formula>$E30="MC"</formula>
    </cfRule>
  </conditionalFormatting>
  <conditionalFormatting sqref="D30">
    <cfRule type="expression" dxfId="352" priority="198">
      <formula>$E30="MC"</formula>
    </cfRule>
  </conditionalFormatting>
  <conditionalFormatting sqref="B30:D30 F30:H30">
    <cfRule type="expression" dxfId="351" priority="197">
      <formula>$E30="MC"</formula>
    </cfRule>
  </conditionalFormatting>
  <conditionalFormatting sqref="B30:D30 F30:H30">
    <cfRule type="expression" dxfId="350" priority="196">
      <formula>$E30="MC"</formula>
    </cfRule>
  </conditionalFormatting>
  <conditionalFormatting sqref="B30:D30 F30:H30">
    <cfRule type="expression" dxfId="349" priority="195">
      <formula>$E30="MC"</formula>
    </cfRule>
  </conditionalFormatting>
  <conditionalFormatting sqref="B30:D30 F30:H30">
    <cfRule type="expression" dxfId="348" priority="194">
      <formula>$E30="MC"</formula>
    </cfRule>
  </conditionalFormatting>
  <conditionalFormatting sqref="B30:D30 F30:H30">
    <cfRule type="expression" dxfId="347" priority="193">
      <formula>$E30="MC"</formula>
    </cfRule>
  </conditionalFormatting>
  <conditionalFormatting sqref="B30:D30 F30:H30">
    <cfRule type="expression" dxfId="346" priority="192">
      <formula>$E30="MC"</formula>
    </cfRule>
  </conditionalFormatting>
  <conditionalFormatting sqref="B30:D30 F30:H30">
    <cfRule type="expression" dxfId="345" priority="191">
      <formula>$E30="MC"</formula>
    </cfRule>
  </conditionalFormatting>
  <conditionalFormatting sqref="B30:D30 F30:H30">
    <cfRule type="expression" dxfId="344" priority="190">
      <formula>$E30="MC"</formula>
    </cfRule>
  </conditionalFormatting>
  <conditionalFormatting sqref="B30:D30 F30:H30">
    <cfRule type="expression" dxfId="343" priority="189">
      <formula>$E30="MC"</formula>
    </cfRule>
  </conditionalFormatting>
  <conditionalFormatting sqref="B30:D30 F30:H30">
    <cfRule type="expression" dxfId="342" priority="188">
      <formula>$E30="MC"</formula>
    </cfRule>
  </conditionalFormatting>
  <conditionalFormatting sqref="D30">
    <cfRule type="expression" dxfId="341" priority="187">
      <formula>$E30="MC"</formula>
    </cfRule>
  </conditionalFormatting>
  <conditionalFormatting sqref="B30:D30 F30:H30">
    <cfRule type="expression" dxfId="340" priority="186">
      <formula>$E30="MC"</formula>
    </cfRule>
  </conditionalFormatting>
  <conditionalFormatting sqref="B30:D30 F30:H30">
    <cfRule type="expression" dxfId="339" priority="185">
      <formula>$E30="MC"</formula>
    </cfRule>
  </conditionalFormatting>
  <conditionalFormatting sqref="B30:D30 F30:H30">
    <cfRule type="expression" dxfId="338" priority="184">
      <formula>$E30="MC"</formula>
    </cfRule>
  </conditionalFormatting>
  <conditionalFormatting sqref="B30:D30 F30:H30">
    <cfRule type="expression" dxfId="337" priority="183">
      <formula>$E30="MC"</formula>
    </cfRule>
  </conditionalFormatting>
  <conditionalFormatting sqref="B30:D30 F30:H30">
    <cfRule type="expression" dxfId="336" priority="182">
      <formula>$E30="MC"</formula>
    </cfRule>
  </conditionalFormatting>
  <conditionalFormatting sqref="D30">
    <cfRule type="expression" dxfId="335" priority="181">
      <formula>$E30="MC"</formula>
    </cfRule>
  </conditionalFormatting>
  <conditionalFormatting sqref="D30">
    <cfRule type="expression" dxfId="334" priority="180">
      <formula>$E30="MC"</formula>
    </cfRule>
  </conditionalFormatting>
  <conditionalFormatting sqref="E30">
    <cfRule type="expression" dxfId="333" priority="179">
      <formula>$E30="MC"</formula>
    </cfRule>
  </conditionalFormatting>
  <conditionalFormatting sqref="B31">
    <cfRule type="expression" dxfId="332" priority="178">
      <formula>$E31="MC"</formula>
    </cfRule>
  </conditionalFormatting>
  <conditionalFormatting sqref="B31">
    <cfRule type="expression" dxfId="331" priority="177">
      <formula>$E31="MC"</formula>
    </cfRule>
  </conditionalFormatting>
  <conditionalFormatting sqref="B31">
    <cfRule type="expression" dxfId="330" priority="176">
      <formula>$E31="MC"</formula>
    </cfRule>
  </conditionalFormatting>
  <conditionalFormatting sqref="B31">
    <cfRule type="expression" dxfId="329" priority="175">
      <formula>$E31="MC"</formula>
    </cfRule>
  </conditionalFormatting>
  <conditionalFormatting sqref="B31">
    <cfRule type="expression" dxfId="328" priority="174">
      <formula>$E31="MC"</formula>
    </cfRule>
  </conditionalFormatting>
  <conditionalFormatting sqref="B31">
    <cfRule type="expression" dxfId="327" priority="173">
      <formula>$E31="MC"</formula>
    </cfRule>
  </conditionalFormatting>
  <conditionalFormatting sqref="B31">
    <cfRule type="expression" dxfId="326" priority="172">
      <formula>$E31="MC"</formula>
    </cfRule>
  </conditionalFormatting>
  <conditionalFormatting sqref="B31">
    <cfRule type="expression" dxfId="325" priority="171">
      <formula>$E31="MC"</formula>
    </cfRule>
  </conditionalFormatting>
  <conditionalFormatting sqref="B31">
    <cfRule type="expression" dxfId="324" priority="170">
      <formula>$E31="MC"</formula>
    </cfRule>
  </conditionalFormatting>
  <conditionalFormatting sqref="B31">
    <cfRule type="expression" dxfId="323" priority="169">
      <formula>$E31="MC"</formula>
    </cfRule>
  </conditionalFormatting>
  <conditionalFormatting sqref="B31">
    <cfRule type="expression" dxfId="322" priority="168">
      <formula>$E31="MC"</formula>
    </cfRule>
  </conditionalFormatting>
  <conditionalFormatting sqref="B31">
    <cfRule type="expression" dxfId="321" priority="167">
      <formula>$E31="MC"</formula>
    </cfRule>
  </conditionalFormatting>
  <conditionalFormatting sqref="B31">
    <cfRule type="expression" dxfId="320" priority="166">
      <formula>$E31="MC"</formula>
    </cfRule>
  </conditionalFormatting>
  <conditionalFormatting sqref="B31">
    <cfRule type="expression" dxfId="319" priority="163">
      <formula>$E31="MC"</formula>
    </cfRule>
  </conditionalFormatting>
  <conditionalFormatting sqref="B31">
    <cfRule type="expression" dxfId="318" priority="162">
      <formula>$E31="MC"</formula>
    </cfRule>
  </conditionalFormatting>
  <conditionalFormatting sqref="B31">
    <cfRule type="expression" dxfId="317" priority="161">
      <formula>$E31="MC"</formula>
    </cfRule>
  </conditionalFormatting>
  <conditionalFormatting sqref="B31">
    <cfRule type="expression" dxfId="316" priority="165">
      <formula>$E31="MC"</formula>
    </cfRule>
  </conditionalFormatting>
  <conditionalFormatting sqref="B31">
    <cfRule type="expression" dxfId="315" priority="164">
      <formula>$E31="MC"</formula>
    </cfRule>
  </conditionalFormatting>
  <conditionalFormatting sqref="B31">
    <cfRule type="expression" dxfId="314" priority="160">
      <formula>$E31="MC"</formula>
    </cfRule>
  </conditionalFormatting>
  <conditionalFormatting sqref="B31">
    <cfRule type="expression" dxfId="313" priority="157">
      <formula>$E31="MC"</formula>
    </cfRule>
  </conditionalFormatting>
  <conditionalFormatting sqref="B31">
    <cfRule type="expression" dxfId="312" priority="156">
      <formula>$E31="MC"</formula>
    </cfRule>
  </conditionalFormatting>
  <conditionalFormatting sqref="B31">
    <cfRule type="expression" dxfId="311" priority="155">
      <formula>$E31="MC"</formula>
    </cfRule>
  </conditionalFormatting>
  <conditionalFormatting sqref="B31">
    <cfRule type="expression" dxfId="310" priority="159">
      <formula>$E31="MC"</formula>
    </cfRule>
  </conditionalFormatting>
  <conditionalFormatting sqref="B31">
    <cfRule type="expression" dxfId="309" priority="158">
      <formula>$E31="MC"</formula>
    </cfRule>
  </conditionalFormatting>
  <conditionalFormatting sqref="B31">
    <cfRule type="expression" dxfId="308" priority="154">
      <formula>$E31="MC"</formula>
    </cfRule>
  </conditionalFormatting>
  <conditionalFormatting sqref="B31">
    <cfRule type="expression" dxfId="307" priority="153">
      <formula>$E31="MC"</formula>
    </cfRule>
  </conditionalFormatting>
  <conditionalFormatting sqref="B31">
    <cfRule type="expression" dxfId="306" priority="152">
      <formula>$E31="MC"</formula>
    </cfRule>
  </conditionalFormatting>
  <conditionalFormatting sqref="B31">
    <cfRule type="expression" dxfId="305" priority="151">
      <formula>$E31="MC"</formula>
    </cfRule>
  </conditionalFormatting>
  <conditionalFormatting sqref="B31">
    <cfRule type="expression" dxfId="304" priority="150">
      <formula>$E31="MC"</formula>
    </cfRule>
  </conditionalFormatting>
  <conditionalFormatting sqref="B31">
    <cfRule type="expression" dxfId="303" priority="149">
      <formula>$E31="MC"</formula>
    </cfRule>
  </conditionalFormatting>
  <conditionalFormatting sqref="B31">
    <cfRule type="expression" dxfId="302" priority="148">
      <formula>$E31="MC"</formula>
    </cfRule>
  </conditionalFormatting>
  <conditionalFormatting sqref="B31">
    <cfRule type="expression" dxfId="301" priority="147">
      <formula>$E31="MC"</formula>
    </cfRule>
  </conditionalFormatting>
  <conditionalFormatting sqref="B31">
    <cfRule type="expression" dxfId="300" priority="146">
      <formula>$E31="MC"</formula>
    </cfRule>
  </conditionalFormatting>
  <conditionalFormatting sqref="B31">
    <cfRule type="expression" dxfId="299" priority="145">
      <formula>$E31="MC"</formula>
    </cfRule>
  </conditionalFormatting>
  <conditionalFormatting sqref="B31">
    <cfRule type="expression" dxfId="298" priority="144">
      <formula>$E31="MC"</formula>
    </cfRule>
  </conditionalFormatting>
  <conditionalFormatting sqref="B31">
    <cfRule type="expression" dxfId="297" priority="143">
      <formula>$E31="MC"</formula>
    </cfRule>
  </conditionalFormatting>
  <conditionalFormatting sqref="B31">
    <cfRule type="expression" dxfId="296" priority="142">
      <formula>$E31="MC"</formula>
    </cfRule>
  </conditionalFormatting>
  <conditionalFormatting sqref="B31">
    <cfRule type="expression" dxfId="295" priority="141">
      <formula>$E31="MC"</formula>
    </cfRule>
  </conditionalFormatting>
  <conditionalFormatting sqref="B31">
    <cfRule type="expression" dxfId="294" priority="140">
      <formula>$E31="MC"</formula>
    </cfRule>
  </conditionalFormatting>
  <conditionalFormatting sqref="B31">
    <cfRule type="expression" dxfId="293" priority="139">
      <formula>$E31="MC"</formula>
    </cfRule>
  </conditionalFormatting>
  <conditionalFormatting sqref="B31">
    <cfRule type="expression" dxfId="292" priority="138">
      <formula>$E31="MC"</formula>
    </cfRule>
  </conditionalFormatting>
  <conditionalFormatting sqref="B31">
    <cfRule type="expression" dxfId="291" priority="137">
      <formula>$E31="MC"</formula>
    </cfRule>
  </conditionalFormatting>
  <conditionalFormatting sqref="B31">
    <cfRule type="expression" dxfId="290" priority="136">
      <formula>$E31="MC"</formula>
    </cfRule>
  </conditionalFormatting>
  <conditionalFormatting sqref="B31">
    <cfRule type="expression" dxfId="289" priority="135">
      <formula>$E31="MC"</formula>
    </cfRule>
  </conditionalFormatting>
  <conditionalFormatting sqref="B31">
    <cfRule type="expression" dxfId="288" priority="134">
      <formula>$E31="MC"</formula>
    </cfRule>
  </conditionalFormatting>
  <conditionalFormatting sqref="B31">
    <cfRule type="expression" dxfId="287" priority="133">
      <formula>$E31="MC"</formula>
    </cfRule>
  </conditionalFormatting>
  <conditionalFormatting sqref="B31">
    <cfRule type="expression" dxfId="286" priority="132">
      <formula>$E31="MC"</formula>
    </cfRule>
  </conditionalFormatting>
  <conditionalFormatting sqref="B31">
    <cfRule type="expression" dxfId="285" priority="131">
      <formula>$E31="MC"</formula>
    </cfRule>
  </conditionalFormatting>
  <conditionalFormatting sqref="B31">
    <cfRule type="expression" dxfId="284" priority="130">
      <formula>$E31="MC"</formula>
    </cfRule>
  </conditionalFormatting>
  <conditionalFormatting sqref="B31">
    <cfRule type="expression" dxfId="283" priority="129">
      <formula>$E31="MC"</formula>
    </cfRule>
  </conditionalFormatting>
  <conditionalFormatting sqref="B31">
    <cfRule type="expression" dxfId="282" priority="128">
      <formula>$E31="MC"</formula>
    </cfRule>
  </conditionalFormatting>
  <conditionalFormatting sqref="B31">
    <cfRule type="expression" dxfId="281" priority="127">
      <formula>$E31="MC"</formula>
    </cfRule>
  </conditionalFormatting>
  <conditionalFormatting sqref="B31">
    <cfRule type="expression" dxfId="280" priority="126">
      <formula>$E31="MC"</formula>
    </cfRule>
  </conditionalFormatting>
  <conditionalFormatting sqref="B31">
    <cfRule type="expression" dxfId="279" priority="125">
      <formula>$E31="MC"</formula>
    </cfRule>
  </conditionalFormatting>
  <conditionalFormatting sqref="B31">
    <cfRule type="expression" dxfId="278" priority="124">
      <formula>$E31="MC"</formula>
    </cfRule>
  </conditionalFormatting>
  <conditionalFormatting sqref="B31">
    <cfRule type="expression" dxfId="277" priority="123">
      <formula>$E31="MC"</formula>
    </cfRule>
  </conditionalFormatting>
  <conditionalFormatting sqref="B31">
    <cfRule type="expression" dxfId="276" priority="122">
      <formula>$E31="MC"</formula>
    </cfRule>
  </conditionalFormatting>
  <conditionalFormatting sqref="B31">
    <cfRule type="expression" dxfId="275" priority="121">
      <formula>$E31="MC"</formula>
    </cfRule>
  </conditionalFormatting>
  <conditionalFormatting sqref="B31">
    <cfRule type="expression" dxfId="274" priority="120">
      <formula>$E31="MC"</formula>
    </cfRule>
  </conditionalFormatting>
  <conditionalFormatting sqref="B31">
    <cfRule type="expression" dxfId="273" priority="119">
      <formula>$E31="MC"</formula>
    </cfRule>
  </conditionalFormatting>
  <conditionalFormatting sqref="B31">
    <cfRule type="expression" dxfId="272" priority="118">
      <formula>$E31="MC"</formula>
    </cfRule>
  </conditionalFormatting>
  <conditionalFormatting sqref="B31">
    <cfRule type="expression" dxfId="271" priority="117">
      <formula>$E31="MC"</formula>
    </cfRule>
  </conditionalFormatting>
  <conditionalFormatting sqref="B31">
    <cfRule type="expression" dxfId="270" priority="116">
      <formula>$E31="MC"</formula>
    </cfRule>
  </conditionalFormatting>
  <conditionalFormatting sqref="B31">
    <cfRule type="expression" dxfId="269" priority="115">
      <formula>$E31="MC"</formula>
    </cfRule>
  </conditionalFormatting>
  <conditionalFormatting sqref="B31">
    <cfRule type="expression" dxfId="268" priority="114">
      <formula>$E31="MC"</formula>
    </cfRule>
  </conditionalFormatting>
  <conditionalFormatting sqref="B31">
    <cfRule type="expression" dxfId="267" priority="113">
      <formula>$E31="MC"</formula>
    </cfRule>
  </conditionalFormatting>
  <conditionalFormatting sqref="B31">
    <cfRule type="expression" dxfId="266" priority="112">
      <formula>$E31="MC"</formula>
    </cfRule>
  </conditionalFormatting>
  <conditionalFormatting sqref="B31">
    <cfRule type="expression" dxfId="265" priority="111">
      <formula>$E31="MC"</formula>
    </cfRule>
  </conditionalFormatting>
  <conditionalFormatting sqref="B31">
    <cfRule type="expression" dxfId="264" priority="110">
      <formula>$E31="MC"</formula>
    </cfRule>
  </conditionalFormatting>
  <conditionalFormatting sqref="B31">
    <cfRule type="expression" dxfId="263" priority="109">
      <formula>$E31="MC"</formula>
    </cfRule>
  </conditionalFormatting>
  <conditionalFormatting sqref="B31">
    <cfRule type="expression" dxfId="262" priority="108">
      <formula>$E31="MC"</formula>
    </cfRule>
  </conditionalFormatting>
  <conditionalFormatting sqref="B31">
    <cfRule type="expression" dxfId="261" priority="107">
      <formula>$E31="MC"</formula>
    </cfRule>
  </conditionalFormatting>
  <conditionalFormatting sqref="B31">
    <cfRule type="expression" dxfId="260" priority="106">
      <formula>$E31="MC"</formula>
    </cfRule>
  </conditionalFormatting>
  <conditionalFormatting sqref="B31">
    <cfRule type="expression" dxfId="259" priority="105">
      <formula>$E31="MC"</formula>
    </cfRule>
  </conditionalFormatting>
  <conditionalFormatting sqref="B31">
    <cfRule type="expression" dxfId="258" priority="104">
      <formula>$E31="MC"</formula>
    </cfRule>
  </conditionalFormatting>
  <conditionalFormatting sqref="B31">
    <cfRule type="expression" dxfId="257" priority="103">
      <formula>$E31="MC"</formula>
    </cfRule>
  </conditionalFormatting>
  <conditionalFormatting sqref="B31">
    <cfRule type="expression" dxfId="256" priority="102">
      <formula>$E31="MC"</formula>
    </cfRule>
  </conditionalFormatting>
  <conditionalFormatting sqref="B31">
    <cfRule type="expression" dxfId="255" priority="101">
      <formula>$E31="MC"</formula>
    </cfRule>
  </conditionalFormatting>
  <conditionalFormatting sqref="B31">
    <cfRule type="expression" dxfId="254" priority="100">
      <formula>$E31="MC"</formula>
    </cfRule>
  </conditionalFormatting>
  <conditionalFormatting sqref="B31">
    <cfRule type="expression" dxfId="253" priority="99">
      <formula>$E31="MC"</formula>
    </cfRule>
  </conditionalFormatting>
  <conditionalFormatting sqref="B31">
    <cfRule type="expression" dxfId="252" priority="98">
      <formula>$E31="MC"</formula>
    </cfRule>
  </conditionalFormatting>
  <conditionalFormatting sqref="B31">
    <cfRule type="expression" dxfId="251" priority="97">
      <formula>$E31="MC"</formula>
    </cfRule>
  </conditionalFormatting>
  <conditionalFormatting sqref="B31">
    <cfRule type="expression" dxfId="250" priority="96">
      <formula>$E31="MC"</formula>
    </cfRule>
  </conditionalFormatting>
  <conditionalFormatting sqref="B31">
    <cfRule type="expression" dxfId="249" priority="95">
      <formula>$E31="MC"</formula>
    </cfRule>
  </conditionalFormatting>
  <conditionalFormatting sqref="B31">
    <cfRule type="expression" dxfId="248" priority="94">
      <formula>$E31="MC"</formula>
    </cfRule>
  </conditionalFormatting>
  <conditionalFormatting sqref="B31">
    <cfRule type="expression" dxfId="247" priority="93">
      <formula>$E31="MC"</formula>
    </cfRule>
  </conditionalFormatting>
  <conditionalFormatting sqref="B31">
    <cfRule type="expression" dxfId="246" priority="92">
      <formula>$E31="MC"</formula>
    </cfRule>
  </conditionalFormatting>
  <conditionalFormatting sqref="B31">
    <cfRule type="expression" dxfId="245" priority="91">
      <formula>$E31="MC"</formula>
    </cfRule>
  </conditionalFormatting>
  <conditionalFormatting sqref="B31">
    <cfRule type="expression" dxfId="244" priority="90">
      <formula>$E31="MC"</formula>
    </cfRule>
  </conditionalFormatting>
  <conditionalFormatting sqref="B31">
    <cfRule type="expression" dxfId="243" priority="89">
      <formula>$E31="MC"</formula>
    </cfRule>
  </conditionalFormatting>
  <conditionalFormatting sqref="B31">
    <cfRule type="expression" dxfId="242" priority="88">
      <formula>$E31="MC"</formula>
    </cfRule>
  </conditionalFormatting>
  <conditionalFormatting sqref="B31">
    <cfRule type="expression" dxfId="241" priority="87">
      <formula>$E31="MC"</formula>
    </cfRule>
  </conditionalFormatting>
  <conditionalFormatting sqref="B31">
    <cfRule type="expression" dxfId="240" priority="86">
      <formula>$E31="MC"</formula>
    </cfRule>
  </conditionalFormatting>
  <conditionalFormatting sqref="B31">
    <cfRule type="expression" dxfId="239" priority="85">
      <formula>$E31="MC"</formula>
    </cfRule>
  </conditionalFormatting>
  <conditionalFormatting sqref="B31">
    <cfRule type="expression" dxfId="238" priority="84">
      <formula>$E31="MC"</formula>
    </cfRule>
  </conditionalFormatting>
  <conditionalFormatting sqref="B31">
    <cfRule type="expression" dxfId="237" priority="83">
      <formula>$E31="MC"</formula>
    </cfRule>
  </conditionalFormatting>
  <conditionalFormatting sqref="B31">
    <cfRule type="expression" dxfId="236" priority="82">
      <formula>$E31="MC"</formula>
    </cfRule>
  </conditionalFormatting>
  <conditionalFormatting sqref="B31">
    <cfRule type="expression" dxfId="235" priority="81">
      <formula>$E31="MC"</formula>
    </cfRule>
  </conditionalFormatting>
  <conditionalFormatting sqref="B31">
    <cfRule type="expression" dxfId="234" priority="80">
      <formula>$E31="MC"</formula>
    </cfRule>
  </conditionalFormatting>
  <conditionalFormatting sqref="B31">
    <cfRule type="expression" dxfId="233" priority="79">
      <formula>$E31="MC"</formula>
    </cfRule>
  </conditionalFormatting>
  <conditionalFormatting sqref="B31">
    <cfRule type="expression" dxfId="232" priority="78">
      <formula>$E31="MC"</formula>
    </cfRule>
  </conditionalFormatting>
  <conditionalFormatting sqref="B31">
    <cfRule type="expression" dxfId="231" priority="77">
      <formula>$E31="MC"</formula>
    </cfRule>
  </conditionalFormatting>
  <conditionalFormatting sqref="B31">
    <cfRule type="expression" dxfId="230" priority="76">
      <formula>$E31="MC"</formula>
    </cfRule>
  </conditionalFormatting>
  <conditionalFormatting sqref="B31">
    <cfRule type="expression" dxfId="229" priority="75">
      <formula>$E31="MC"</formula>
    </cfRule>
  </conditionalFormatting>
  <conditionalFormatting sqref="B31">
    <cfRule type="expression" dxfId="228" priority="74">
      <formula>$E31="MC"</formula>
    </cfRule>
  </conditionalFormatting>
  <conditionalFormatting sqref="B31">
    <cfRule type="expression" dxfId="227" priority="73">
      <formula>$E31="MC"</formula>
    </cfRule>
  </conditionalFormatting>
  <conditionalFormatting sqref="B31">
    <cfRule type="expression" dxfId="226" priority="72">
      <formula>$E31="MC"</formula>
    </cfRule>
  </conditionalFormatting>
  <conditionalFormatting sqref="B31">
    <cfRule type="expression" dxfId="225" priority="71">
      <formula>$E31="MC"</formula>
    </cfRule>
  </conditionalFormatting>
  <conditionalFormatting sqref="B31">
    <cfRule type="expression" dxfId="224" priority="70">
      <formula>$E31="MC"</formula>
    </cfRule>
  </conditionalFormatting>
  <conditionalFormatting sqref="B31">
    <cfRule type="expression" dxfId="223" priority="69">
      <formula>$E31="MC"</formula>
    </cfRule>
  </conditionalFormatting>
  <conditionalFormatting sqref="B31">
    <cfRule type="expression" dxfId="222" priority="68">
      <formula>$E31="MC"</formula>
    </cfRule>
  </conditionalFormatting>
  <conditionalFormatting sqref="B31">
    <cfRule type="expression" dxfId="221" priority="67">
      <formula>$E31="MC"</formula>
    </cfRule>
  </conditionalFormatting>
  <conditionalFormatting sqref="B31">
    <cfRule type="expression" dxfId="220" priority="66">
      <formula>$E31="MC"</formula>
    </cfRule>
  </conditionalFormatting>
  <conditionalFormatting sqref="B31">
    <cfRule type="expression" dxfId="219" priority="65">
      <formula>$E31="MC"</formula>
    </cfRule>
  </conditionalFormatting>
  <conditionalFormatting sqref="B31">
    <cfRule type="expression" dxfId="218" priority="64">
      <formula>$E31="MC"</formula>
    </cfRule>
  </conditionalFormatting>
  <conditionalFormatting sqref="B31">
    <cfRule type="expression" dxfId="217" priority="63">
      <formula>$E31="MC"</formula>
    </cfRule>
  </conditionalFormatting>
  <conditionalFormatting sqref="B31">
    <cfRule type="expression" dxfId="216" priority="62">
      <formula>$E31="MC"</formula>
    </cfRule>
  </conditionalFormatting>
  <conditionalFormatting sqref="B31">
    <cfRule type="expression" dxfId="215" priority="61">
      <formula>$E31="MC"</formula>
    </cfRule>
  </conditionalFormatting>
  <conditionalFormatting sqref="B31">
    <cfRule type="expression" dxfId="214" priority="60">
      <formula>$E31="MC"</formula>
    </cfRule>
  </conditionalFormatting>
  <conditionalFormatting sqref="B31">
    <cfRule type="expression" dxfId="213" priority="59">
      <formula>$E31="MC"</formula>
    </cfRule>
  </conditionalFormatting>
  <conditionalFormatting sqref="B31">
    <cfRule type="expression" dxfId="212" priority="58">
      <formula>$E31="MC"</formula>
    </cfRule>
  </conditionalFormatting>
  <conditionalFormatting sqref="B31">
    <cfRule type="expression" dxfId="211" priority="57">
      <formula>$E31="MC"</formula>
    </cfRule>
  </conditionalFormatting>
  <conditionalFormatting sqref="B31">
    <cfRule type="expression" dxfId="210" priority="56">
      <formula>$E31="MC"</formula>
    </cfRule>
  </conditionalFormatting>
  <conditionalFormatting sqref="B31">
    <cfRule type="expression" dxfId="209" priority="55">
      <formula>$E31="MC"</formula>
    </cfRule>
  </conditionalFormatting>
  <conditionalFormatting sqref="B31">
    <cfRule type="expression" dxfId="208" priority="54">
      <formula>$E31="MC"</formula>
    </cfRule>
  </conditionalFormatting>
  <conditionalFormatting sqref="B31">
    <cfRule type="expression" dxfId="207" priority="53">
      <formula>$E31="MC"</formula>
    </cfRule>
  </conditionalFormatting>
  <conditionalFormatting sqref="B31">
    <cfRule type="expression" dxfId="206" priority="52">
      <formula>$E31="MC"</formula>
    </cfRule>
  </conditionalFormatting>
  <conditionalFormatting sqref="B31">
    <cfRule type="expression" dxfId="205" priority="51">
      <formula>$E31="MC"</formula>
    </cfRule>
  </conditionalFormatting>
  <conditionalFormatting sqref="B31">
    <cfRule type="expression" dxfId="204" priority="50">
      <formula>$E31="MC"</formula>
    </cfRule>
  </conditionalFormatting>
  <conditionalFormatting sqref="B31">
    <cfRule type="expression" dxfId="203" priority="49">
      <formula>$E31="MC"</formula>
    </cfRule>
  </conditionalFormatting>
  <conditionalFormatting sqref="B31">
    <cfRule type="expression" dxfId="202" priority="48">
      <formula>$E31="MC"</formula>
    </cfRule>
  </conditionalFormatting>
  <conditionalFormatting sqref="B31">
    <cfRule type="expression" dxfId="201" priority="47">
      <formula>$E31="MC"</formula>
    </cfRule>
  </conditionalFormatting>
  <conditionalFormatting sqref="B31">
    <cfRule type="expression" dxfId="200" priority="46">
      <formula>$E31="MC"</formula>
    </cfRule>
  </conditionalFormatting>
  <conditionalFormatting sqref="B31">
    <cfRule type="expression" dxfId="199" priority="45">
      <formula>$E31="MC"</formula>
    </cfRule>
  </conditionalFormatting>
  <conditionalFormatting sqref="B31">
    <cfRule type="expression" dxfId="198" priority="44">
      <formula>$E31="MC"</formula>
    </cfRule>
  </conditionalFormatting>
  <conditionalFormatting sqref="B31">
    <cfRule type="expression" dxfId="197" priority="43">
      <formula>$E31="MC"</formula>
    </cfRule>
  </conditionalFormatting>
  <conditionalFormatting sqref="B31">
    <cfRule type="expression" dxfId="196" priority="42">
      <formula>$E31="MC"</formula>
    </cfRule>
  </conditionalFormatting>
  <conditionalFormatting sqref="B31">
    <cfRule type="expression" dxfId="195" priority="41">
      <formula>$E31="MC"</formula>
    </cfRule>
  </conditionalFormatting>
  <conditionalFormatting sqref="B31">
    <cfRule type="expression" dxfId="194" priority="40">
      <formula>$E31="MC"</formula>
    </cfRule>
  </conditionalFormatting>
  <conditionalFormatting sqref="B31">
    <cfRule type="expression" dxfId="193" priority="39">
      <formula>$E31="MC"</formula>
    </cfRule>
  </conditionalFormatting>
  <conditionalFormatting sqref="B31">
    <cfRule type="expression" dxfId="192" priority="38">
      <formula>$E31="MC"</formula>
    </cfRule>
  </conditionalFormatting>
  <conditionalFormatting sqref="B31">
    <cfRule type="expression" dxfId="191" priority="37">
      <formula>$E31="MC"</formula>
    </cfRule>
  </conditionalFormatting>
  <conditionalFormatting sqref="B31">
    <cfRule type="expression" dxfId="190" priority="36">
      <formula>$E31="MC"</formula>
    </cfRule>
  </conditionalFormatting>
  <conditionalFormatting sqref="B31">
    <cfRule type="expression" dxfId="189" priority="35">
      <formula>$E31="MC"</formula>
    </cfRule>
  </conditionalFormatting>
  <conditionalFormatting sqref="B31">
    <cfRule type="expression" dxfId="188" priority="34">
      <formula>$E31="MC"</formula>
    </cfRule>
  </conditionalFormatting>
  <conditionalFormatting sqref="B31">
    <cfRule type="expression" dxfId="187" priority="33">
      <formula>$E31="MC"</formula>
    </cfRule>
  </conditionalFormatting>
  <conditionalFormatting sqref="B31">
    <cfRule type="expression" dxfId="186" priority="32">
      <formula>$E31="MC"</formula>
    </cfRule>
  </conditionalFormatting>
  <conditionalFormatting sqref="B31">
    <cfRule type="expression" dxfId="185" priority="31">
      <formula>$E31="MC"</formula>
    </cfRule>
  </conditionalFormatting>
  <conditionalFormatting sqref="B31">
    <cfRule type="expression" dxfId="184" priority="30">
      <formula>$E31="MC"</formula>
    </cfRule>
  </conditionalFormatting>
  <conditionalFormatting sqref="B31">
    <cfRule type="expression" dxfId="183" priority="29">
      <formula>$E31="MC"</formula>
    </cfRule>
  </conditionalFormatting>
  <conditionalFormatting sqref="B31">
    <cfRule type="expression" dxfId="182" priority="28">
      <formula>$E31="MC"</formula>
    </cfRule>
  </conditionalFormatting>
  <conditionalFormatting sqref="B31">
    <cfRule type="expression" dxfId="181" priority="27">
      <formula>$E31="MC"</formula>
    </cfRule>
  </conditionalFormatting>
  <conditionalFormatting sqref="B31">
    <cfRule type="expression" dxfId="180" priority="26">
      <formula>$E31="MC"</formula>
    </cfRule>
  </conditionalFormatting>
  <conditionalFormatting sqref="B31">
    <cfRule type="expression" dxfId="179" priority="25">
      <formula>$E31="MC"</formula>
    </cfRule>
  </conditionalFormatting>
  <conditionalFormatting sqref="B31">
    <cfRule type="expression" dxfId="178" priority="24">
      <formula>$E31="MC"</formula>
    </cfRule>
  </conditionalFormatting>
  <conditionalFormatting sqref="B31">
    <cfRule type="expression" dxfId="177" priority="23">
      <formula>$E31="MC"</formula>
    </cfRule>
  </conditionalFormatting>
  <conditionalFormatting sqref="B31">
    <cfRule type="expression" dxfId="176" priority="22">
      <formula>$E31="MC"</formula>
    </cfRule>
  </conditionalFormatting>
  <conditionalFormatting sqref="I7">
    <cfRule type="expression" dxfId="175" priority="21">
      <formula>$E7="MC"</formula>
    </cfRule>
  </conditionalFormatting>
  <conditionalFormatting sqref="I7">
    <cfRule type="expression" dxfId="174" priority="11">
      <formula>$E7="MC"</formula>
    </cfRule>
  </conditionalFormatting>
  <conditionalFormatting sqref="I7">
    <cfRule type="expression" dxfId="173" priority="20">
      <formula>$E7="MC"</formula>
    </cfRule>
  </conditionalFormatting>
  <conditionalFormatting sqref="I7">
    <cfRule type="expression" dxfId="172" priority="19">
      <formula>$E7="MC"</formula>
    </cfRule>
  </conditionalFormatting>
  <conditionalFormatting sqref="I7">
    <cfRule type="expression" dxfId="171" priority="18">
      <formula>$E7="MC"</formula>
    </cfRule>
  </conditionalFormatting>
  <conditionalFormatting sqref="I7">
    <cfRule type="expression" dxfId="170" priority="17">
      <formula>$E7="MC"</formula>
    </cfRule>
  </conditionalFormatting>
  <conditionalFormatting sqref="I7">
    <cfRule type="expression" dxfId="169" priority="16">
      <formula>$E7="MC"</formula>
    </cfRule>
  </conditionalFormatting>
  <conditionalFormatting sqref="I7">
    <cfRule type="expression" dxfId="168" priority="15">
      <formula>$E7="MC"</formula>
    </cfRule>
  </conditionalFormatting>
  <conditionalFormatting sqref="I7">
    <cfRule type="expression" dxfId="167" priority="14">
      <formula>$E7="MC"</formula>
    </cfRule>
  </conditionalFormatting>
  <conditionalFormatting sqref="I7">
    <cfRule type="expression" dxfId="166" priority="13">
      <formula>$E7="MC"</formula>
    </cfRule>
  </conditionalFormatting>
  <conditionalFormatting sqref="I7">
    <cfRule type="expression" dxfId="165" priority="12">
      <formula>$E7="MC"</formula>
    </cfRule>
  </conditionalFormatting>
  <conditionalFormatting sqref="J14">
    <cfRule type="expression" dxfId="164" priority="8">
      <formula>$E14="MC"</formula>
    </cfRule>
  </conditionalFormatting>
  <conditionalFormatting sqref="J7">
    <cfRule type="expression" dxfId="163" priority="6">
      <formula>#REF!="MC"</formula>
    </cfRule>
  </conditionalFormatting>
  <conditionalFormatting sqref="J10">
    <cfRule type="expression" dxfId="162" priority="5">
      <formula>$E11="MC"</formula>
    </cfRule>
  </conditionalFormatting>
  <conditionalFormatting sqref="J21">
    <cfRule type="expression" dxfId="161" priority="4">
      <formula>$E21="MC"</formula>
    </cfRule>
  </conditionalFormatting>
  <conditionalFormatting sqref="J15">
    <cfRule type="expression" dxfId="160" priority="3">
      <formula>$E15="MC"</formula>
    </cfRule>
  </conditionalFormatting>
  <conditionalFormatting sqref="J13">
    <cfRule type="expression" dxfId="159" priority="2">
      <formula>$E13="MC"</formula>
    </cfRule>
  </conditionalFormatting>
  <conditionalFormatting sqref="J16">
    <cfRule type="expression" dxfId="158" priority="1">
      <formula>$E16="MC"</formula>
    </cfRule>
  </conditionalFormatting>
  <conditionalFormatting sqref="J11">
    <cfRule type="expression" dxfId="157" priority="10">
      <formula>#REF!="MC"</formula>
    </cfRule>
  </conditionalFormatting>
  <dataValidations count="1">
    <dataValidation type="list" allowBlank="1" showInputMessage="1" showErrorMessage="1" sqref="J35 J21 J10:J16 J7">
      <formula1>"DISP.TRABALHO,DISP.PROLE,DISP.IDADE,DISP.MÉDICA"</formula1>
    </dataValidation>
  </dataValidations>
  <pageMargins left="0.25" right="0.25" top="0.75" bottom="0.75" header="0.3" footer="0.3"/>
  <pageSetup paperSize="9" scale="67" orientation="portrait" r:id="rId1"/>
  <colBreaks count="1" manualBreakCount="1">
    <brk id="14" max="104857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ABEBE48A-7569-4734-951F-657553D83154}">
            <xm:f>'\\seduc-1301\Dados\MATRIZ 2017\E.M. JOSÉ PADIN MOUTA\2019\EJA - 2019\FORMAÇÃO DE SALA_RENDIMENTO - 2º2019\[FORMAÇÃO DE SALA - EJA 2º SEM 2019.xlsx]2ª'!#REF!="MC"</xm:f>
            <x14:dxf>
              <font>
                <b/>
                <i val="0"/>
                <color rgb="FFFF0000"/>
              </font>
            </x14:dxf>
          </x14:cfRule>
          <xm:sqref>J7</xm:sqref>
        </x14:conditionalFormatting>
        <x14:conditionalFormatting xmlns:xm="http://schemas.microsoft.com/office/excel/2006/main">
          <x14:cfRule type="expression" priority="9" id="{F60CF23F-5016-498D-AFC4-92AB2A3D4307}">
            <xm:f>'C:\Users\brunasm\Documents\LISTAS\[LISTA PILOTO - EJA 1º SEM 2024 RESULTADOS.xlsx]fomandos 2ºsem2023'!#REF!="MC"</xm:f>
            <x14:dxf>
              <font>
                <b/>
                <i val="0"/>
                <color rgb="FFFF0000"/>
              </font>
            </x14:dxf>
          </x14:cfRule>
          <xm:sqref>J12</xm:sqref>
        </x14:conditionalFormatting>
        <x14:conditionalFormatting xmlns:xm="http://schemas.microsoft.com/office/excel/2006/main">
          <x14:cfRule type="expression" priority="41496" id="{05C6E2EE-172B-4BFA-8F9D-A2E2B97F33CE}">
            <xm:f>'3ª EM'!#REF!="MC"</xm:f>
            <x14:dxf>
              <font>
                <b/>
                <i val="0"/>
                <color rgb="FFFF0000"/>
              </font>
            </x14:dxf>
          </x14:cfRule>
          <xm:sqref>B35:H35 J35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9"/>
  <sheetViews>
    <sheetView view="pageBreakPreview" topLeftCell="A4" zoomScaleNormal="100" zoomScaleSheetLayoutView="100" workbookViewId="0">
      <selection activeCell="A10" sqref="A10:A19"/>
    </sheetView>
  </sheetViews>
  <sheetFormatPr defaultRowHeight="15" x14ac:dyDescent="0.25"/>
  <cols>
    <col min="1" max="1" width="12.85546875" style="9" bestFit="1" customWidth="1"/>
    <col min="2" max="2" width="8.140625" style="9" customWidth="1"/>
    <col min="3" max="3" width="38.28515625" style="20" customWidth="1"/>
    <col min="4" max="4" width="3" style="19" customWidth="1"/>
    <col min="5" max="5" width="8.5703125" style="19" customWidth="1"/>
    <col min="6" max="6" width="13" style="10" customWidth="1"/>
    <col min="7" max="7" width="13.140625" style="9" customWidth="1"/>
    <col min="8" max="8" width="12.85546875" style="22" customWidth="1"/>
    <col min="9" max="9" width="38.140625" style="20" customWidth="1"/>
    <col min="10" max="10" width="14.42578125" style="22" customWidth="1"/>
    <col min="11" max="11" width="14" style="51" customWidth="1"/>
    <col min="12" max="12" width="8" style="51" customWidth="1"/>
    <col min="13" max="13" width="9.5703125" customWidth="1"/>
    <col min="14" max="14" width="6.7109375" customWidth="1"/>
  </cols>
  <sheetData>
    <row r="1" spans="1:14" s="4" customFormat="1" ht="15.75" x14ac:dyDescent="0.25">
      <c r="A1" s="1"/>
      <c r="B1" s="2"/>
      <c r="C1" s="584" t="s">
        <v>0</v>
      </c>
      <c r="D1" s="584"/>
      <c r="E1" s="584"/>
      <c r="F1" s="584"/>
      <c r="G1" s="584"/>
      <c r="H1" s="584"/>
      <c r="I1" s="3"/>
      <c r="J1" s="47"/>
      <c r="K1" s="47"/>
      <c r="L1" s="47"/>
    </row>
    <row r="2" spans="1:14" s="4" customFormat="1" ht="15.75" x14ac:dyDescent="0.25">
      <c r="A2" s="1"/>
      <c r="B2" s="2"/>
      <c r="C2" s="584" t="s">
        <v>1</v>
      </c>
      <c r="D2" s="584"/>
      <c r="E2" s="584"/>
      <c r="F2" s="584"/>
      <c r="G2" s="584"/>
      <c r="H2" s="584"/>
      <c r="I2" s="5"/>
      <c r="J2" s="48"/>
      <c r="K2" s="48"/>
      <c r="L2" s="48"/>
    </row>
    <row r="3" spans="1:14" s="4" customFormat="1" ht="18.75" x14ac:dyDescent="0.25">
      <c r="A3" s="1"/>
      <c r="B3" s="2"/>
      <c r="C3" s="581" t="s">
        <v>2</v>
      </c>
      <c r="D3" s="581"/>
      <c r="E3" s="581"/>
      <c r="F3" s="581"/>
      <c r="G3" s="581"/>
      <c r="H3" s="581"/>
      <c r="I3" s="6"/>
      <c r="J3" s="49"/>
      <c r="K3" s="49"/>
      <c r="L3" s="49"/>
    </row>
    <row r="4" spans="1:14" s="4" customFormat="1" ht="19.5" thickBot="1" x14ac:dyDescent="0.3">
      <c r="A4" s="1"/>
      <c r="B4" s="1"/>
      <c r="C4" s="581" t="s">
        <v>45</v>
      </c>
      <c r="D4" s="581"/>
      <c r="E4" s="581"/>
      <c r="F4" s="581"/>
      <c r="G4" s="581"/>
      <c r="H4" s="581"/>
      <c r="I4" s="5"/>
      <c r="J4" s="48"/>
      <c r="K4" s="48"/>
      <c r="L4" s="48"/>
    </row>
    <row r="5" spans="1:14" ht="46.5" customHeight="1" thickBot="1" x14ac:dyDescent="0.3">
      <c r="A5" s="585" t="s">
        <v>42</v>
      </c>
      <c r="B5" s="586"/>
      <c r="C5" s="586"/>
      <c r="D5" s="586"/>
      <c r="E5" s="586"/>
      <c r="F5" s="586"/>
      <c r="G5" s="586"/>
      <c r="H5" s="587"/>
      <c r="I5" s="91"/>
      <c r="J5" s="91"/>
      <c r="K5" s="45"/>
      <c r="L5" s="45"/>
      <c r="M5" s="7"/>
      <c r="N5" s="7"/>
    </row>
    <row r="6" spans="1:14" s="19" customFormat="1" ht="15.75" x14ac:dyDescent="0.25">
      <c r="A6" s="138" t="s">
        <v>37</v>
      </c>
      <c r="B6" s="125" t="s">
        <v>8</v>
      </c>
      <c r="C6" s="126" t="s">
        <v>9</v>
      </c>
      <c r="D6" s="127" t="s">
        <v>10</v>
      </c>
      <c r="E6" s="128" t="s">
        <v>11</v>
      </c>
      <c r="F6" s="129" t="s">
        <v>12</v>
      </c>
      <c r="G6" s="125" t="s">
        <v>13</v>
      </c>
      <c r="H6" s="130" t="s">
        <v>14</v>
      </c>
      <c r="I6" s="131" t="s">
        <v>15</v>
      </c>
      <c r="J6" s="132" t="s">
        <v>28</v>
      </c>
      <c r="K6" s="133" t="s">
        <v>41</v>
      </c>
      <c r="L6" s="133" t="s">
        <v>36</v>
      </c>
      <c r="M6" s="133" t="s">
        <v>29</v>
      </c>
      <c r="N6" s="8"/>
    </row>
    <row r="7" spans="1:14" ht="15.75" x14ac:dyDescent="0.25">
      <c r="A7" s="31" t="s">
        <v>46</v>
      </c>
      <c r="B7" s="114"/>
      <c r="C7" s="115"/>
      <c r="D7" s="116"/>
      <c r="E7" s="116"/>
      <c r="F7" s="117"/>
      <c r="G7" s="118"/>
      <c r="H7" s="118"/>
      <c r="I7" s="136"/>
      <c r="J7" s="32"/>
      <c r="K7" s="79"/>
      <c r="L7" s="140"/>
      <c r="M7" s="62"/>
      <c r="N7" s="109"/>
    </row>
    <row r="8" spans="1:14" ht="15.75" x14ac:dyDescent="0.25">
      <c r="A8" s="31" t="s">
        <v>47</v>
      </c>
      <c r="B8" s="103"/>
      <c r="C8" s="33"/>
      <c r="D8" s="34"/>
      <c r="E8" s="34"/>
      <c r="F8" s="35"/>
      <c r="G8" s="36"/>
      <c r="H8" s="39"/>
      <c r="I8" s="53"/>
      <c r="J8" s="23"/>
      <c r="K8" s="79"/>
      <c r="L8" s="140"/>
      <c r="M8" s="62"/>
      <c r="N8" s="109"/>
    </row>
    <row r="9" spans="1:14" s="102" customFormat="1" ht="15.75" x14ac:dyDescent="0.25">
      <c r="A9" s="141"/>
      <c r="B9" s="95"/>
      <c r="C9" s="96"/>
      <c r="D9" s="97"/>
      <c r="E9" s="97"/>
      <c r="F9" s="98"/>
      <c r="G9" s="99"/>
      <c r="H9" s="100"/>
      <c r="I9" s="142"/>
      <c r="J9" s="101"/>
      <c r="K9" s="143"/>
      <c r="L9" s="144"/>
      <c r="M9" s="145"/>
      <c r="N9" s="146"/>
    </row>
    <row r="10" spans="1:14" ht="15.75" x14ac:dyDescent="0.25">
      <c r="A10" s="31" t="s">
        <v>48</v>
      </c>
      <c r="B10" s="103"/>
      <c r="C10" s="33"/>
      <c r="D10" s="34"/>
      <c r="E10" s="34"/>
      <c r="F10" s="35"/>
      <c r="G10" s="36"/>
      <c r="H10" s="39"/>
      <c r="I10" s="137"/>
      <c r="J10" s="81"/>
      <c r="K10" s="81"/>
      <c r="L10" s="147"/>
      <c r="M10" s="81"/>
      <c r="N10" s="109"/>
    </row>
    <row r="11" spans="1:14" ht="15.75" x14ac:dyDescent="0.25">
      <c r="A11" s="31" t="s">
        <v>48</v>
      </c>
      <c r="B11" s="103"/>
      <c r="C11" s="33"/>
      <c r="D11" s="34"/>
      <c r="E11" s="34"/>
      <c r="F11" s="35"/>
      <c r="G11" s="36"/>
      <c r="H11" s="39"/>
      <c r="I11" s="137"/>
      <c r="J11" s="23"/>
      <c r="K11" s="62"/>
      <c r="L11" s="147"/>
      <c r="M11" s="62"/>
      <c r="N11" s="109"/>
    </row>
    <row r="12" spans="1:14" ht="15.75" x14ac:dyDescent="0.25">
      <c r="A12" s="31" t="s">
        <v>49</v>
      </c>
      <c r="B12" s="114"/>
      <c r="C12" s="115"/>
      <c r="D12" s="116"/>
      <c r="E12" s="116"/>
      <c r="F12" s="117"/>
      <c r="G12" s="118"/>
      <c r="H12" s="151"/>
      <c r="I12" s="137"/>
      <c r="J12" s="23"/>
      <c r="K12" s="79"/>
      <c r="L12" s="140"/>
      <c r="M12" s="62"/>
      <c r="N12" s="109"/>
    </row>
    <row r="13" spans="1:14" ht="15.75" x14ac:dyDescent="0.25">
      <c r="A13" s="31" t="s">
        <v>47</v>
      </c>
      <c r="B13" s="103"/>
      <c r="C13" s="33"/>
      <c r="D13" s="34"/>
      <c r="E13" s="34"/>
      <c r="F13" s="35"/>
      <c r="G13" s="39"/>
      <c r="H13" s="39"/>
      <c r="I13" s="137"/>
      <c r="J13" s="23"/>
      <c r="K13" s="80"/>
      <c r="L13" s="140"/>
      <c r="M13" s="62"/>
      <c r="N13" s="109"/>
    </row>
    <row r="14" spans="1:14" ht="15.75" x14ac:dyDescent="0.25">
      <c r="A14" s="31" t="s">
        <v>47</v>
      </c>
      <c r="B14" s="103"/>
      <c r="C14" s="33"/>
      <c r="D14" s="34"/>
      <c r="E14" s="34"/>
      <c r="F14" s="35"/>
      <c r="G14" s="36"/>
      <c r="H14" s="36"/>
      <c r="I14" s="137"/>
      <c r="J14" s="80"/>
      <c r="K14" s="62"/>
      <c r="L14" s="149"/>
      <c r="M14" s="62"/>
      <c r="N14" s="109"/>
    </row>
    <row r="15" spans="1:14" ht="15.75" x14ac:dyDescent="0.25">
      <c r="A15" s="31" t="s">
        <v>47</v>
      </c>
      <c r="B15" s="103"/>
      <c r="C15" s="33"/>
      <c r="D15" s="34"/>
      <c r="E15" s="34"/>
      <c r="F15" s="35"/>
      <c r="G15" s="36"/>
      <c r="H15" s="39"/>
      <c r="I15" s="137"/>
      <c r="J15" s="23"/>
      <c r="K15" s="81"/>
      <c r="L15" s="140"/>
      <c r="M15" s="61"/>
      <c r="N15" s="109"/>
    </row>
    <row r="16" spans="1:14" ht="15.75" x14ac:dyDescent="0.25">
      <c r="A16" s="31" t="s">
        <v>47</v>
      </c>
      <c r="B16" s="103"/>
      <c r="C16" s="33"/>
      <c r="D16" s="34"/>
      <c r="E16" s="34"/>
      <c r="F16" s="35"/>
      <c r="G16" s="36"/>
      <c r="H16" s="39"/>
      <c r="I16" s="137"/>
      <c r="J16" s="23"/>
      <c r="K16" s="23"/>
      <c r="L16" s="149"/>
      <c r="M16" s="61"/>
      <c r="N16" s="109"/>
    </row>
    <row r="17" spans="1:14" ht="15.75" x14ac:dyDescent="0.25">
      <c r="A17" s="31" t="s">
        <v>47</v>
      </c>
      <c r="B17" s="114"/>
      <c r="C17" s="115"/>
      <c r="D17" s="116"/>
      <c r="E17" s="116"/>
      <c r="F17" s="117"/>
      <c r="G17" s="118"/>
      <c r="H17" s="118"/>
      <c r="I17" s="137"/>
      <c r="J17" s="92"/>
      <c r="K17" s="80"/>
      <c r="L17" s="147"/>
      <c r="M17" s="78"/>
      <c r="N17" s="109"/>
    </row>
    <row r="18" spans="1:14" ht="15.75" x14ac:dyDescent="0.25">
      <c r="A18" s="31" t="s">
        <v>50</v>
      </c>
      <c r="B18" s="103"/>
      <c r="C18" s="33"/>
      <c r="D18" s="34"/>
      <c r="E18" s="34"/>
      <c r="F18" s="35"/>
      <c r="G18" s="36"/>
      <c r="H18" s="39"/>
      <c r="I18" s="53"/>
      <c r="J18" s="80"/>
      <c r="K18" s="81"/>
      <c r="L18" s="140"/>
      <c r="M18" s="61"/>
      <c r="N18" s="109"/>
    </row>
    <row r="19" spans="1:14" ht="15.75" x14ac:dyDescent="0.25">
      <c r="A19" s="31" t="s">
        <v>50</v>
      </c>
      <c r="B19" s="103"/>
      <c r="C19" s="77"/>
      <c r="D19" s="31"/>
      <c r="E19" s="31"/>
      <c r="F19" s="30"/>
      <c r="G19" s="120"/>
      <c r="H19" s="32"/>
      <c r="I19" s="137"/>
      <c r="J19" s="80"/>
      <c r="K19" s="62"/>
      <c r="L19" s="140"/>
      <c r="M19" s="61"/>
      <c r="N19" s="109"/>
    </row>
    <row r="20" spans="1:14" ht="15.75" x14ac:dyDescent="0.25">
      <c r="A20" s="31"/>
      <c r="B20" s="114"/>
      <c r="C20" s="115"/>
      <c r="D20" s="116"/>
      <c r="E20" s="148"/>
      <c r="F20" s="117"/>
      <c r="G20" s="118"/>
      <c r="H20" s="119"/>
      <c r="I20" s="136"/>
      <c r="J20" s="59"/>
      <c r="K20" s="79"/>
      <c r="L20" s="149"/>
      <c r="M20" s="62"/>
      <c r="N20" s="109"/>
    </row>
    <row r="21" spans="1:14" ht="15.75" x14ac:dyDescent="0.25">
      <c r="A21" s="31"/>
      <c r="B21" s="114"/>
      <c r="C21" s="115"/>
      <c r="D21" s="116"/>
      <c r="E21" s="148"/>
      <c r="F21" s="117"/>
      <c r="G21" s="118"/>
      <c r="H21" s="119"/>
      <c r="I21" s="136"/>
      <c r="J21" s="80"/>
      <c r="K21" s="79"/>
      <c r="L21" s="140"/>
      <c r="M21" s="62"/>
      <c r="N21" s="109"/>
    </row>
    <row r="22" spans="1:14" ht="15.75" x14ac:dyDescent="0.25">
      <c r="A22" s="31"/>
      <c r="B22" s="114"/>
      <c r="C22" s="115"/>
      <c r="D22" s="116"/>
      <c r="E22" s="148"/>
      <c r="F22" s="117"/>
      <c r="G22" s="118"/>
      <c r="H22" s="119"/>
      <c r="I22" s="136"/>
      <c r="J22" s="80"/>
      <c r="K22" s="79"/>
      <c r="L22" s="149"/>
      <c r="M22" s="62"/>
      <c r="N22" s="109"/>
    </row>
    <row r="23" spans="1:14" ht="15.75" x14ac:dyDescent="0.25">
      <c r="A23" s="31"/>
      <c r="B23" s="38"/>
      <c r="C23" s="82"/>
      <c r="D23" s="83"/>
      <c r="E23" s="56"/>
      <c r="F23" s="84"/>
      <c r="G23" s="85"/>
      <c r="H23" s="86"/>
      <c r="I23" s="82"/>
      <c r="J23" s="86"/>
      <c r="K23" s="79"/>
      <c r="L23" s="149"/>
      <c r="M23" s="61"/>
      <c r="N23" s="109"/>
    </row>
    <row r="24" spans="1:14" ht="15.75" x14ac:dyDescent="0.25">
      <c r="A24" s="31"/>
      <c r="B24" s="38"/>
      <c r="C24" s="55"/>
      <c r="D24" s="56"/>
      <c r="E24" s="56"/>
      <c r="F24" s="57"/>
      <c r="G24" s="38"/>
      <c r="H24" s="58"/>
      <c r="I24" s="150"/>
      <c r="J24" s="23"/>
      <c r="K24" s="79"/>
      <c r="L24" s="149"/>
      <c r="M24" s="62"/>
      <c r="N24" s="109"/>
    </row>
    <row r="25" spans="1:14" ht="15.75" x14ac:dyDescent="0.25">
      <c r="A25" s="31"/>
      <c r="B25" s="27"/>
      <c r="C25" s="28"/>
      <c r="D25" s="29"/>
      <c r="E25" s="29"/>
      <c r="F25" s="30"/>
      <c r="G25" s="31"/>
      <c r="H25" s="32"/>
      <c r="I25" s="53"/>
      <c r="J25" s="81"/>
      <c r="K25" s="79"/>
      <c r="L25" s="140"/>
      <c r="M25" s="62"/>
      <c r="N25" s="109"/>
    </row>
    <row r="26" spans="1:14" ht="15.75" x14ac:dyDescent="0.25">
      <c r="A26" s="31"/>
      <c r="B26" s="27"/>
      <c r="C26" s="28"/>
      <c r="D26" s="29"/>
      <c r="E26" s="29"/>
      <c r="F26" s="30"/>
      <c r="G26" s="31"/>
      <c r="H26" s="32"/>
      <c r="I26" s="53"/>
      <c r="J26" s="81"/>
      <c r="K26" s="79"/>
      <c r="L26" s="140"/>
      <c r="M26" s="62"/>
      <c r="N26" s="109"/>
    </row>
    <row r="27" spans="1:14" ht="15.75" x14ac:dyDescent="0.25">
      <c r="A27" s="31"/>
      <c r="B27" s="27"/>
      <c r="C27" s="28"/>
      <c r="D27" s="29"/>
      <c r="E27" s="29"/>
      <c r="F27" s="30"/>
      <c r="G27" s="31"/>
      <c r="H27" s="32"/>
      <c r="I27" s="53"/>
      <c r="J27" s="81"/>
      <c r="K27" s="79"/>
      <c r="L27" s="140"/>
      <c r="M27" s="62"/>
      <c r="N27" s="109"/>
    </row>
    <row r="28" spans="1:14" ht="15.75" x14ac:dyDescent="0.25">
      <c r="A28" s="31"/>
      <c r="B28" s="27"/>
      <c r="C28" s="28"/>
      <c r="D28" s="29"/>
      <c r="E28" s="29"/>
      <c r="F28" s="30"/>
      <c r="G28" s="31"/>
      <c r="H28" s="32"/>
      <c r="I28" s="53"/>
      <c r="J28" s="81"/>
      <c r="K28" s="79"/>
      <c r="L28" s="140"/>
      <c r="M28" s="62"/>
      <c r="N28" s="109"/>
    </row>
    <row r="29" spans="1:14" ht="15.75" x14ac:dyDescent="0.25">
      <c r="A29" s="31"/>
      <c r="B29" s="27"/>
      <c r="C29" s="28"/>
      <c r="D29" s="29"/>
      <c r="E29" s="29"/>
      <c r="F29" s="30"/>
      <c r="G29" s="31"/>
      <c r="H29" s="32"/>
      <c r="I29" s="53"/>
      <c r="J29" s="81"/>
      <c r="K29" s="79"/>
      <c r="L29" s="140"/>
      <c r="M29" s="62"/>
      <c r="N29" s="109"/>
    </row>
    <row r="30" spans="1:14" ht="15.75" x14ac:dyDescent="0.25">
      <c r="A30" s="31"/>
      <c r="B30" s="27"/>
      <c r="C30" s="28"/>
      <c r="D30" s="29"/>
      <c r="E30" s="29"/>
      <c r="F30" s="30"/>
      <c r="G30" s="31"/>
      <c r="H30" s="32"/>
      <c r="I30" s="53"/>
      <c r="J30" s="81"/>
      <c r="K30" s="79"/>
      <c r="L30" s="140"/>
      <c r="M30" s="62"/>
      <c r="N30" s="109"/>
    </row>
    <row r="31" spans="1:14" ht="15.75" x14ac:dyDescent="0.25">
      <c r="A31" s="31"/>
      <c r="B31" s="27"/>
      <c r="C31" s="28"/>
      <c r="D31" s="29"/>
      <c r="E31" s="29"/>
      <c r="F31" s="30"/>
      <c r="G31" s="31"/>
      <c r="H31" s="32"/>
      <c r="I31" s="53"/>
      <c r="J31" s="81"/>
      <c r="K31" s="79"/>
      <c r="L31" s="140"/>
      <c r="M31" s="62"/>
      <c r="N31" s="109"/>
    </row>
    <row r="32" spans="1:14" ht="15.75" x14ac:dyDescent="0.25">
      <c r="A32" s="31"/>
      <c r="B32" s="27"/>
      <c r="C32" s="28"/>
      <c r="D32" s="29"/>
      <c r="E32" s="29"/>
      <c r="F32" s="30"/>
      <c r="G32" s="31"/>
      <c r="H32" s="32"/>
      <c r="I32" s="53"/>
      <c r="J32" s="81"/>
      <c r="K32" s="62"/>
      <c r="L32" s="140"/>
      <c r="M32" s="62"/>
      <c r="N32" s="109"/>
    </row>
    <row r="33" spans="1:14" ht="15.75" x14ac:dyDescent="0.25">
      <c r="A33" s="31"/>
      <c r="B33" s="27"/>
      <c r="C33" s="28"/>
      <c r="D33" s="29"/>
      <c r="E33" s="29"/>
      <c r="F33" s="30"/>
      <c r="G33" s="31"/>
      <c r="H33" s="32"/>
      <c r="I33" s="53"/>
      <c r="J33" s="81"/>
      <c r="K33" s="62"/>
      <c r="L33" s="140"/>
      <c r="M33" s="62"/>
      <c r="N33" s="109"/>
    </row>
    <row r="34" spans="1:14" ht="15.75" x14ac:dyDescent="0.25">
      <c r="A34" s="31"/>
      <c r="B34" s="27"/>
      <c r="C34" s="28"/>
      <c r="D34" s="29"/>
      <c r="E34" s="29"/>
      <c r="F34" s="30"/>
      <c r="G34" s="31"/>
      <c r="H34" s="32"/>
      <c r="I34" s="53"/>
      <c r="J34" s="81"/>
      <c r="K34" s="62"/>
      <c r="L34" s="140"/>
      <c r="M34" s="62"/>
      <c r="N34" s="109"/>
    </row>
    <row r="35" spans="1:14" ht="15.75" x14ac:dyDescent="0.25">
      <c r="A35" s="31"/>
      <c r="B35" s="27"/>
      <c r="C35" s="28"/>
      <c r="D35" s="29"/>
      <c r="E35" s="29"/>
      <c r="F35" s="30"/>
      <c r="G35" s="31"/>
      <c r="H35" s="32"/>
      <c r="I35" s="53"/>
      <c r="J35" s="81"/>
      <c r="K35" s="62"/>
      <c r="L35" s="140"/>
      <c r="M35" s="62"/>
      <c r="N35" s="109"/>
    </row>
    <row r="36" spans="1:14" ht="15.75" x14ac:dyDescent="0.25">
      <c r="A36" s="31"/>
      <c r="B36" s="27"/>
      <c r="C36" s="28"/>
      <c r="D36" s="29"/>
      <c r="E36" s="29"/>
      <c r="F36" s="30"/>
      <c r="G36" s="31"/>
      <c r="H36" s="32"/>
      <c r="I36" s="53"/>
      <c r="J36" s="81"/>
      <c r="K36" s="62"/>
      <c r="L36" s="140"/>
      <c r="M36" s="62"/>
      <c r="N36" s="109"/>
    </row>
    <row r="37" spans="1:14" ht="15.75" x14ac:dyDescent="0.25">
      <c r="A37" s="31"/>
      <c r="B37" s="27"/>
      <c r="C37" s="28"/>
      <c r="D37" s="29"/>
      <c r="E37" s="29"/>
      <c r="F37" s="30"/>
      <c r="G37" s="31"/>
      <c r="H37" s="32"/>
      <c r="I37" s="53"/>
      <c r="J37" s="81"/>
      <c r="K37" s="62"/>
      <c r="L37" s="140"/>
      <c r="M37" s="62"/>
      <c r="N37" s="109"/>
    </row>
    <row r="38" spans="1:14" ht="15.75" x14ac:dyDescent="0.25">
      <c r="A38" s="31"/>
      <c r="B38" s="27"/>
      <c r="C38" s="28"/>
      <c r="D38" s="29"/>
      <c r="E38" s="29"/>
      <c r="F38" s="30"/>
      <c r="G38" s="31"/>
      <c r="H38" s="32"/>
      <c r="I38" s="53"/>
      <c r="J38" s="81"/>
      <c r="K38" s="62"/>
      <c r="L38" s="140"/>
      <c r="M38" s="62"/>
      <c r="N38" s="109"/>
    </row>
    <row r="39" spans="1:14" ht="15.75" x14ac:dyDescent="0.25">
      <c r="A39" s="31"/>
      <c r="B39" s="27"/>
      <c r="C39" s="28"/>
      <c r="D39" s="29"/>
      <c r="E39" s="29"/>
      <c r="F39" s="30"/>
      <c r="G39" s="31"/>
      <c r="H39" s="32"/>
      <c r="I39" s="53"/>
      <c r="J39" s="81"/>
      <c r="K39" s="62"/>
      <c r="L39" s="140"/>
      <c r="M39" s="62"/>
      <c r="N39" s="109"/>
    </row>
    <row r="40" spans="1:14" ht="15.75" x14ac:dyDescent="0.25">
      <c r="A40" s="31"/>
      <c r="B40" s="27"/>
      <c r="C40" s="28"/>
      <c r="D40" s="29"/>
      <c r="E40" s="29"/>
      <c r="F40" s="30"/>
      <c r="G40" s="31"/>
      <c r="H40" s="32"/>
      <c r="I40" s="53"/>
      <c r="J40" s="81"/>
      <c r="K40" s="62"/>
      <c r="L40" s="140"/>
      <c r="M40" s="62"/>
      <c r="N40" s="109"/>
    </row>
    <row r="41" spans="1:14" ht="15.75" x14ac:dyDescent="0.25">
      <c r="A41" s="31"/>
      <c r="B41" s="27"/>
      <c r="C41" s="28"/>
      <c r="D41" s="29"/>
      <c r="E41" s="29"/>
      <c r="F41" s="30"/>
      <c r="G41" s="31"/>
      <c r="H41" s="32"/>
      <c r="I41" s="53"/>
      <c r="J41" s="81"/>
      <c r="K41" s="62"/>
      <c r="L41" s="140"/>
      <c r="M41" s="62"/>
      <c r="N41" s="109"/>
    </row>
    <row r="42" spans="1:14" ht="15.75" x14ac:dyDescent="0.25">
      <c r="A42" s="31"/>
      <c r="B42" s="27"/>
      <c r="C42" s="28"/>
      <c r="D42" s="29"/>
      <c r="E42" s="29"/>
      <c r="F42" s="30"/>
      <c r="G42" s="31"/>
      <c r="H42" s="32"/>
      <c r="I42" s="53"/>
      <c r="J42" s="81"/>
      <c r="K42" s="62"/>
      <c r="L42" s="140"/>
      <c r="M42" s="62"/>
      <c r="N42" s="109"/>
    </row>
    <row r="43" spans="1:14" ht="15.75" x14ac:dyDescent="0.25">
      <c r="A43" s="31"/>
      <c r="B43" s="27"/>
      <c r="C43" s="28"/>
      <c r="D43" s="29"/>
      <c r="E43" s="29"/>
      <c r="F43" s="30"/>
      <c r="G43" s="31"/>
      <c r="H43" s="32"/>
      <c r="I43" s="53"/>
      <c r="J43" s="81"/>
      <c r="K43" s="62"/>
      <c r="L43" s="140"/>
      <c r="M43" s="62"/>
      <c r="N43" s="109"/>
    </row>
    <row r="44" spans="1:14" ht="15.75" x14ac:dyDescent="0.25">
      <c r="A44" s="31"/>
      <c r="B44" s="27"/>
      <c r="C44" s="28"/>
      <c r="D44" s="29"/>
      <c r="E44" s="29"/>
      <c r="F44" s="30"/>
      <c r="G44" s="31"/>
      <c r="H44" s="32"/>
      <c r="I44" s="53"/>
      <c r="J44" s="81" t="s">
        <v>26</v>
      </c>
      <c r="K44" s="62"/>
      <c r="L44" s="140" t="str">
        <f t="shared" ref="L44:L52" ca="1" si="0">IF(F44="","",INT((TODAY()-F44)/365.25))</f>
        <v/>
      </c>
      <c r="M44" s="62"/>
      <c r="N44" s="109"/>
    </row>
    <row r="45" spans="1:14" ht="15.75" x14ac:dyDescent="0.25">
      <c r="A45" s="31"/>
      <c r="B45" s="27"/>
      <c r="C45" s="28"/>
      <c r="D45" s="29"/>
      <c r="E45" s="29"/>
      <c r="F45" s="30"/>
      <c r="G45" s="31"/>
      <c r="H45" s="32"/>
      <c r="I45" s="53"/>
      <c r="J45" s="81" t="s">
        <v>26</v>
      </c>
      <c r="K45" s="62"/>
      <c r="L45" s="140" t="str">
        <f t="shared" ca="1" si="0"/>
        <v/>
      </c>
      <c r="M45" s="62"/>
      <c r="N45" s="109"/>
    </row>
    <row r="46" spans="1:14" ht="15.75" x14ac:dyDescent="0.25">
      <c r="A46" s="31"/>
      <c r="B46" s="27"/>
      <c r="C46" s="28"/>
      <c r="D46" s="29"/>
      <c r="E46" s="29"/>
      <c r="F46" s="30"/>
      <c r="G46" s="31"/>
      <c r="H46" s="32"/>
      <c r="I46" s="53"/>
      <c r="J46" s="81" t="s">
        <v>26</v>
      </c>
      <c r="K46" s="62"/>
      <c r="L46" s="140" t="str">
        <f t="shared" ca="1" si="0"/>
        <v/>
      </c>
      <c r="M46" s="62"/>
      <c r="N46" s="109"/>
    </row>
    <row r="47" spans="1:14" ht="15.75" x14ac:dyDescent="0.25">
      <c r="A47" s="31"/>
      <c r="B47" s="27"/>
      <c r="C47" s="28"/>
      <c r="D47" s="29"/>
      <c r="E47" s="29"/>
      <c r="F47" s="30"/>
      <c r="G47" s="31"/>
      <c r="H47" s="32"/>
      <c r="I47" s="53"/>
      <c r="J47" s="81" t="s">
        <v>26</v>
      </c>
      <c r="K47" s="62"/>
      <c r="L47" s="140" t="str">
        <f t="shared" ca="1" si="0"/>
        <v/>
      </c>
      <c r="M47" s="62"/>
      <c r="N47" s="109"/>
    </row>
    <row r="48" spans="1:14" ht="15.75" x14ac:dyDescent="0.25">
      <c r="A48" s="31"/>
      <c r="B48" s="27"/>
      <c r="C48" s="28"/>
      <c r="D48" s="29"/>
      <c r="E48" s="29"/>
      <c r="F48" s="30"/>
      <c r="G48" s="31"/>
      <c r="H48" s="32"/>
      <c r="I48" s="53"/>
      <c r="J48" s="81" t="s">
        <v>26</v>
      </c>
      <c r="K48" s="62"/>
      <c r="L48" s="140" t="str">
        <f t="shared" ca="1" si="0"/>
        <v/>
      </c>
      <c r="M48" s="62"/>
      <c r="N48" s="109"/>
    </row>
    <row r="49" spans="1:14" ht="15.75" x14ac:dyDescent="0.25">
      <c r="A49" s="31"/>
      <c r="B49" s="27"/>
      <c r="C49" s="28"/>
      <c r="D49" s="29"/>
      <c r="E49" s="29"/>
      <c r="F49" s="30"/>
      <c r="G49" s="31"/>
      <c r="H49" s="32"/>
      <c r="I49" s="53"/>
      <c r="J49" s="81" t="s">
        <v>26</v>
      </c>
      <c r="K49" s="62"/>
      <c r="L49" s="140" t="str">
        <f t="shared" ca="1" si="0"/>
        <v/>
      </c>
      <c r="M49" s="62"/>
      <c r="N49" s="109"/>
    </row>
    <row r="50" spans="1:14" ht="15.75" x14ac:dyDescent="0.25">
      <c r="A50" s="31"/>
      <c r="B50" s="27"/>
      <c r="C50" s="28"/>
      <c r="D50" s="29"/>
      <c r="E50" s="29"/>
      <c r="F50" s="30"/>
      <c r="G50" s="31"/>
      <c r="H50" s="32"/>
      <c r="I50" s="53"/>
      <c r="J50" s="81" t="s">
        <v>26</v>
      </c>
      <c r="K50" s="62"/>
      <c r="L50" s="140" t="str">
        <f t="shared" ca="1" si="0"/>
        <v/>
      </c>
      <c r="M50" s="62"/>
      <c r="N50" s="109"/>
    </row>
    <row r="51" spans="1:14" ht="15.75" x14ac:dyDescent="0.25">
      <c r="A51" s="31"/>
      <c r="B51" s="27"/>
      <c r="C51" s="28"/>
      <c r="D51" s="29"/>
      <c r="E51" s="29"/>
      <c r="F51" s="30"/>
      <c r="G51" s="31"/>
      <c r="H51" s="32"/>
      <c r="I51" s="53"/>
      <c r="J51" s="81" t="s">
        <v>26</v>
      </c>
      <c r="K51" s="62"/>
      <c r="L51" s="140" t="str">
        <f t="shared" ca="1" si="0"/>
        <v/>
      </c>
      <c r="M51" s="62"/>
      <c r="N51" s="109"/>
    </row>
    <row r="52" spans="1:14" ht="15.75" x14ac:dyDescent="0.25">
      <c r="A52" s="31"/>
      <c r="B52" s="27"/>
      <c r="C52" s="28"/>
      <c r="D52" s="29"/>
      <c r="E52" s="29"/>
      <c r="F52" s="30"/>
      <c r="G52" s="31"/>
      <c r="H52" s="32"/>
      <c r="I52" s="53"/>
      <c r="J52" s="81" t="s">
        <v>26</v>
      </c>
      <c r="K52" s="62"/>
      <c r="L52" s="140" t="str">
        <f t="shared" ca="1" si="0"/>
        <v/>
      </c>
      <c r="M52" s="62"/>
      <c r="N52" s="109"/>
    </row>
    <row r="53" spans="1:14" x14ac:dyDescent="0.25">
      <c r="A53" s="110"/>
      <c r="B53" s="110"/>
      <c r="C53" s="111"/>
      <c r="D53" s="93"/>
      <c r="E53" s="93"/>
      <c r="F53" s="112"/>
      <c r="G53" s="110"/>
      <c r="H53" s="113"/>
      <c r="I53" s="111"/>
      <c r="J53" s="113"/>
      <c r="K53" s="54"/>
      <c r="L53" s="54"/>
      <c r="M53" s="109"/>
      <c r="N53" s="109"/>
    </row>
    <row r="54" spans="1:14" x14ac:dyDescent="0.25">
      <c r="A54" s="110"/>
      <c r="B54" s="110"/>
      <c r="C54" s="111"/>
      <c r="D54" s="93"/>
      <c r="E54" s="93"/>
      <c r="F54" s="112"/>
      <c r="G54" s="110"/>
      <c r="H54" s="113"/>
      <c r="I54" s="111"/>
      <c r="J54" s="113"/>
      <c r="K54" s="54"/>
      <c r="L54" s="54"/>
      <c r="M54" s="109"/>
      <c r="N54" s="109"/>
    </row>
    <row r="55" spans="1:14" x14ac:dyDescent="0.25">
      <c r="A55" s="110"/>
      <c r="B55" s="110"/>
      <c r="C55" s="111"/>
      <c r="D55" s="93"/>
      <c r="E55" s="93"/>
      <c r="F55" s="112"/>
      <c r="G55" s="110"/>
      <c r="H55" s="113"/>
      <c r="I55" s="111"/>
      <c r="J55" s="113"/>
      <c r="K55" s="54"/>
      <c r="L55" s="54"/>
      <c r="M55" s="109"/>
      <c r="N55" s="109"/>
    </row>
    <row r="56" spans="1:14" x14ac:dyDescent="0.25">
      <c r="A56" s="110"/>
      <c r="B56" s="110"/>
      <c r="C56" s="111"/>
      <c r="D56" s="93"/>
      <c r="E56" s="93"/>
      <c r="F56" s="112"/>
      <c r="G56" s="110"/>
      <c r="H56" s="113"/>
      <c r="I56" s="111"/>
      <c r="J56" s="113"/>
      <c r="K56" s="54"/>
      <c r="L56" s="54"/>
      <c r="M56" s="109"/>
      <c r="N56" s="109"/>
    </row>
    <row r="57" spans="1:14" x14ac:dyDescent="0.25">
      <c r="A57" s="110"/>
      <c r="B57" s="110"/>
      <c r="C57" s="111"/>
      <c r="D57" s="93"/>
      <c r="E57" s="93"/>
      <c r="F57" s="112"/>
      <c r="G57" s="110"/>
      <c r="H57" s="113"/>
      <c r="I57" s="111"/>
      <c r="J57" s="113"/>
      <c r="K57" s="54"/>
      <c r="L57" s="54"/>
      <c r="M57" s="109"/>
      <c r="N57" s="109"/>
    </row>
    <row r="58" spans="1:14" x14ac:dyDescent="0.25">
      <c r="A58" s="110"/>
      <c r="B58" s="110"/>
      <c r="C58" s="111"/>
      <c r="D58" s="93"/>
      <c r="E58" s="93"/>
      <c r="F58" s="112"/>
      <c r="G58" s="110"/>
      <c r="H58" s="113"/>
      <c r="I58" s="111"/>
      <c r="J58" s="113"/>
      <c r="K58" s="54"/>
      <c r="L58" s="54"/>
      <c r="M58" s="109"/>
      <c r="N58" s="109"/>
    </row>
    <row r="59" spans="1:14" x14ac:dyDescent="0.25">
      <c r="A59" s="110"/>
      <c r="B59" s="110"/>
      <c r="C59" s="111"/>
      <c r="D59" s="93"/>
      <c r="E59" s="93"/>
      <c r="F59" s="112"/>
      <c r="G59" s="110"/>
      <c r="H59" s="113"/>
      <c r="I59" s="111"/>
      <c r="J59" s="113"/>
      <c r="K59" s="54"/>
      <c r="L59" s="54"/>
      <c r="M59" s="109"/>
      <c r="N59" s="109"/>
    </row>
  </sheetData>
  <mergeCells count="5">
    <mergeCell ref="C1:H1"/>
    <mergeCell ref="C2:H2"/>
    <mergeCell ref="C3:H3"/>
    <mergeCell ref="C4:H4"/>
    <mergeCell ref="A5:H5"/>
  </mergeCells>
  <conditionalFormatting sqref="A25:A52 A20:A23 A9">
    <cfRule type="expression" dxfId="153" priority="316">
      <formula>#REF!="MC"</formula>
    </cfRule>
  </conditionalFormatting>
  <conditionalFormatting sqref="B9:I9">
    <cfRule type="expression" dxfId="152" priority="315" stopIfTrue="1">
      <formula>$E9="MC"</formula>
    </cfRule>
  </conditionalFormatting>
  <conditionalFormatting sqref="B25:I52 J10:J11 B8:J8">
    <cfRule type="expression" dxfId="151" priority="314">
      <formula>$E8="MC"</formula>
    </cfRule>
  </conditionalFormatting>
  <conditionalFormatting sqref="J12">
    <cfRule type="expression" dxfId="150" priority="256">
      <formula>$E12="MC"</formula>
    </cfRule>
  </conditionalFormatting>
  <conditionalFormatting sqref="J20">
    <cfRule type="expression" dxfId="149" priority="288">
      <formula>$E20="MC"</formula>
    </cfRule>
  </conditionalFormatting>
  <conditionalFormatting sqref="J23">
    <cfRule type="expression" dxfId="148" priority="284">
      <formula>$E23="MC"</formula>
    </cfRule>
  </conditionalFormatting>
  <conditionalFormatting sqref="I24">
    <cfRule type="expression" dxfId="147" priority="272">
      <formula>$E24="MC"</formula>
    </cfRule>
  </conditionalFormatting>
  <conditionalFormatting sqref="B23">
    <cfRule type="expression" dxfId="146" priority="282">
      <formula>$E23="MC"</formula>
    </cfRule>
  </conditionalFormatting>
  <conditionalFormatting sqref="C23:D23 F23:H23">
    <cfRule type="expression" dxfId="145" priority="281">
      <formula>$E23="MC"</formula>
    </cfRule>
  </conditionalFormatting>
  <conditionalFormatting sqref="I23">
    <cfRule type="expression" dxfId="144" priority="280">
      <formula>$E23="MC"</formula>
    </cfRule>
  </conditionalFormatting>
  <conditionalFormatting sqref="E23">
    <cfRule type="expression" dxfId="143" priority="278">
      <formula>$E23="MC"</formula>
    </cfRule>
  </conditionalFormatting>
  <conditionalFormatting sqref="A24">
    <cfRule type="expression" dxfId="142" priority="276">
      <formula>#REF!="MC"</formula>
    </cfRule>
  </conditionalFormatting>
  <conditionalFormatting sqref="C24:D24 F24:H24">
    <cfRule type="expression" dxfId="141" priority="275">
      <formula>$E24="MC"</formula>
    </cfRule>
  </conditionalFormatting>
  <conditionalFormatting sqref="J24">
    <cfRule type="expression" dxfId="140" priority="274">
      <formula>$E24="MC"</formula>
    </cfRule>
  </conditionalFormatting>
  <conditionalFormatting sqref="B24">
    <cfRule type="expression" dxfId="139" priority="273">
      <formula>$E24="MC"</formula>
    </cfRule>
  </conditionalFormatting>
  <conditionalFormatting sqref="E24">
    <cfRule type="expression" dxfId="138" priority="271">
      <formula>$E24="MC"</formula>
    </cfRule>
  </conditionalFormatting>
  <conditionalFormatting sqref="J18">
    <cfRule type="expression" dxfId="137" priority="192">
      <formula>$E18="MC"</formula>
    </cfRule>
  </conditionalFormatting>
  <conditionalFormatting sqref="K16">
    <cfRule type="expression" dxfId="136" priority="248">
      <formula>$E16="MC"</formula>
    </cfRule>
  </conditionalFormatting>
  <conditionalFormatting sqref="J19">
    <cfRule type="expression" dxfId="135" priority="181">
      <formula>$E19="MC"</formula>
    </cfRule>
  </conditionalFormatting>
  <conditionalFormatting sqref="J13">
    <cfRule type="expression" dxfId="134" priority="253">
      <formula>$E21="MC"</formula>
    </cfRule>
  </conditionalFormatting>
  <conditionalFormatting sqref="J15">
    <cfRule type="expression" dxfId="133" priority="252">
      <formula>$E15="MC"</formula>
    </cfRule>
  </conditionalFormatting>
  <conditionalFormatting sqref="B20:D20 F20:I20">
    <cfRule type="expression" dxfId="132" priority="174">
      <formula>$E20="MC"</formula>
    </cfRule>
  </conditionalFormatting>
  <conditionalFormatting sqref="J16">
    <cfRule type="expression" dxfId="131" priority="246">
      <formula>$E16="MC"</formula>
    </cfRule>
  </conditionalFormatting>
  <conditionalFormatting sqref="A7">
    <cfRule type="expression" dxfId="130" priority="242">
      <formula>#REF!="MC"</formula>
    </cfRule>
  </conditionalFormatting>
  <conditionalFormatting sqref="B21:D21 F21:I21">
    <cfRule type="expression" dxfId="129" priority="158">
      <formula>$E21="MC"</formula>
    </cfRule>
  </conditionalFormatting>
  <conditionalFormatting sqref="J21">
    <cfRule type="expression" dxfId="128" priority="157">
      <formula>$E21="MC"</formula>
    </cfRule>
  </conditionalFormatting>
  <conditionalFormatting sqref="B21:D21 F21:I21">
    <cfRule type="expression" dxfId="127" priority="156">
      <formula>$E21="MC"</formula>
    </cfRule>
  </conditionalFormatting>
  <conditionalFormatting sqref="J21">
    <cfRule type="expression" dxfId="126" priority="155">
      <formula>$E21="MC"</formula>
    </cfRule>
  </conditionalFormatting>
  <conditionalFormatting sqref="E21">
    <cfRule type="expression" dxfId="125" priority="154">
      <formula>$E21="MC"</formula>
    </cfRule>
  </conditionalFormatting>
  <conditionalFormatting sqref="J21">
    <cfRule type="expression" dxfId="124" priority="159">
      <formula>$E21="MC"</formula>
    </cfRule>
  </conditionalFormatting>
  <conditionalFormatting sqref="E22">
    <cfRule type="expression" dxfId="123" priority="143">
      <formula>$E22="MC"</formula>
    </cfRule>
  </conditionalFormatting>
  <conditionalFormatting sqref="J22">
    <cfRule type="expression" dxfId="122" priority="153">
      <formula>$E22="MC"</formula>
    </cfRule>
  </conditionalFormatting>
  <conditionalFormatting sqref="J14">
    <cfRule type="expression" dxfId="121" priority="204">
      <formula>$E14="MC"</formula>
    </cfRule>
  </conditionalFormatting>
  <conditionalFormatting sqref="B21:D21 F21:I21">
    <cfRule type="expression" dxfId="120" priority="164">
      <formula>$E21="MC"</formula>
    </cfRule>
  </conditionalFormatting>
  <conditionalFormatting sqref="J21">
    <cfRule type="expression" dxfId="119" priority="163">
      <formula>$E21="MC"</formula>
    </cfRule>
  </conditionalFormatting>
  <conditionalFormatting sqref="B20:D20 F20:I20">
    <cfRule type="expression" dxfId="118" priority="175">
      <formula>$E20="MC"</formula>
    </cfRule>
  </conditionalFormatting>
  <conditionalFormatting sqref="J17">
    <cfRule type="expression" dxfId="117" priority="194">
      <formula>$E17="MC"</formula>
    </cfRule>
  </conditionalFormatting>
  <conditionalFormatting sqref="J19">
    <cfRule type="expression" dxfId="116" priority="187">
      <formula>$E19="MC"</formula>
    </cfRule>
  </conditionalFormatting>
  <conditionalFormatting sqref="J19">
    <cfRule type="expression" dxfId="115" priority="185">
      <formula>$E19="MC"</formula>
    </cfRule>
  </conditionalFormatting>
  <conditionalFormatting sqref="J19">
    <cfRule type="expression" dxfId="114" priority="183">
      <formula>$E19="MC"</formula>
    </cfRule>
  </conditionalFormatting>
  <conditionalFormatting sqref="B20:D20 F20:I20">
    <cfRule type="expression" dxfId="113" priority="173">
      <formula>$E20="MC"</formula>
    </cfRule>
  </conditionalFormatting>
  <conditionalFormatting sqref="B20:D20 F20:I20">
    <cfRule type="expression" dxfId="112" priority="172">
      <formula>$E20="MC"</formula>
    </cfRule>
  </conditionalFormatting>
  <conditionalFormatting sqref="E20">
    <cfRule type="expression" dxfId="111" priority="171">
      <formula>$E20="MC"</formula>
    </cfRule>
  </conditionalFormatting>
  <conditionalFormatting sqref="B21:D21 F21:I21">
    <cfRule type="expression" dxfId="110" priority="170">
      <formula>$E21="MC"</formula>
    </cfRule>
  </conditionalFormatting>
  <conditionalFormatting sqref="J21">
    <cfRule type="expression" dxfId="109" priority="169">
      <formula>$E21="MC"</formula>
    </cfRule>
  </conditionalFormatting>
  <conditionalFormatting sqref="B21:D21 F21:I21">
    <cfRule type="expression" dxfId="108" priority="168">
      <formula>$E21="MC"</formula>
    </cfRule>
  </conditionalFormatting>
  <conditionalFormatting sqref="J21">
    <cfRule type="expression" dxfId="107" priority="167">
      <formula>$E21="MC"</formula>
    </cfRule>
  </conditionalFormatting>
  <conditionalFormatting sqref="B21:D21 F21:I21">
    <cfRule type="expression" dxfId="106" priority="166">
      <formula>$E21="MC"</formula>
    </cfRule>
  </conditionalFormatting>
  <conditionalFormatting sqref="J21">
    <cfRule type="expression" dxfId="105" priority="165">
      <formula>$E21="MC"</formula>
    </cfRule>
  </conditionalFormatting>
  <conditionalFormatting sqref="B21:D21 F21:I21">
    <cfRule type="expression" dxfId="104" priority="162">
      <formula>$E21="MC"</formula>
    </cfRule>
  </conditionalFormatting>
  <conditionalFormatting sqref="J21">
    <cfRule type="expression" dxfId="103" priority="161">
      <formula>$E21="MC"</formula>
    </cfRule>
  </conditionalFormatting>
  <conditionalFormatting sqref="B21:D21 F21:I21">
    <cfRule type="expression" dxfId="102" priority="160">
      <formula>$E21="MC"</formula>
    </cfRule>
  </conditionalFormatting>
  <conditionalFormatting sqref="B22:D22 F22:I22">
    <cfRule type="expression" dxfId="101" priority="152">
      <formula>$E22="MC"</formula>
    </cfRule>
  </conditionalFormatting>
  <conditionalFormatting sqref="B7 D7 F7:H7">
    <cfRule type="expression" dxfId="100" priority="115">
      <formula>$E7="MC"</formula>
    </cfRule>
  </conditionalFormatting>
  <conditionalFormatting sqref="C7">
    <cfRule type="expression" dxfId="99" priority="114">
      <formula>$E7="MC"</formula>
    </cfRule>
  </conditionalFormatting>
  <conditionalFormatting sqref="B7:D7 F7:H7">
    <cfRule type="expression" dxfId="98" priority="113">
      <formula>$E7="MC"</formula>
    </cfRule>
  </conditionalFormatting>
  <conditionalFormatting sqref="E7">
    <cfRule type="expression" dxfId="97" priority="116">
      <formula>$E7="MC"</formula>
    </cfRule>
  </conditionalFormatting>
  <conditionalFormatting sqref="I7">
    <cfRule type="expression" dxfId="96" priority="103">
      <formula>$E7="MC"</formula>
    </cfRule>
  </conditionalFormatting>
  <conditionalFormatting sqref="I7">
    <cfRule type="expression" dxfId="95" priority="112">
      <formula>$E7="MC"</formula>
    </cfRule>
  </conditionalFormatting>
  <conditionalFormatting sqref="I7">
    <cfRule type="expression" dxfId="94" priority="111">
      <formula>$E7="MC"</formula>
    </cfRule>
  </conditionalFormatting>
  <conditionalFormatting sqref="I7">
    <cfRule type="expression" dxfId="93" priority="110">
      <formula>$E7="MC"</formula>
    </cfRule>
  </conditionalFormatting>
  <conditionalFormatting sqref="I7">
    <cfRule type="expression" dxfId="92" priority="109">
      <formula>$E7="MC"</formula>
    </cfRule>
  </conditionalFormatting>
  <conditionalFormatting sqref="I7">
    <cfRule type="expression" dxfId="91" priority="108">
      <formula>$E7="MC"</formula>
    </cfRule>
  </conditionalFormatting>
  <conditionalFormatting sqref="I7">
    <cfRule type="expression" dxfId="90" priority="107">
      <formula>$E7="MC"</formula>
    </cfRule>
  </conditionalFormatting>
  <conditionalFormatting sqref="I7">
    <cfRule type="expression" dxfId="89" priority="106">
      <formula>$E7="MC"</formula>
    </cfRule>
  </conditionalFormatting>
  <conditionalFormatting sqref="I7">
    <cfRule type="expression" dxfId="88" priority="105">
      <formula>$E7="MC"</formula>
    </cfRule>
  </conditionalFormatting>
  <conditionalFormatting sqref="I7">
    <cfRule type="expression" dxfId="87" priority="104">
      <formula>$E7="MC"</formula>
    </cfRule>
  </conditionalFormatting>
  <conditionalFormatting sqref="B7:G7">
    <cfRule type="expression" dxfId="86" priority="98">
      <formula>$E7="MC"</formula>
    </cfRule>
  </conditionalFormatting>
  <conditionalFormatting sqref="B7:H7">
    <cfRule type="expression" dxfId="85" priority="97">
      <formula>$E7="MC"</formula>
    </cfRule>
  </conditionalFormatting>
  <conditionalFormatting sqref="B7:H7">
    <cfRule type="expression" dxfId="84" priority="102">
      <formula>$E7="MC"</formula>
    </cfRule>
  </conditionalFormatting>
  <conditionalFormatting sqref="H7">
    <cfRule type="expression" dxfId="83" priority="101">
      <formula>$E7="MC"</formula>
    </cfRule>
  </conditionalFormatting>
  <conditionalFormatting sqref="B7:G7">
    <cfRule type="expression" dxfId="82" priority="100">
      <formula>$E7="MC"</formula>
    </cfRule>
  </conditionalFormatting>
  <conditionalFormatting sqref="H7">
    <cfRule type="expression" dxfId="81" priority="99">
      <formula>$E7="MC"</formula>
    </cfRule>
  </conditionalFormatting>
  <conditionalFormatting sqref="H7">
    <cfRule type="expression" dxfId="80" priority="96">
      <formula>$E7="MC"</formula>
    </cfRule>
  </conditionalFormatting>
  <conditionalFormatting sqref="B7:G7">
    <cfRule type="expression" dxfId="79" priority="95">
      <formula>$E7="MC"</formula>
    </cfRule>
  </conditionalFormatting>
  <conditionalFormatting sqref="B7:H7">
    <cfRule type="expression" dxfId="78" priority="94">
      <formula>$E7="MC"</formula>
    </cfRule>
  </conditionalFormatting>
  <conditionalFormatting sqref="B7:H7">
    <cfRule type="expression" dxfId="77" priority="93">
      <formula>$E7="MC"</formula>
    </cfRule>
  </conditionalFormatting>
  <conditionalFormatting sqref="H7">
    <cfRule type="expression" dxfId="76" priority="92">
      <formula>$E7="MC"</formula>
    </cfRule>
  </conditionalFormatting>
  <conditionalFormatting sqref="B7 D7 F7:G7">
    <cfRule type="expression" dxfId="75" priority="91">
      <formula>$E7="MC"</formula>
    </cfRule>
  </conditionalFormatting>
  <conditionalFormatting sqref="C7">
    <cfRule type="expression" dxfId="74" priority="90">
      <formula>$E7="MC"</formula>
    </cfRule>
  </conditionalFormatting>
  <conditionalFormatting sqref="E7">
    <cfRule type="expression" dxfId="73" priority="89">
      <formula>$E7="MC"</formula>
    </cfRule>
  </conditionalFormatting>
  <conditionalFormatting sqref="A8">
    <cfRule type="expression" dxfId="72" priority="74">
      <formula>#REF!="MC"</formula>
    </cfRule>
  </conditionalFormatting>
  <conditionalFormatting sqref="E11">
    <cfRule type="expression" dxfId="71" priority="73">
      <formula>$E11="MC"</formula>
    </cfRule>
  </conditionalFormatting>
  <conditionalFormatting sqref="B11:I11">
    <cfRule type="expression" dxfId="70" priority="72">
      <formula>$E11="MC"</formula>
    </cfRule>
  </conditionalFormatting>
  <conditionalFormatting sqref="B11:I11">
    <cfRule type="expression" dxfId="69" priority="71">
      <formula>$E11="MC"</formula>
    </cfRule>
  </conditionalFormatting>
  <conditionalFormatting sqref="B10:I10">
    <cfRule type="expression" dxfId="68" priority="70">
      <formula>$E10="MC"</formula>
    </cfRule>
  </conditionalFormatting>
  <conditionalFormatting sqref="B10:I10">
    <cfRule type="expression" dxfId="67" priority="69">
      <formula>$E10="MC"</formula>
    </cfRule>
  </conditionalFormatting>
  <conditionalFormatting sqref="B10:I10">
    <cfRule type="expression" dxfId="66" priority="68">
      <formula>$E10="MC"</formula>
    </cfRule>
  </conditionalFormatting>
  <conditionalFormatting sqref="B11:I11">
    <cfRule type="expression" dxfId="65" priority="67">
      <formula>$E11="MC"</formula>
    </cfRule>
  </conditionalFormatting>
  <conditionalFormatting sqref="B10:I10">
    <cfRule type="expression" dxfId="64" priority="66">
      <formula>$E10="MC"</formula>
    </cfRule>
  </conditionalFormatting>
  <conditionalFormatting sqref="B11:I11">
    <cfRule type="expression" dxfId="63" priority="65">
      <formula>$E11="MC"</formula>
    </cfRule>
  </conditionalFormatting>
  <conditionalFormatting sqref="B10:I10">
    <cfRule type="expression" dxfId="62" priority="64">
      <formula>$E10="MC"</formula>
    </cfRule>
  </conditionalFormatting>
  <conditionalFormatting sqref="B11:I11">
    <cfRule type="expression" dxfId="61" priority="63">
      <formula>$E11="MC"</formula>
    </cfRule>
  </conditionalFormatting>
  <conditionalFormatting sqref="B10:I10">
    <cfRule type="expression" dxfId="60" priority="62">
      <formula>$E10="MC"</formula>
    </cfRule>
  </conditionalFormatting>
  <conditionalFormatting sqref="B11:I11">
    <cfRule type="expression" dxfId="59" priority="61">
      <formula>$E11="MC"</formula>
    </cfRule>
  </conditionalFormatting>
  <conditionalFormatting sqref="B10:I10">
    <cfRule type="expression" dxfId="58" priority="60">
      <formula>$E10="MC"</formula>
    </cfRule>
  </conditionalFormatting>
  <conditionalFormatting sqref="B11:D11 F11:I11">
    <cfRule type="expression" dxfId="57" priority="59">
      <formula>$E11="MC"</formula>
    </cfRule>
  </conditionalFormatting>
  <conditionalFormatting sqref="B10:I10">
    <cfRule type="expression" dxfId="56" priority="58">
      <formula>$E10="MC"</formula>
    </cfRule>
  </conditionalFormatting>
  <conditionalFormatting sqref="B11:D11 F11:I11">
    <cfRule type="expression" dxfId="55" priority="57">
      <formula>$E11="MC"</formula>
    </cfRule>
  </conditionalFormatting>
  <conditionalFormatting sqref="A10">
    <cfRule type="expression" dxfId="54" priority="56">
      <formula>#REF!="MC"</formula>
    </cfRule>
  </conditionalFormatting>
  <conditionalFormatting sqref="A11">
    <cfRule type="expression" dxfId="53" priority="55">
      <formula>#REF!="MC"</formula>
    </cfRule>
  </conditionalFormatting>
  <conditionalFormatting sqref="B12:I12">
    <cfRule type="expression" dxfId="52" priority="54">
      <formula>$E12="MC"</formula>
    </cfRule>
  </conditionalFormatting>
  <conditionalFormatting sqref="A12">
    <cfRule type="expression" dxfId="51" priority="53">
      <formula>#REF!="MC"</formula>
    </cfRule>
  </conditionalFormatting>
  <conditionalFormatting sqref="B13:F13 H13">
    <cfRule type="expression" dxfId="50" priority="52">
      <formula>$E13="MC"</formula>
    </cfRule>
  </conditionalFormatting>
  <conditionalFormatting sqref="B14:H14">
    <cfRule type="expression" dxfId="49" priority="51">
      <formula>$E14="MC"</formula>
    </cfRule>
  </conditionalFormatting>
  <conditionalFormatting sqref="B13:F13 H13">
    <cfRule type="expression" dxfId="48" priority="50">
      <formula>$E13="MC"</formula>
    </cfRule>
  </conditionalFormatting>
  <conditionalFormatting sqref="B14">
    <cfRule type="expression" dxfId="47" priority="49">
      <formula>$E14="MC"</formula>
    </cfRule>
  </conditionalFormatting>
  <conditionalFormatting sqref="C14:H14">
    <cfRule type="expression" dxfId="46" priority="48">
      <formula>$E14="MC"</formula>
    </cfRule>
  </conditionalFormatting>
  <conditionalFormatting sqref="I13:I14">
    <cfRule type="expression" dxfId="45" priority="38">
      <formula>$E13="MC"</formula>
    </cfRule>
  </conditionalFormatting>
  <conditionalFormatting sqref="I13:I14">
    <cfRule type="expression" dxfId="44" priority="47">
      <formula>$E13="MC"</formula>
    </cfRule>
  </conditionalFormatting>
  <conditionalFormatting sqref="I13:I14">
    <cfRule type="expression" dxfId="43" priority="46">
      <formula>$E13="MC"</formula>
    </cfRule>
  </conditionalFormatting>
  <conditionalFormatting sqref="I13:I14">
    <cfRule type="expression" dxfId="42" priority="45">
      <formula>$E13="MC"</formula>
    </cfRule>
  </conditionalFormatting>
  <conditionalFormatting sqref="I13:I14">
    <cfRule type="expression" dxfId="41" priority="44">
      <formula>$E13="MC"</formula>
    </cfRule>
  </conditionalFormatting>
  <conditionalFormatting sqref="I13:I14">
    <cfRule type="expression" dxfId="40" priority="43">
      <formula>$E13="MC"</formula>
    </cfRule>
  </conditionalFormatting>
  <conditionalFormatting sqref="I13:I14">
    <cfRule type="expression" dxfId="39" priority="42">
      <formula>$E13="MC"</formula>
    </cfRule>
  </conditionalFormatting>
  <conditionalFormatting sqref="I13:I14">
    <cfRule type="expression" dxfId="38" priority="41">
      <formula>$E13="MC"</formula>
    </cfRule>
  </conditionalFormatting>
  <conditionalFormatting sqref="I13:I14">
    <cfRule type="expression" dxfId="37" priority="40">
      <formula>$E13="MC"</formula>
    </cfRule>
  </conditionalFormatting>
  <conditionalFormatting sqref="I13:I14">
    <cfRule type="expression" dxfId="36" priority="39">
      <formula>$E13="MC"</formula>
    </cfRule>
  </conditionalFormatting>
  <conditionalFormatting sqref="G13">
    <cfRule type="expression" dxfId="35" priority="37">
      <formula>$E13="MC"</formula>
    </cfRule>
  </conditionalFormatting>
  <conditionalFormatting sqref="A19">
    <cfRule type="expression" dxfId="34" priority="1">
      <formula>#REF!="MC"</formula>
    </cfRule>
  </conditionalFormatting>
  <conditionalFormatting sqref="A13:A15">
    <cfRule type="expression" dxfId="33" priority="35">
      <formula>#REF!="MC"</formula>
    </cfRule>
  </conditionalFormatting>
  <conditionalFormatting sqref="E15">
    <cfRule type="expression" dxfId="32" priority="34">
      <formula>$E15="MC"</formula>
    </cfRule>
  </conditionalFormatting>
  <conditionalFormatting sqref="B15:D15 F15:H15">
    <cfRule type="expression" dxfId="31" priority="33">
      <formula>$E15="MC"</formula>
    </cfRule>
  </conditionalFormatting>
  <conditionalFormatting sqref="B15:D15 F15:H15">
    <cfRule type="expression" dxfId="30" priority="32">
      <formula>$E15="MC"</formula>
    </cfRule>
  </conditionalFormatting>
  <conditionalFormatting sqref="I15">
    <cfRule type="expression" dxfId="29" priority="22">
      <formula>$E15="MC"</formula>
    </cfRule>
  </conditionalFormatting>
  <conditionalFormatting sqref="I15">
    <cfRule type="expression" dxfId="28" priority="31">
      <formula>$E15="MC"</formula>
    </cfRule>
  </conditionalFormatting>
  <conditionalFormatting sqref="I15">
    <cfRule type="expression" dxfId="27" priority="30">
      <formula>$E15="MC"</formula>
    </cfRule>
  </conditionalFormatting>
  <conditionalFormatting sqref="I15">
    <cfRule type="expression" dxfId="26" priority="29">
      <formula>$E15="MC"</formula>
    </cfRule>
  </conditionalFormatting>
  <conditionalFormatting sqref="I15">
    <cfRule type="expression" dxfId="25" priority="28">
      <formula>$E15="MC"</formula>
    </cfRule>
  </conditionalFormatting>
  <conditionalFormatting sqref="I15">
    <cfRule type="expression" dxfId="24" priority="27">
      <formula>$E15="MC"</formula>
    </cfRule>
  </conditionalFormatting>
  <conditionalFormatting sqref="I15">
    <cfRule type="expression" dxfId="23" priority="26">
      <formula>$E15="MC"</formula>
    </cfRule>
  </conditionalFormatting>
  <conditionalFormatting sqref="I15">
    <cfRule type="expression" dxfId="22" priority="25">
      <formula>$E15="MC"</formula>
    </cfRule>
  </conditionalFormatting>
  <conditionalFormatting sqref="I15">
    <cfRule type="expression" dxfId="21" priority="24">
      <formula>$E15="MC"</formula>
    </cfRule>
  </conditionalFormatting>
  <conditionalFormatting sqref="I15">
    <cfRule type="expression" dxfId="20" priority="23">
      <formula>$E15="MC"</formula>
    </cfRule>
  </conditionalFormatting>
  <conditionalFormatting sqref="B16:H16">
    <cfRule type="expression" dxfId="19" priority="21">
      <formula>$E16="MC"</formula>
    </cfRule>
  </conditionalFormatting>
  <conditionalFormatting sqref="I16">
    <cfRule type="expression" dxfId="18" priority="11">
      <formula>$E16="MC"</formula>
    </cfRule>
  </conditionalFormatting>
  <conditionalFormatting sqref="I16">
    <cfRule type="expression" dxfId="17" priority="20">
      <formula>$E16="MC"</formula>
    </cfRule>
  </conditionalFormatting>
  <conditionalFormatting sqref="I16">
    <cfRule type="expression" dxfId="16" priority="19">
      <formula>$E16="MC"</formula>
    </cfRule>
  </conditionalFormatting>
  <conditionalFormatting sqref="I16">
    <cfRule type="expression" dxfId="15" priority="18">
      <formula>$E16="MC"</formula>
    </cfRule>
  </conditionalFormatting>
  <conditionalFormatting sqref="I16">
    <cfRule type="expression" dxfId="14" priority="17">
      <formula>$E16="MC"</formula>
    </cfRule>
  </conditionalFormatting>
  <conditionalFormatting sqref="I16">
    <cfRule type="expression" dxfId="13" priority="16">
      <formula>$E16="MC"</formula>
    </cfRule>
  </conditionalFormatting>
  <conditionalFormatting sqref="I16">
    <cfRule type="expression" dxfId="12" priority="15">
      <formula>$E16="MC"</formula>
    </cfRule>
  </conditionalFormatting>
  <conditionalFormatting sqref="I16">
    <cfRule type="expression" dxfId="11" priority="14">
      <formula>$E16="MC"</formula>
    </cfRule>
  </conditionalFormatting>
  <conditionalFormatting sqref="I16">
    <cfRule type="expression" dxfId="10" priority="13">
      <formula>$E16="MC"</formula>
    </cfRule>
  </conditionalFormatting>
  <conditionalFormatting sqref="I16">
    <cfRule type="expression" dxfId="9" priority="12">
      <formula>$E16="MC"</formula>
    </cfRule>
  </conditionalFormatting>
  <conditionalFormatting sqref="A16">
    <cfRule type="expression" dxfId="8" priority="10">
      <formula>#REF!="MC"</formula>
    </cfRule>
  </conditionalFormatting>
  <conditionalFormatting sqref="E17 G17:H17">
    <cfRule type="expression" dxfId="7" priority="9">
      <formula>$E17="MC"</formula>
    </cfRule>
  </conditionalFormatting>
  <conditionalFormatting sqref="B17:D17 F17:G17 I17">
    <cfRule type="expression" dxfId="6" priority="8">
      <formula>$E17="MC"</formula>
    </cfRule>
  </conditionalFormatting>
  <conditionalFormatting sqref="B17 D17:G17 I17">
    <cfRule type="expression" dxfId="5" priority="7">
      <formula>$E17="MC"</formula>
    </cfRule>
  </conditionalFormatting>
  <conditionalFormatting sqref="C17">
    <cfRule type="expression" dxfId="4" priority="6">
      <formula>$E17="MC"</formula>
    </cfRule>
  </conditionalFormatting>
  <conditionalFormatting sqref="A17">
    <cfRule type="expression" dxfId="3" priority="5">
      <formula>#REF!="MC"</formula>
    </cfRule>
  </conditionalFormatting>
  <conditionalFormatting sqref="B18:I18">
    <cfRule type="expression" dxfId="2" priority="4">
      <formula>$E18="MC"</formula>
    </cfRule>
  </conditionalFormatting>
  <conditionalFormatting sqref="B19:I19">
    <cfRule type="expression" dxfId="1" priority="3">
      <formula>$E19="MC"</formula>
    </cfRule>
  </conditionalFormatting>
  <conditionalFormatting sqref="A18">
    <cfRule type="expression" dxfId="0" priority="2">
      <formula>#REF!="MC"</formula>
    </cfRule>
  </conditionalFormatting>
  <dataValidations count="2">
    <dataValidation type="list" allowBlank="1" showInputMessage="1" showErrorMessage="1" sqref="J8 J10:J16 J18:J21 J23">
      <formula1>"DISP.TRABALHO,DISP.PROLE,DISP.IDADE,DISP.MÉDICA"</formula1>
    </dataValidation>
    <dataValidation type="list" allowBlank="1" showInputMessage="1" showErrorMessage="1" sqref="K7:K52">
      <formula1>"SIM,NÃO"</formula1>
    </dataValidation>
  </dataValidations>
  <pageMargins left="0.51181102362204722" right="0.51181102362204722" top="0.78740157480314965" bottom="0.78740157480314965" header="0.31496062992125984" footer="0.31496062992125984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17</vt:i4>
      </vt:variant>
      <vt:variant>
        <vt:lpstr>Intervalos nomeados</vt:lpstr>
      </vt:variant>
      <vt:variant>
        <vt:i4>15</vt:i4>
      </vt:variant>
    </vt:vector>
  </HeadingPairs>
  <TitlesOfParts>
    <vt:vector size="32" baseType="lpstr">
      <vt:lpstr>LISTA CORRIDA</vt:lpstr>
      <vt:lpstr>Total de Alunos</vt:lpstr>
      <vt:lpstr>1ª</vt:lpstr>
      <vt:lpstr>2ª</vt:lpstr>
      <vt:lpstr>3ª</vt:lpstr>
      <vt:lpstr>4ª</vt:lpstr>
      <vt:lpstr>5ª</vt:lpstr>
      <vt:lpstr>6ª</vt:lpstr>
      <vt:lpstr>7ª</vt:lpstr>
      <vt:lpstr>8ª</vt:lpstr>
      <vt:lpstr>1ª EM</vt:lpstr>
      <vt:lpstr>2ª EM</vt:lpstr>
      <vt:lpstr>3ª EM</vt:lpstr>
      <vt:lpstr>menores concluintes 8ª</vt:lpstr>
      <vt:lpstr>RETIDOS FREQUENCIA</vt:lpstr>
      <vt:lpstr>fomandos 1ºsem2024</vt:lpstr>
      <vt:lpstr>NCOM - MC's</vt:lpstr>
      <vt:lpstr>'1ª'!Area_de_impressao</vt:lpstr>
      <vt:lpstr>'1ª EM'!Area_de_impressao</vt:lpstr>
      <vt:lpstr>'2ª'!Area_de_impressao</vt:lpstr>
      <vt:lpstr>'2ª EM'!Area_de_impressao</vt:lpstr>
      <vt:lpstr>'3ª'!Area_de_impressao</vt:lpstr>
      <vt:lpstr>'3ª EM'!Area_de_impressao</vt:lpstr>
      <vt:lpstr>'4ª'!Area_de_impressao</vt:lpstr>
      <vt:lpstr>'5ª'!Area_de_impressao</vt:lpstr>
      <vt:lpstr>'6ª'!Area_de_impressao</vt:lpstr>
      <vt:lpstr>'7ª'!Area_de_impressao</vt:lpstr>
      <vt:lpstr>'8ª'!Area_de_impressao</vt:lpstr>
      <vt:lpstr>'fomandos 1ºsem2024'!Area_de_impressao</vt:lpstr>
      <vt:lpstr>'LISTA CORRIDA'!Area_de_impressao</vt:lpstr>
      <vt:lpstr>'NCOM - MC''s'!Area_de_impressao</vt:lpstr>
      <vt:lpstr>'Total de Alunos'!Area_de_impressao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Roberta Alsonso Silva - RF: 37.805 - SEDUC</dc:creator>
  <cp:lastModifiedBy>Tatiane Bezerra da Silva - 24989 - SEDUC</cp:lastModifiedBy>
  <cp:lastPrinted>2025-08-28T15:02:50Z</cp:lastPrinted>
  <dcterms:created xsi:type="dcterms:W3CDTF">2017-07-11T11:38:14Z</dcterms:created>
  <dcterms:modified xsi:type="dcterms:W3CDTF">2025-10-01T22:57:43Z</dcterms:modified>
</cp:coreProperties>
</file>